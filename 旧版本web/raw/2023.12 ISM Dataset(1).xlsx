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yangsongpo/Desktop/正在推进/英文/Xun/投资审查/working paper/PRISM/"/>
    </mc:Choice>
  </mc:AlternateContent>
  <xr:revisionPtr revIDLastSave="0" documentId="13_ncr:1_{26DDEA43-7B20-B94B-8749-F0117E480DF0}" xr6:coauthVersionLast="47" xr6:coauthVersionMax="47" xr10:uidLastSave="{00000000-0000-0000-0000-000000000000}"/>
  <bookViews>
    <workbookView xWindow="9100" yWindow="3880" windowWidth="36200" windowHeight="22560" activeTab="2" xr2:uid="{00000000-000D-0000-FFFF-FFFF00000000}"/>
  </bookViews>
  <sheets>
    <sheet name="Copyright information" sheetId="5" r:id="rId1"/>
    <sheet name="Time Series Data" sheetId="1" r:id="rId2"/>
    <sheet name="Event Data" sheetId="2" r:id="rId3"/>
    <sheet name="List of all Changes" sheetId="3" r:id="rId4"/>
    <sheet name="yrly_new" sheetId="4" r:id="rId5"/>
  </sheets>
  <definedNames>
    <definedName name="_xlnm._FilterDatabase" localSheetId="1" hidden="1">'Time Series Data'!$A$1:$CB$650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1">
      <go:sheetsCustomData xmlns:go="http://customooxmlschemas.google.com/" r:id="rId8" roundtripDataSignature="AMtx7midN8gaWbGMyUg55whQXiIYUFrZdA=="/>
    </ext>
  </extLst>
</workbook>
</file>

<file path=xl/calcChain.xml><?xml version="1.0" encoding="utf-8"?>
<calcChain xmlns="http://schemas.openxmlformats.org/spreadsheetml/2006/main">
  <c r="CB651" i="1" l="1"/>
  <c r="CA651" i="1"/>
  <c r="BZ651" i="1"/>
  <c r="BY651" i="1"/>
  <c r="BX651" i="1"/>
  <c r="BW651" i="1"/>
  <c r="BV651" i="1"/>
  <c r="BU651" i="1"/>
  <c r="BS651" i="1"/>
  <c r="H651" i="1"/>
  <c r="BU138" i="1"/>
  <c r="BV138" i="1"/>
  <c r="BW138" i="1"/>
  <c r="BX138" i="1"/>
  <c r="BY138" i="1"/>
  <c r="BZ138" i="1"/>
  <c r="CA138" i="1"/>
  <c r="CB138" i="1"/>
  <c r="H138" i="1"/>
  <c r="BS138" i="1"/>
  <c r="CB256" i="1"/>
  <c r="CB257" i="1"/>
  <c r="CB258" i="1"/>
  <c r="CB259" i="1"/>
  <c r="CB260" i="1"/>
  <c r="CB261" i="1"/>
  <c r="CB262" i="1"/>
  <c r="CB263" i="1"/>
  <c r="CB264" i="1"/>
  <c r="CB265" i="1"/>
  <c r="CB266" i="1"/>
  <c r="CB267" i="1"/>
  <c r="CB268" i="1"/>
  <c r="CB269" i="1"/>
  <c r="CB270" i="1"/>
  <c r="CB271" i="1"/>
  <c r="CB272" i="1"/>
  <c r="CB273" i="1"/>
  <c r="CB274" i="1"/>
  <c r="CB275" i="1"/>
  <c r="CB276" i="1"/>
  <c r="CB277" i="1"/>
  <c r="CB278" i="1"/>
  <c r="CB279" i="1"/>
  <c r="CB280" i="1"/>
  <c r="CB281" i="1"/>
  <c r="CB282" i="1"/>
  <c r="CB283" i="1"/>
  <c r="CB284" i="1"/>
  <c r="CB285" i="1"/>
  <c r="CB286" i="1"/>
  <c r="CB287" i="1"/>
  <c r="CB288" i="1"/>
  <c r="CB289" i="1"/>
  <c r="CB290" i="1"/>
  <c r="CB291" i="1"/>
  <c r="CB292" i="1"/>
  <c r="CB293" i="1"/>
  <c r="CB294" i="1"/>
  <c r="CB295" i="1"/>
  <c r="CB296" i="1"/>
  <c r="CB297" i="1"/>
  <c r="CB298" i="1"/>
  <c r="CB299" i="1"/>
  <c r="CB300" i="1"/>
  <c r="CB301" i="1"/>
  <c r="CB302" i="1"/>
  <c r="CB303" i="1"/>
  <c r="CB304" i="1"/>
  <c r="CB305" i="1"/>
  <c r="CB306" i="1"/>
  <c r="CB307" i="1"/>
  <c r="CB308" i="1"/>
  <c r="CA256" i="1"/>
  <c r="CA257" i="1"/>
  <c r="CA258" i="1"/>
  <c r="CA259" i="1"/>
  <c r="CA260" i="1"/>
  <c r="CA261" i="1"/>
  <c r="CA262" i="1"/>
  <c r="CA263" i="1"/>
  <c r="CA264" i="1"/>
  <c r="CA265" i="1"/>
  <c r="CA266" i="1"/>
  <c r="CA267" i="1"/>
  <c r="CA268" i="1"/>
  <c r="CA269" i="1"/>
  <c r="CA270" i="1"/>
  <c r="CA271" i="1"/>
  <c r="CA272" i="1"/>
  <c r="CA273" i="1"/>
  <c r="CA274" i="1"/>
  <c r="CA275" i="1"/>
  <c r="CA276" i="1"/>
  <c r="CA277" i="1"/>
  <c r="CA278" i="1"/>
  <c r="CA279" i="1"/>
  <c r="CA280" i="1"/>
  <c r="CA281" i="1"/>
  <c r="CA282" i="1"/>
  <c r="CA283" i="1"/>
  <c r="CA284" i="1"/>
  <c r="CA285" i="1"/>
  <c r="CA286" i="1"/>
  <c r="CA287" i="1"/>
  <c r="CA288" i="1"/>
  <c r="CA289" i="1"/>
  <c r="CA290" i="1"/>
  <c r="CA291" i="1"/>
  <c r="CA292" i="1"/>
  <c r="CA293" i="1"/>
  <c r="CA294" i="1"/>
  <c r="CA295" i="1"/>
  <c r="CA296" i="1"/>
  <c r="CA297" i="1"/>
  <c r="CA298" i="1"/>
  <c r="CA299" i="1"/>
  <c r="CA300" i="1"/>
  <c r="CA301" i="1"/>
  <c r="CA302" i="1"/>
  <c r="CA303" i="1"/>
  <c r="CA304" i="1"/>
  <c r="CA305" i="1"/>
  <c r="CA306" i="1"/>
  <c r="BZ255" i="1"/>
  <c r="BZ256" i="1"/>
  <c r="BZ257" i="1"/>
  <c r="BZ258" i="1"/>
  <c r="BZ259" i="1"/>
  <c r="BZ260" i="1"/>
  <c r="BZ261" i="1"/>
  <c r="BZ262" i="1"/>
  <c r="BZ263" i="1"/>
  <c r="BZ264" i="1"/>
  <c r="BZ265" i="1"/>
  <c r="BZ266" i="1"/>
  <c r="BZ267" i="1"/>
  <c r="BZ268" i="1"/>
  <c r="BZ269" i="1"/>
  <c r="BZ270" i="1"/>
  <c r="BZ271" i="1"/>
  <c r="BZ272" i="1"/>
  <c r="BZ273" i="1"/>
  <c r="BZ274" i="1"/>
  <c r="BZ275" i="1"/>
  <c r="BZ276" i="1"/>
  <c r="BZ277" i="1"/>
  <c r="BZ278" i="1"/>
  <c r="BZ279" i="1"/>
  <c r="BZ280" i="1"/>
  <c r="BZ281" i="1"/>
  <c r="BZ282" i="1"/>
  <c r="BZ283" i="1"/>
  <c r="BZ284" i="1"/>
  <c r="BZ285" i="1"/>
  <c r="BZ286" i="1"/>
  <c r="BZ287" i="1"/>
  <c r="BZ288" i="1"/>
  <c r="BZ289" i="1"/>
  <c r="BZ290" i="1"/>
  <c r="BZ291" i="1"/>
  <c r="BZ292" i="1"/>
  <c r="BZ293" i="1"/>
  <c r="BZ294" i="1"/>
  <c r="BZ295" i="1"/>
  <c r="BZ296" i="1"/>
  <c r="BZ297" i="1"/>
  <c r="BZ298" i="1"/>
  <c r="BZ299" i="1"/>
  <c r="BZ300" i="1"/>
  <c r="BZ301" i="1"/>
  <c r="BZ302" i="1"/>
  <c r="BY256" i="1"/>
  <c r="BY257" i="1"/>
  <c r="BY258" i="1"/>
  <c r="BY259" i="1"/>
  <c r="BY260" i="1"/>
  <c r="BY261" i="1"/>
  <c r="BY262" i="1"/>
  <c r="BY263" i="1"/>
  <c r="BY264" i="1"/>
  <c r="BY265" i="1"/>
  <c r="BY266" i="1"/>
  <c r="BY267" i="1"/>
  <c r="BY268" i="1"/>
  <c r="BY269" i="1"/>
  <c r="BY270" i="1"/>
  <c r="BY271" i="1"/>
  <c r="BY272" i="1"/>
  <c r="BY273" i="1"/>
  <c r="BY274" i="1"/>
  <c r="BY275" i="1"/>
  <c r="BY276" i="1"/>
  <c r="BY277" i="1"/>
  <c r="BY278" i="1"/>
  <c r="BY279" i="1"/>
  <c r="BY280" i="1"/>
  <c r="BY281" i="1"/>
  <c r="BY282" i="1"/>
  <c r="BY283" i="1"/>
  <c r="BY284" i="1"/>
  <c r="BY285" i="1"/>
  <c r="BY286" i="1"/>
  <c r="BY287" i="1"/>
  <c r="BY288" i="1"/>
  <c r="BY289" i="1"/>
  <c r="BY290" i="1"/>
  <c r="BY291" i="1"/>
  <c r="BY292" i="1"/>
  <c r="BY293" i="1"/>
  <c r="BY294" i="1"/>
  <c r="BY295" i="1"/>
  <c r="BY296" i="1"/>
  <c r="BY297" i="1"/>
  <c r="BY298" i="1"/>
  <c r="BX259" i="1"/>
  <c r="BX260" i="1"/>
  <c r="BX261" i="1"/>
  <c r="BX262" i="1"/>
  <c r="BX263" i="1"/>
  <c r="BX264" i="1"/>
  <c r="BX265" i="1"/>
  <c r="BX266" i="1"/>
  <c r="BX267" i="1"/>
  <c r="BX268" i="1"/>
  <c r="BX269" i="1"/>
  <c r="BX270" i="1"/>
  <c r="BX271" i="1"/>
  <c r="BX272" i="1"/>
  <c r="BX273" i="1"/>
  <c r="BX274" i="1"/>
  <c r="BX275" i="1"/>
  <c r="BX276" i="1"/>
  <c r="BX277" i="1"/>
  <c r="BX278" i="1"/>
  <c r="BX279" i="1"/>
  <c r="BX280" i="1"/>
  <c r="BX281" i="1"/>
  <c r="BX282" i="1"/>
  <c r="BX283" i="1"/>
  <c r="BX284" i="1"/>
  <c r="BX285" i="1"/>
  <c r="BX286" i="1"/>
  <c r="BX287" i="1"/>
  <c r="BX288" i="1"/>
  <c r="BX289" i="1"/>
  <c r="BX290" i="1"/>
  <c r="BX291" i="1"/>
  <c r="BX292" i="1"/>
  <c r="BX293" i="1"/>
  <c r="BX294" i="1"/>
  <c r="BX295" i="1"/>
  <c r="BX296" i="1"/>
  <c r="BX297" i="1"/>
  <c r="BX298" i="1"/>
  <c r="BX299" i="1"/>
  <c r="BX300" i="1"/>
  <c r="BX301" i="1"/>
  <c r="BX302" i="1"/>
  <c r="BX303" i="1"/>
  <c r="BW259" i="1"/>
  <c r="BW260" i="1"/>
  <c r="BW261" i="1"/>
  <c r="BW262" i="1"/>
  <c r="BW263" i="1"/>
  <c r="BW264" i="1"/>
  <c r="BW265" i="1"/>
  <c r="BW266" i="1"/>
  <c r="BW267" i="1"/>
  <c r="BW268" i="1"/>
  <c r="BW269" i="1"/>
  <c r="BW270" i="1"/>
  <c r="BW271" i="1"/>
  <c r="BW272" i="1"/>
  <c r="BW273" i="1"/>
  <c r="BW274" i="1"/>
  <c r="BW275" i="1"/>
  <c r="BW276" i="1"/>
  <c r="BW277" i="1"/>
  <c r="BW278" i="1"/>
  <c r="BW279" i="1"/>
  <c r="BW280" i="1"/>
  <c r="BW281" i="1"/>
  <c r="BW282" i="1"/>
  <c r="BW283" i="1"/>
  <c r="BW284" i="1"/>
  <c r="BW285" i="1"/>
  <c r="BW286" i="1"/>
  <c r="BW287" i="1"/>
  <c r="BW288" i="1"/>
  <c r="BW289" i="1"/>
  <c r="BW290" i="1"/>
  <c r="BW291" i="1"/>
  <c r="BW292" i="1"/>
  <c r="BW293" i="1"/>
  <c r="BW294" i="1"/>
  <c r="BW295" i="1"/>
  <c r="BW296" i="1"/>
  <c r="BV259" i="1"/>
  <c r="BV260" i="1"/>
  <c r="BV261" i="1"/>
  <c r="BV262" i="1"/>
  <c r="BV263" i="1"/>
  <c r="BV264" i="1"/>
  <c r="BV265" i="1"/>
  <c r="BV266" i="1"/>
  <c r="BV267" i="1"/>
  <c r="BV268" i="1"/>
  <c r="BV269" i="1"/>
  <c r="BV270" i="1"/>
  <c r="BV271" i="1"/>
  <c r="BV272" i="1"/>
  <c r="BV273" i="1"/>
  <c r="BV274" i="1"/>
  <c r="BV275" i="1"/>
  <c r="BV276" i="1"/>
  <c r="BV277" i="1"/>
  <c r="BV278" i="1"/>
  <c r="BV279" i="1"/>
  <c r="BV280" i="1"/>
  <c r="BV281" i="1"/>
  <c r="BV282" i="1"/>
  <c r="BV283" i="1"/>
  <c r="BV284" i="1"/>
  <c r="BV285" i="1"/>
  <c r="BV286" i="1"/>
  <c r="BV287" i="1"/>
  <c r="BV288" i="1"/>
  <c r="BV289" i="1"/>
  <c r="BV290" i="1"/>
  <c r="BV291" i="1"/>
  <c r="BV292" i="1"/>
  <c r="BV293" i="1"/>
  <c r="BV294" i="1"/>
  <c r="BV295" i="1"/>
  <c r="BU259" i="1"/>
  <c r="BU260" i="1"/>
  <c r="BU261" i="1"/>
  <c r="BU262" i="1"/>
  <c r="BU263" i="1"/>
  <c r="BU264" i="1"/>
  <c r="BU265" i="1"/>
  <c r="BU266" i="1"/>
  <c r="BU267" i="1"/>
  <c r="BU268" i="1"/>
  <c r="BU269" i="1"/>
  <c r="BU270" i="1"/>
  <c r="BU271" i="1"/>
  <c r="BU272" i="1"/>
  <c r="BU273" i="1"/>
  <c r="BU274" i="1"/>
  <c r="BU275" i="1"/>
  <c r="BU276" i="1"/>
  <c r="BU277" i="1"/>
  <c r="BU278" i="1"/>
  <c r="BU279" i="1"/>
  <c r="BU280" i="1"/>
  <c r="BU281" i="1"/>
  <c r="BU282" i="1"/>
  <c r="BU283" i="1"/>
  <c r="BU284" i="1"/>
  <c r="BU285" i="1"/>
  <c r="BU286" i="1"/>
  <c r="BU287" i="1"/>
  <c r="BU288" i="1"/>
  <c r="BU289" i="1"/>
  <c r="BU290" i="1"/>
  <c r="BU291" i="1"/>
  <c r="BU292" i="1"/>
  <c r="BU293" i="1"/>
  <c r="BU294" i="1"/>
  <c r="BU295" i="1"/>
  <c r="BU296" i="1"/>
  <c r="BU297" i="1"/>
  <c r="BU298" i="1"/>
  <c r="BU299" i="1"/>
  <c r="BU300" i="1"/>
  <c r="BU301" i="1"/>
  <c r="BU302" i="1"/>
  <c r="BU303" i="1"/>
  <c r="BU304" i="1"/>
  <c r="BU305" i="1"/>
  <c r="BU306" i="1"/>
  <c r="BU307" i="1"/>
  <c r="BU308" i="1"/>
  <c r="BU309" i="1"/>
  <c r="BU310" i="1"/>
  <c r="BU311" i="1"/>
  <c r="BU312" i="1"/>
  <c r="BU313" i="1"/>
  <c r="BU314" i="1"/>
  <c r="BU315" i="1"/>
  <c r="BS267" i="1"/>
  <c r="BS268" i="1"/>
  <c r="BS269" i="1"/>
  <c r="BS270" i="1"/>
  <c r="BS271" i="1"/>
  <c r="BS272" i="1"/>
  <c r="BS273" i="1"/>
  <c r="BS274" i="1"/>
  <c r="BS275" i="1"/>
  <c r="BS276" i="1"/>
  <c r="BS277" i="1"/>
  <c r="BS278" i="1"/>
  <c r="BS279" i="1"/>
  <c r="BS280" i="1"/>
  <c r="BS281" i="1"/>
  <c r="BS282" i="1"/>
  <c r="BS283" i="1"/>
  <c r="BS284" i="1"/>
  <c r="BS285" i="1"/>
  <c r="BS286" i="1"/>
  <c r="BS287" i="1"/>
  <c r="BS288" i="1"/>
  <c r="BS289" i="1"/>
  <c r="BS290" i="1"/>
  <c r="BS291" i="1"/>
  <c r="BS292" i="1"/>
  <c r="BS293" i="1"/>
  <c r="BS259" i="1"/>
  <c r="BS260" i="1"/>
  <c r="BS261" i="1"/>
  <c r="BS262" i="1"/>
  <c r="BS263" i="1"/>
  <c r="BS264" i="1"/>
  <c r="BS265" i="1"/>
  <c r="BS266" i="1"/>
  <c r="BS258" i="1"/>
  <c r="CB412" i="1"/>
  <c r="CA412" i="1"/>
  <c r="BZ412" i="1"/>
  <c r="BY412" i="1"/>
  <c r="BX412" i="1"/>
  <c r="BW412" i="1"/>
  <c r="BV412" i="1"/>
  <c r="BU412" i="1"/>
  <c r="BS412" i="1"/>
  <c r="H412" i="1"/>
  <c r="CB378" i="1"/>
  <c r="CA378" i="1"/>
  <c r="BZ378" i="1"/>
  <c r="BY378" i="1"/>
  <c r="BX378" i="1"/>
  <c r="BW378" i="1"/>
  <c r="BV378" i="1"/>
  <c r="BU378" i="1"/>
  <c r="BS378" i="1"/>
  <c r="H378" i="1"/>
  <c r="CB361" i="1"/>
  <c r="CA361" i="1"/>
  <c r="BZ361" i="1"/>
  <c r="BY361" i="1"/>
  <c r="BX361" i="1"/>
  <c r="BW361" i="1"/>
  <c r="BV361" i="1"/>
  <c r="BU361" i="1"/>
  <c r="BS361" i="1"/>
  <c r="H361" i="1"/>
  <c r="BU446" i="1"/>
  <c r="BV446" i="1"/>
  <c r="BW446" i="1"/>
  <c r="BX446" i="1"/>
  <c r="BY446" i="1"/>
  <c r="BZ446" i="1"/>
  <c r="CA446" i="1"/>
  <c r="CB446" i="1"/>
  <c r="BS446" i="1"/>
  <c r="BU463" i="1"/>
  <c r="BV463" i="1"/>
  <c r="BW463" i="1"/>
  <c r="BX463" i="1"/>
  <c r="BY463" i="1"/>
  <c r="BZ463" i="1"/>
  <c r="CA463" i="1"/>
  <c r="CB463" i="1"/>
  <c r="H463" i="1"/>
  <c r="BS463" i="1"/>
  <c r="CB344" i="1"/>
  <c r="CA344" i="1"/>
  <c r="BZ344" i="1"/>
  <c r="BY344" i="1"/>
  <c r="BX344" i="1"/>
  <c r="BW344" i="1"/>
  <c r="BV344" i="1"/>
  <c r="BU344" i="1"/>
  <c r="BS344" i="1"/>
  <c r="BU480" i="1"/>
  <c r="BV480" i="1"/>
  <c r="BW480" i="1"/>
  <c r="BX480" i="1"/>
  <c r="BY480" i="1"/>
  <c r="BZ480" i="1"/>
  <c r="CB480" i="1"/>
  <c r="H480" i="1"/>
  <c r="BS480" i="1"/>
  <c r="BU497" i="1"/>
  <c r="BV497" i="1"/>
  <c r="BW497" i="1"/>
  <c r="BX497" i="1"/>
  <c r="BY497" i="1"/>
  <c r="BZ497" i="1"/>
  <c r="CA497" i="1"/>
  <c r="CB497" i="1"/>
  <c r="H497" i="1"/>
  <c r="BS497" i="1"/>
  <c r="H496" i="1"/>
  <c r="BS496" i="1"/>
  <c r="BU496" i="1"/>
  <c r="BV496" i="1"/>
  <c r="BW496" i="1"/>
  <c r="BX496" i="1"/>
  <c r="BY496" i="1"/>
  <c r="BZ496" i="1"/>
  <c r="CA496" i="1"/>
  <c r="CB496" i="1"/>
  <c r="CB327" i="1"/>
  <c r="CA327" i="1"/>
  <c r="BZ327" i="1"/>
  <c r="BY327" i="1"/>
  <c r="BX327" i="1"/>
  <c r="BW327" i="1"/>
  <c r="BV327" i="1"/>
  <c r="BU327" i="1"/>
  <c r="BS327" i="1"/>
  <c r="CB310" i="1"/>
  <c r="CA310" i="1"/>
  <c r="BZ310" i="1"/>
  <c r="BY310" i="1"/>
  <c r="BX310" i="1"/>
  <c r="BW310" i="1"/>
  <c r="BV310" i="1"/>
  <c r="BS310" i="1"/>
  <c r="H275" i="1"/>
  <c r="H599" i="1"/>
  <c r="BS599" i="1"/>
  <c r="BU599" i="1"/>
  <c r="BV599" i="1"/>
  <c r="BW599" i="1"/>
  <c r="BX599" i="1"/>
  <c r="BY599" i="1"/>
  <c r="BZ599" i="1"/>
  <c r="CA599" i="1"/>
  <c r="CB599" i="1"/>
  <c r="H600" i="1"/>
  <c r="BS600" i="1"/>
  <c r="BU600" i="1"/>
  <c r="BV600" i="1"/>
  <c r="BW600" i="1"/>
  <c r="BX600" i="1"/>
  <c r="BY600" i="1"/>
  <c r="BZ600" i="1"/>
  <c r="CA600" i="1"/>
  <c r="CB600" i="1"/>
  <c r="CB241" i="1"/>
  <c r="CA241" i="1"/>
  <c r="BZ241" i="1"/>
  <c r="BY241" i="1"/>
  <c r="BX241" i="1"/>
  <c r="BW241" i="1"/>
  <c r="BV241" i="1"/>
  <c r="BU241" i="1"/>
  <c r="H241" i="1"/>
  <c r="CB224" i="1"/>
  <c r="CA224" i="1"/>
  <c r="BZ224" i="1"/>
  <c r="BY224" i="1"/>
  <c r="BX224" i="1"/>
  <c r="BW224" i="1"/>
  <c r="BV224" i="1"/>
  <c r="BU224" i="1"/>
  <c r="BS224" i="1"/>
  <c r="H224" i="1"/>
  <c r="H616" i="1"/>
  <c r="BS616" i="1"/>
  <c r="BU616" i="1"/>
  <c r="BV616" i="1"/>
  <c r="BW616" i="1"/>
  <c r="BX616" i="1"/>
  <c r="BY616" i="1"/>
  <c r="BZ616" i="1"/>
  <c r="CA616" i="1"/>
  <c r="CB616" i="1"/>
  <c r="H617" i="1"/>
  <c r="BS617" i="1"/>
  <c r="BU617" i="1"/>
  <c r="BV617" i="1"/>
  <c r="BW617" i="1"/>
  <c r="BX617" i="1"/>
  <c r="BY617" i="1"/>
  <c r="BZ617" i="1"/>
  <c r="CA617" i="1"/>
  <c r="CB617" i="1"/>
  <c r="CB189" i="1"/>
  <c r="CA189" i="1"/>
  <c r="BZ189" i="1"/>
  <c r="BY189" i="1"/>
  <c r="BX189" i="1"/>
  <c r="BW189" i="1"/>
  <c r="BV189" i="1"/>
  <c r="BU189" i="1"/>
  <c r="BS189" i="1"/>
  <c r="H189" i="1"/>
  <c r="BU634" i="1"/>
  <c r="BV634" i="1"/>
  <c r="BW634" i="1"/>
  <c r="BX634" i="1"/>
  <c r="BY634" i="1"/>
  <c r="BZ634" i="1"/>
  <c r="CA634" i="1"/>
  <c r="CB634" i="1"/>
  <c r="BS634" i="1"/>
  <c r="CB137" i="1"/>
  <c r="CA137" i="1"/>
  <c r="BZ137" i="1"/>
  <c r="BY137" i="1"/>
  <c r="BX137" i="1"/>
  <c r="BW137" i="1"/>
  <c r="BV137" i="1"/>
  <c r="BU137" i="1"/>
  <c r="BS137" i="1"/>
  <c r="H137" i="1"/>
  <c r="CB120" i="1"/>
  <c r="CA120" i="1"/>
  <c r="BZ120" i="1"/>
  <c r="BY120" i="1"/>
  <c r="BX120" i="1"/>
  <c r="BW120" i="1"/>
  <c r="BV120" i="1"/>
  <c r="BU120" i="1"/>
  <c r="H120" i="1"/>
  <c r="CB119" i="1"/>
  <c r="CA119" i="1"/>
  <c r="BZ119" i="1"/>
  <c r="BY119" i="1"/>
  <c r="BX119" i="1"/>
  <c r="BW119" i="1"/>
  <c r="BV119" i="1"/>
  <c r="BU119" i="1"/>
  <c r="H119" i="1"/>
  <c r="CB102" i="1"/>
  <c r="CA102" i="1"/>
  <c r="BZ102" i="1"/>
  <c r="BY102" i="1"/>
  <c r="BX102" i="1"/>
  <c r="BW102" i="1"/>
  <c r="BV102" i="1"/>
  <c r="BU102" i="1"/>
  <c r="H102" i="1"/>
  <c r="CB86" i="1"/>
  <c r="CA86" i="1"/>
  <c r="BZ86" i="1"/>
  <c r="BY86" i="1"/>
  <c r="BX86" i="1"/>
  <c r="BW86" i="1"/>
  <c r="BV86" i="1"/>
  <c r="BU86" i="1"/>
  <c r="H86" i="1"/>
  <c r="CB85" i="1"/>
  <c r="CA85" i="1"/>
  <c r="BZ85" i="1"/>
  <c r="BY85" i="1"/>
  <c r="BX85" i="1"/>
  <c r="BW85" i="1"/>
  <c r="BV85" i="1"/>
  <c r="BU85" i="1"/>
  <c r="H85" i="1"/>
  <c r="CB35" i="1"/>
  <c r="CA35" i="1"/>
  <c r="BZ35" i="1"/>
  <c r="BY35" i="1"/>
  <c r="BX35" i="1"/>
  <c r="BW35" i="1"/>
  <c r="BV35" i="1"/>
  <c r="BU35" i="1"/>
  <c r="BS35" i="1"/>
  <c r="H35" i="1"/>
  <c r="CB18" i="1"/>
  <c r="CA18" i="1"/>
  <c r="BZ18" i="1"/>
  <c r="BY18" i="1"/>
  <c r="BX18" i="1"/>
  <c r="BW18" i="1"/>
  <c r="BV18" i="1"/>
  <c r="BU18" i="1"/>
  <c r="BS18" i="1"/>
  <c r="H18" i="1"/>
  <c r="H51" i="1"/>
  <c r="BU51" i="1"/>
  <c r="BV51" i="1"/>
  <c r="BW51" i="1"/>
  <c r="BX51" i="1"/>
  <c r="BY51" i="1"/>
  <c r="BZ51" i="1"/>
  <c r="CA51" i="1"/>
  <c r="CB51" i="1"/>
  <c r="BX258" i="1"/>
  <c r="BW258" i="1"/>
  <c r="BV258" i="1"/>
  <c r="BU258" i="1"/>
  <c r="BO62" i="2"/>
  <c r="BO63" i="2"/>
  <c r="BO134" i="2"/>
  <c r="CB583" i="1"/>
  <c r="BU583" i="1"/>
  <c r="BV583" i="1"/>
  <c r="BW583" i="1"/>
  <c r="BX583" i="1"/>
  <c r="BY583" i="1"/>
  <c r="BZ583" i="1"/>
  <c r="CA583" i="1"/>
  <c r="BS583" i="1"/>
  <c r="H583" i="1"/>
  <c r="BU582" i="1"/>
  <c r="BV582" i="1"/>
  <c r="BW582" i="1"/>
  <c r="BX582" i="1"/>
  <c r="BY582" i="1"/>
  <c r="BZ582" i="1"/>
  <c r="CA582" i="1"/>
  <c r="CB582" i="1"/>
  <c r="BS582" i="1"/>
  <c r="BO52" i="2"/>
  <c r="BO51" i="2"/>
  <c r="CB207" i="1"/>
  <c r="CA207" i="1"/>
  <c r="BZ207" i="1"/>
  <c r="BY207" i="1"/>
  <c r="BX207" i="1"/>
  <c r="BW207" i="1"/>
  <c r="BV207" i="1"/>
  <c r="BU207" i="1"/>
  <c r="BS207" i="1"/>
  <c r="BS173" i="1"/>
  <c r="BO133" i="2"/>
  <c r="BS565" i="1"/>
  <c r="BX565" i="1"/>
  <c r="BY565" i="1"/>
  <c r="BV565" i="1"/>
  <c r="BU565" i="1"/>
  <c r="CB565" i="1"/>
  <c r="BW565" i="1"/>
  <c r="CA565" i="1"/>
  <c r="BZ565" i="1"/>
  <c r="CB395" i="1"/>
  <c r="CA395" i="1"/>
  <c r="BZ395" i="1"/>
  <c r="BY395" i="1"/>
  <c r="BX395" i="1"/>
  <c r="BW395" i="1"/>
  <c r="BV395" i="1"/>
  <c r="BU395" i="1"/>
  <c r="BS395" i="1"/>
  <c r="H395" i="1"/>
  <c r="BO50" i="2"/>
  <c r="CB206" i="1"/>
  <c r="CA206" i="1"/>
  <c r="BZ206" i="1"/>
  <c r="BY206" i="1"/>
  <c r="BX206" i="1"/>
  <c r="BW206" i="1"/>
  <c r="BV206" i="1"/>
  <c r="BU206" i="1"/>
  <c r="BS206" i="1"/>
  <c r="H206" i="1"/>
  <c r="CB172" i="1"/>
  <c r="CA172" i="1"/>
  <c r="BZ172" i="1"/>
  <c r="BY172" i="1"/>
  <c r="BX172" i="1"/>
  <c r="BW172" i="1"/>
  <c r="BV172" i="1"/>
  <c r="BU172" i="1"/>
  <c r="CB52" i="1"/>
  <c r="CA52" i="1"/>
  <c r="BZ52" i="1"/>
  <c r="BY52" i="1"/>
  <c r="BX52" i="1"/>
  <c r="BW52" i="1"/>
  <c r="BV52" i="1"/>
  <c r="BU52" i="1"/>
  <c r="BO32" i="2"/>
  <c r="CB155" i="1"/>
  <c r="CA155" i="1"/>
  <c r="BZ155" i="1"/>
  <c r="BY155" i="1"/>
  <c r="BX155" i="1"/>
  <c r="BW155" i="1"/>
  <c r="BV155" i="1"/>
  <c r="BU155" i="1"/>
  <c r="BS155" i="1"/>
  <c r="BO15" i="2"/>
  <c r="BO74" i="2"/>
  <c r="BU326" i="1"/>
  <c r="BV326" i="1"/>
  <c r="BW326" i="1"/>
  <c r="BX326" i="1"/>
  <c r="BY326" i="1"/>
  <c r="BZ326" i="1"/>
  <c r="CA326" i="1"/>
  <c r="CB326" i="1"/>
  <c r="BS326" i="1"/>
  <c r="BO73" i="2" l="1"/>
  <c r="BS530" i="1"/>
  <c r="BU530" i="1"/>
  <c r="BV530" i="1"/>
  <c r="BW530" i="1"/>
  <c r="BX530" i="1"/>
  <c r="BY530" i="1"/>
  <c r="BZ530" i="1"/>
  <c r="CA530" i="1"/>
  <c r="CB530" i="1"/>
  <c r="BO119" i="2"/>
  <c r="BU564" i="1" l="1"/>
  <c r="BV564" i="1"/>
  <c r="BW564" i="1"/>
  <c r="BX564" i="1"/>
  <c r="BY564" i="1"/>
  <c r="BZ564" i="1"/>
  <c r="CA564" i="1"/>
  <c r="CB564" i="1"/>
  <c r="BS564" i="1"/>
  <c r="BO132" i="2"/>
  <c r="BS309" i="1"/>
  <c r="BO65" i="2"/>
  <c r="BV309" i="1"/>
  <c r="BW309" i="1"/>
  <c r="BX309" i="1"/>
  <c r="BY309" i="1"/>
  <c r="BZ309" i="1"/>
  <c r="CA309" i="1"/>
  <c r="CB309" i="1"/>
  <c r="BU445" i="1"/>
  <c r="BV445" i="1"/>
  <c r="BW445" i="1"/>
  <c r="BX445" i="1"/>
  <c r="BY445" i="1"/>
  <c r="BZ445" i="1"/>
  <c r="CA445" i="1"/>
  <c r="CB445" i="1"/>
  <c r="BS445" i="1"/>
  <c r="H445" i="1"/>
  <c r="BO102" i="2"/>
  <c r="BO109" i="2"/>
  <c r="BO83" i="2"/>
  <c r="BU513" i="1"/>
  <c r="BV513" i="1"/>
  <c r="BW513" i="1"/>
  <c r="BX513" i="1"/>
  <c r="BY513" i="1"/>
  <c r="BZ513" i="1"/>
  <c r="CA513" i="1"/>
  <c r="CB513" i="1"/>
  <c r="BS343" i="1"/>
  <c r="BU343" i="1"/>
  <c r="BV343" i="1"/>
  <c r="BW343" i="1"/>
  <c r="BX343" i="1"/>
  <c r="BY343" i="1"/>
  <c r="BZ343" i="1"/>
  <c r="CA343" i="1"/>
  <c r="CB343" i="1"/>
  <c r="BO49" i="2"/>
  <c r="BO53" i="2"/>
  <c r="BS513" i="1"/>
  <c r="BO117" i="2"/>
  <c r="BO11" i="2"/>
  <c r="BO27" i="2"/>
  <c r="BO28" i="2"/>
  <c r="BO141" i="2"/>
  <c r="BO142" i="2"/>
  <c r="BO143" i="2"/>
  <c r="BO144" i="2"/>
  <c r="CB68" i="1"/>
  <c r="CA68" i="1"/>
  <c r="BZ68" i="1"/>
  <c r="BY68" i="1"/>
  <c r="BX68" i="1"/>
  <c r="BW68" i="1"/>
  <c r="BV68" i="1"/>
  <c r="BU68" i="1"/>
  <c r="BS69" i="1"/>
  <c r="BS135" i="1"/>
  <c r="BS136" i="1"/>
  <c r="BS152" i="1"/>
  <c r="BS153" i="1"/>
  <c r="BS154" i="1"/>
  <c r="BS169" i="1"/>
  <c r="BS186" i="1"/>
  <c r="BS187" i="1"/>
  <c r="BS188" i="1"/>
  <c r="BS203" i="1"/>
  <c r="BS204" i="1"/>
  <c r="BS205" i="1"/>
  <c r="BS217" i="1"/>
  <c r="BS218" i="1"/>
  <c r="BS219" i="1"/>
  <c r="BS220" i="1"/>
  <c r="BS221" i="1"/>
  <c r="BS222" i="1"/>
  <c r="BS223" i="1"/>
  <c r="BS255" i="1"/>
  <c r="BS256" i="1"/>
  <c r="BS257" i="1"/>
  <c r="BS307" i="1"/>
  <c r="BS308" i="1"/>
  <c r="BS324" i="1"/>
  <c r="BS325" i="1"/>
  <c r="BS341" i="1"/>
  <c r="BS342" i="1"/>
  <c r="BO140" i="2"/>
  <c r="BO139" i="2"/>
  <c r="BO138" i="2"/>
  <c r="BO137" i="2"/>
  <c r="BO136" i="2"/>
  <c r="BO135" i="2"/>
  <c r="BO131" i="2"/>
  <c r="BO130" i="2"/>
  <c r="BO129" i="2"/>
  <c r="BO128" i="2"/>
  <c r="BO127" i="2"/>
  <c r="BO126" i="2"/>
  <c r="BO125" i="2"/>
  <c r="BO124" i="2"/>
  <c r="BO123" i="2"/>
  <c r="BO122" i="2"/>
  <c r="BO120" i="2"/>
  <c r="BO118" i="2"/>
  <c r="BO116" i="2"/>
  <c r="BO115" i="2"/>
  <c r="BO114" i="2"/>
  <c r="BO113" i="2"/>
  <c r="BO112" i="2"/>
  <c r="BO111" i="2"/>
  <c r="BO110" i="2"/>
  <c r="BO108" i="2"/>
  <c r="BO107" i="2"/>
  <c r="BO106" i="2"/>
  <c r="BO104" i="2"/>
  <c r="BO103" i="2"/>
  <c r="BO101" i="2"/>
  <c r="BO100" i="2"/>
  <c r="BO99" i="2"/>
  <c r="BO98" i="2"/>
  <c r="BO97" i="2"/>
  <c r="BO96" i="2"/>
  <c r="BO94" i="2"/>
  <c r="BO93" i="2"/>
  <c r="BO92" i="2"/>
  <c r="BO91" i="2"/>
  <c r="BO90" i="2"/>
  <c r="BO89" i="2"/>
  <c r="BO88" i="2"/>
  <c r="BO87" i="2"/>
  <c r="BO86" i="2"/>
  <c r="BO85" i="2"/>
  <c r="BO84" i="2"/>
  <c r="BO82" i="2"/>
  <c r="BO81" i="2"/>
  <c r="BO80" i="2"/>
  <c r="BO79" i="2"/>
  <c r="BO78" i="2"/>
  <c r="BO77" i="2"/>
  <c r="BO76" i="2"/>
  <c r="BO75" i="2"/>
  <c r="BO72" i="2"/>
  <c r="BO71" i="2"/>
  <c r="BO70" i="2"/>
  <c r="BO69" i="2"/>
  <c r="BO68" i="2"/>
  <c r="BO67" i="2"/>
  <c r="BO66" i="2"/>
  <c r="BO64" i="2"/>
  <c r="BO61" i="2"/>
  <c r="BO60" i="2"/>
  <c r="BO59" i="2"/>
  <c r="BO58" i="2"/>
  <c r="BO57" i="2"/>
  <c r="BO56" i="2"/>
  <c r="BO55" i="2"/>
  <c r="BO54" i="2"/>
  <c r="BO48" i="2"/>
  <c r="BO47" i="2"/>
  <c r="BO46" i="2"/>
  <c r="BO45" i="2"/>
  <c r="BO44" i="2"/>
  <c r="BO43" i="2"/>
  <c r="BO42" i="2"/>
  <c r="BO41" i="2"/>
  <c r="BO40" i="2"/>
  <c r="BO39" i="2"/>
  <c r="BO38" i="2"/>
  <c r="BO37" i="2"/>
  <c r="BO36" i="2"/>
  <c r="BO35" i="2"/>
  <c r="BO33" i="2"/>
  <c r="BO31" i="2"/>
  <c r="BO30" i="2"/>
  <c r="BO29" i="2"/>
  <c r="BO24" i="2"/>
  <c r="BO23" i="2"/>
  <c r="BO22" i="2"/>
  <c r="BO21" i="2"/>
  <c r="BO20" i="2"/>
  <c r="BO19" i="2"/>
  <c r="BO18" i="2"/>
  <c r="BO17" i="2"/>
  <c r="BO16" i="2"/>
  <c r="BO14" i="2"/>
  <c r="BO13" i="2"/>
  <c r="BO12" i="2"/>
  <c r="BO10" i="2"/>
  <c r="BO9" i="2"/>
  <c r="BO8" i="2"/>
  <c r="BO7" i="2"/>
  <c r="BO6" i="2"/>
  <c r="BO5" i="2"/>
  <c r="BO4" i="2"/>
  <c r="BO3" i="2"/>
  <c r="CB650" i="1"/>
  <c r="CA650" i="1"/>
  <c r="BZ650" i="1"/>
  <c r="BY650" i="1"/>
  <c r="BX650" i="1"/>
  <c r="BW650" i="1"/>
  <c r="BV650" i="1"/>
  <c r="BU650" i="1"/>
  <c r="BS650" i="1"/>
  <c r="H650" i="1"/>
  <c r="CB649" i="1"/>
  <c r="CA649" i="1"/>
  <c r="BZ649" i="1"/>
  <c r="BY649" i="1"/>
  <c r="BX649" i="1"/>
  <c r="BW649" i="1"/>
  <c r="BV649" i="1"/>
  <c r="BU649" i="1"/>
  <c r="BS649" i="1"/>
  <c r="H649" i="1"/>
  <c r="CB648" i="1"/>
  <c r="CA648" i="1"/>
  <c r="BZ648" i="1"/>
  <c r="BY648" i="1"/>
  <c r="BX648" i="1"/>
  <c r="BW648" i="1"/>
  <c r="BV648" i="1"/>
  <c r="BU648" i="1"/>
  <c r="BS648" i="1"/>
  <c r="H648" i="1"/>
  <c r="CB647" i="1"/>
  <c r="CA647" i="1"/>
  <c r="BZ647" i="1"/>
  <c r="BY647" i="1"/>
  <c r="BX647" i="1"/>
  <c r="BW647" i="1"/>
  <c r="BV647" i="1"/>
  <c r="BU647" i="1"/>
  <c r="BS647" i="1"/>
  <c r="CB646" i="1"/>
  <c r="CA646" i="1"/>
  <c r="BZ646" i="1"/>
  <c r="BY646" i="1"/>
  <c r="BX646" i="1"/>
  <c r="BW646" i="1"/>
  <c r="BV646" i="1"/>
  <c r="BU646" i="1"/>
  <c r="BS646" i="1"/>
  <c r="H646" i="1"/>
  <c r="CB645" i="1"/>
  <c r="CA645" i="1"/>
  <c r="BZ645" i="1"/>
  <c r="BY645" i="1"/>
  <c r="BX645" i="1"/>
  <c r="BW645" i="1"/>
  <c r="BV645" i="1"/>
  <c r="BU645" i="1"/>
  <c r="BS645" i="1"/>
  <c r="H645" i="1"/>
  <c r="CB644" i="1"/>
  <c r="CA644" i="1"/>
  <c r="BZ644" i="1"/>
  <c r="BY644" i="1"/>
  <c r="BX644" i="1"/>
  <c r="BW644" i="1"/>
  <c r="BV644" i="1"/>
  <c r="BU644" i="1"/>
  <c r="BS644" i="1"/>
  <c r="H644" i="1"/>
  <c r="CB643" i="1"/>
  <c r="CA643" i="1"/>
  <c r="BZ643" i="1"/>
  <c r="BY643" i="1"/>
  <c r="BX643" i="1"/>
  <c r="BW643" i="1"/>
  <c r="BV643" i="1"/>
  <c r="BU643" i="1"/>
  <c r="BS643" i="1"/>
  <c r="H643" i="1"/>
  <c r="CB642" i="1"/>
  <c r="CA642" i="1"/>
  <c r="BZ642" i="1"/>
  <c r="BY642" i="1"/>
  <c r="BX642" i="1"/>
  <c r="BW642" i="1"/>
  <c r="BV642" i="1"/>
  <c r="BU642" i="1"/>
  <c r="BS642" i="1"/>
  <c r="H642" i="1"/>
  <c r="CB641" i="1"/>
  <c r="CA641" i="1"/>
  <c r="BZ641" i="1"/>
  <c r="BY641" i="1"/>
  <c r="BX641" i="1"/>
  <c r="BW641" i="1"/>
  <c r="BV641" i="1"/>
  <c r="BU641" i="1"/>
  <c r="BS641" i="1"/>
  <c r="H641" i="1"/>
  <c r="CB640" i="1"/>
  <c r="CA640" i="1"/>
  <c r="BZ640" i="1"/>
  <c r="BY640" i="1"/>
  <c r="BX640" i="1"/>
  <c r="BW640" i="1"/>
  <c r="BV640" i="1"/>
  <c r="BU640" i="1"/>
  <c r="BS640" i="1"/>
  <c r="H640" i="1"/>
  <c r="CB639" i="1"/>
  <c r="CA639" i="1"/>
  <c r="BZ639" i="1"/>
  <c r="BY639" i="1"/>
  <c r="BX639" i="1"/>
  <c r="BW639" i="1"/>
  <c r="BV639" i="1"/>
  <c r="BU639" i="1"/>
  <c r="BS639" i="1"/>
  <c r="H639" i="1"/>
  <c r="CB638" i="1"/>
  <c r="CA638" i="1"/>
  <c r="BZ638" i="1"/>
  <c r="BY638" i="1"/>
  <c r="BX638" i="1"/>
  <c r="BW638" i="1"/>
  <c r="BV638" i="1"/>
  <c r="BU638" i="1"/>
  <c r="BS638" i="1"/>
  <c r="H638" i="1"/>
  <c r="CB637" i="1"/>
  <c r="CA637" i="1"/>
  <c r="BZ637" i="1"/>
  <c r="BY637" i="1"/>
  <c r="BX637" i="1"/>
  <c r="BW637" i="1"/>
  <c r="BV637" i="1"/>
  <c r="BU637" i="1"/>
  <c r="BS637" i="1"/>
  <c r="H637" i="1"/>
  <c r="CB636" i="1"/>
  <c r="CA636" i="1"/>
  <c r="BZ636" i="1"/>
  <c r="BY636" i="1"/>
  <c r="BX636" i="1"/>
  <c r="BW636" i="1"/>
  <c r="BV636" i="1"/>
  <c r="BU636" i="1"/>
  <c r="BS636" i="1"/>
  <c r="H636" i="1"/>
  <c r="CB635" i="1"/>
  <c r="CA635" i="1"/>
  <c r="BZ635" i="1"/>
  <c r="BY635" i="1"/>
  <c r="BX635" i="1"/>
  <c r="BW635" i="1"/>
  <c r="BV635" i="1"/>
  <c r="BU635" i="1"/>
  <c r="BS635" i="1"/>
  <c r="H635" i="1"/>
  <c r="CB633" i="1"/>
  <c r="CA633" i="1"/>
  <c r="BZ633" i="1"/>
  <c r="BY633" i="1"/>
  <c r="BX633" i="1"/>
  <c r="BW633" i="1"/>
  <c r="BV633" i="1"/>
  <c r="BU633" i="1"/>
  <c r="BS633" i="1"/>
  <c r="H633" i="1"/>
  <c r="CB632" i="1"/>
  <c r="CA632" i="1"/>
  <c r="BZ632" i="1"/>
  <c r="BY632" i="1"/>
  <c r="BX632" i="1"/>
  <c r="BW632" i="1"/>
  <c r="BV632" i="1"/>
  <c r="BU632" i="1"/>
  <c r="BS632" i="1"/>
  <c r="H632" i="1"/>
  <c r="CB631" i="1"/>
  <c r="CA631" i="1"/>
  <c r="BZ631" i="1"/>
  <c r="BY631" i="1"/>
  <c r="BX631" i="1"/>
  <c r="BW631" i="1"/>
  <c r="BV631" i="1"/>
  <c r="BU631" i="1"/>
  <c r="BS631" i="1"/>
  <c r="H631" i="1"/>
  <c r="CB630" i="1"/>
  <c r="CA630" i="1"/>
  <c r="BZ630" i="1"/>
  <c r="BY630" i="1"/>
  <c r="BX630" i="1"/>
  <c r="BW630" i="1"/>
  <c r="BV630" i="1"/>
  <c r="BU630" i="1"/>
  <c r="BS630" i="1"/>
  <c r="H630" i="1"/>
  <c r="CB629" i="1"/>
  <c r="CA629" i="1"/>
  <c r="BZ629" i="1"/>
  <c r="BY629" i="1"/>
  <c r="BX629" i="1"/>
  <c r="BW629" i="1"/>
  <c r="BV629" i="1"/>
  <c r="BU629" i="1"/>
  <c r="BS629" i="1"/>
  <c r="H629" i="1"/>
  <c r="CB628" i="1"/>
  <c r="CA628" i="1"/>
  <c r="BZ628" i="1"/>
  <c r="BY628" i="1"/>
  <c r="BX628" i="1"/>
  <c r="BW628" i="1"/>
  <c r="BV628" i="1"/>
  <c r="BU628" i="1"/>
  <c r="BS628" i="1"/>
  <c r="H628" i="1"/>
  <c r="CB627" i="1"/>
  <c r="CA627" i="1"/>
  <c r="BZ627" i="1"/>
  <c r="BY627" i="1"/>
  <c r="BX627" i="1"/>
  <c r="BW627" i="1"/>
  <c r="BV627" i="1"/>
  <c r="BU627" i="1"/>
  <c r="BS627" i="1"/>
  <c r="H627" i="1"/>
  <c r="CB626" i="1"/>
  <c r="CA626" i="1"/>
  <c r="BZ626" i="1"/>
  <c r="BY626" i="1"/>
  <c r="BX626" i="1"/>
  <c r="BW626" i="1"/>
  <c r="BV626" i="1"/>
  <c r="BU626" i="1"/>
  <c r="BS626" i="1"/>
  <c r="H626" i="1"/>
  <c r="CB625" i="1"/>
  <c r="CA625" i="1"/>
  <c r="BZ625" i="1"/>
  <c r="BY625" i="1"/>
  <c r="BX625" i="1"/>
  <c r="BW625" i="1"/>
  <c r="BV625" i="1"/>
  <c r="BU625" i="1"/>
  <c r="BS625" i="1"/>
  <c r="H625" i="1"/>
  <c r="CB624" i="1"/>
  <c r="CA624" i="1"/>
  <c r="BZ624" i="1"/>
  <c r="BY624" i="1"/>
  <c r="BX624" i="1"/>
  <c r="BW624" i="1"/>
  <c r="BV624" i="1"/>
  <c r="BU624" i="1"/>
  <c r="BS624" i="1"/>
  <c r="H624" i="1"/>
  <c r="CB623" i="1"/>
  <c r="CA623" i="1"/>
  <c r="BZ623" i="1"/>
  <c r="BY623" i="1"/>
  <c r="BX623" i="1"/>
  <c r="BW623" i="1"/>
  <c r="BV623" i="1"/>
  <c r="BU623" i="1"/>
  <c r="BS623" i="1"/>
  <c r="H623" i="1"/>
  <c r="CB622" i="1"/>
  <c r="CA622" i="1"/>
  <c r="BZ622" i="1"/>
  <c r="BY622" i="1"/>
  <c r="BX622" i="1"/>
  <c r="BW622" i="1"/>
  <c r="BV622" i="1"/>
  <c r="BU622" i="1"/>
  <c r="BS622" i="1"/>
  <c r="H622" i="1"/>
  <c r="CB621" i="1"/>
  <c r="CA621" i="1"/>
  <c r="BZ621" i="1"/>
  <c r="BY621" i="1"/>
  <c r="BX621" i="1"/>
  <c r="BW621" i="1"/>
  <c r="BV621" i="1"/>
  <c r="BU621" i="1"/>
  <c r="BS621" i="1"/>
  <c r="H621" i="1"/>
  <c r="CB620" i="1"/>
  <c r="CA620" i="1"/>
  <c r="BZ620" i="1"/>
  <c r="BY620" i="1"/>
  <c r="BX620" i="1"/>
  <c r="BW620" i="1"/>
  <c r="BV620" i="1"/>
  <c r="BU620" i="1"/>
  <c r="BS620" i="1"/>
  <c r="H620" i="1"/>
  <c r="CB619" i="1"/>
  <c r="CA619" i="1"/>
  <c r="BZ619" i="1"/>
  <c r="BY619" i="1"/>
  <c r="BX619" i="1"/>
  <c r="BW619" i="1"/>
  <c r="BV619" i="1"/>
  <c r="BU619" i="1"/>
  <c r="BS619" i="1"/>
  <c r="H619" i="1"/>
  <c r="CB618" i="1"/>
  <c r="CA618" i="1"/>
  <c r="BZ618" i="1"/>
  <c r="BY618" i="1"/>
  <c r="BX618" i="1"/>
  <c r="BW618" i="1"/>
  <c r="BV618" i="1"/>
  <c r="BU618" i="1"/>
  <c r="BS618" i="1"/>
  <c r="H618" i="1"/>
  <c r="CB615" i="1"/>
  <c r="CA615" i="1"/>
  <c r="BZ615" i="1"/>
  <c r="BY615" i="1"/>
  <c r="BX615" i="1"/>
  <c r="BW615" i="1"/>
  <c r="BV615" i="1"/>
  <c r="BU615" i="1"/>
  <c r="BS615" i="1"/>
  <c r="H615" i="1"/>
  <c r="CB614" i="1"/>
  <c r="CA614" i="1"/>
  <c r="BZ614" i="1"/>
  <c r="BY614" i="1"/>
  <c r="BX614" i="1"/>
  <c r="BW614" i="1"/>
  <c r="BV614" i="1"/>
  <c r="BU614" i="1"/>
  <c r="BS614" i="1"/>
  <c r="H614" i="1"/>
  <c r="CB613" i="1"/>
  <c r="CA613" i="1"/>
  <c r="BZ613" i="1"/>
  <c r="BY613" i="1"/>
  <c r="BX613" i="1"/>
  <c r="BW613" i="1"/>
  <c r="BV613" i="1"/>
  <c r="BU613" i="1"/>
  <c r="BS613" i="1"/>
  <c r="H613" i="1"/>
  <c r="CB612" i="1"/>
  <c r="CA612" i="1"/>
  <c r="BZ612" i="1"/>
  <c r="BY612" i="1"/>
  <c r="BX612" i="1"/>
  <c r="BW612" i="1"/>
  <c r="BV612" i="1"/>
  <c r="BU612" i="1"/>
  <c r="BS612" i="1"/>
  <c r="H612" i="1"/>
  <c r="CB611" i="1"/>
  <c r="CA611" i="1"/>
  <c r="BZ611" i="1"/>
  <c r="BY611" i="1"/>
  <c r="BX611" i="1"/>
  <c r="BW611" i="1"/>
  <c r="BV611" i="1"/>
  <c r="BU611" i="1"/>
  <c r="BS611" i="1"/>
  <c r="H611" i="1"/>
  <c r="CB610" i="1"/>
  <c r="CA610" i="1"/>
  <c r="BZ610" i="1"/>
  <c r="BY610" i="1"/>
  <c r="BX610" i="1"/>
  <c r="BW610" i="1"/>
  <c r="BV610" i="1"/>
  <c r="BU610" i="1"/>
  <c r="BS610" i="1"/>
  <c r="H610" i="1"/>
  <c r="CB609" i="1"/>
  <c r="CA609" i="1"/>
  <c r="BZ609" i="1"/>
  <c r="BY609" i="1"/>
  <c r="BX609" i="1"/>
  <c r="BW609" i="1"/>
  <c r="BV609" i="1"/>
  <c r="BU609" i="1"/>
  <c r="BS609" i="1"/>
  <c r="H609" i="1"/>
  <c r="CB608" i="1"/>
  <c r="CA608" i="1"/>
  <c r="BZ608" i="1"/>
  <c r="BY608" i="1"/>
  <c r="BX608" i="1"/>
  <c r="BW608" i="1"/>
  <c r="BV608" i="1"/>
  <c r="BU608" i="1"/>
  <c r="BS608" i="1"/>
  <c r="H608" i="1"/>
  <c r="CB607" i="1"/>
  <c r="CA607" i="1"/>
  <c r="BZ607" i="1"/>
  <c r="BY607" i="1"/>
  <c r="BX607" i="1"/>
  <c r="BW607" i="1"/>
  <c r="BV607" i="1"/>
  <c r="BU607" i="1"/>
  <c r="BS607" i="1"/>
  <c r="H607" i="1"/>
  <c r="CB606" i="1"/>
  <c r="CA606" i="1"/>
  <c r="BZ606" i="1"/>
  <c r="BY606" i="1"/>
  <c r="BX606" i="1"/>
  <c r="BW606" i="1"/>
  <c r="BV606" i="1"/>
  <c r="BU606" i="1"/>
  <c r="BS606" i="1"/>
  <c r="H606" i="1"/>
  <c r="CB605" i="1"/>
  <c r="CA605" i="1"/>
  <c r="BZ605" i="1"/>
  <c r="BY605" i="1"/>
  <c r="BX605" i="1"/>
  <c r="BW605" i="1"/>
  <c r="BV605" i="1"/>
  <c r="BU605" i="1"/>
  <c r="BS605" i="1"/>
  <c r="H605" i="1"/>
  <c r="CB604" i="1"/>
  <c r="CA604" i="1"/>
  <c r="BZ604" i="1"/>
  <c r="BY604" i="1"/>
  <c r="BX604" i="1"/>
  <c r="BW604" i="1"/>
  <c r="BV604" i="1"/>
  <c r="BU604" i="1"/>
  <c r="BS604" i="1"/>
  <c r="H604" i="1"/>
  <c r="CB603" i="1"/>
  <c r="CA603" i="1"/>
  <c r="BZ603" i="1"/>
  <c r="BY603" i="1"/>
  <c r="BX603" i="1"/>
  <c r="BW603" i="1"/>
  <c r="BV603" i="1"/>
  <c r="BU603" i="1"/>
  <c r="BS603" i="1"/>
  <c r="H603" i="1"/>
  <c r="CB602" i="1"/>
  <c r="CA602" i="1"/>
  <c r="BZ602" i="1"/>
  <c r="BY602" i="1"/>
  <c r="BX602" i="1"/>
  <c r="BW602" i="1"/>
  <c r="BV602" i="1"/>
  <c r="BU602" i="1"/>
  <c r="BS602" i="1"/>
  <c r="H602" i="1"/>
  <c r="CB601" i="1"/>
  <c r="CA601" i="1"/>
  <c r="BZ601" i="1"/>
  <c r="BY601" i="1"/>
  <c r="BX601" i="1"/>
  <c r="BW601" i="1"/>
  <c r="BV601" i="1"/>
  <c r="BU601" i="1"/>
  <c r="BS601" i="1"/>
  <c r="H601" i="1"/>
  <c r="CB598" i="1"/>
  <c r="CA598" i="1"/>
  <c r="BZ598" i="1"/>
  <c r="BY598" i="1"/>
  <c r="BX598" i="1"/>
  <c r="BW598" i="1"/>
  <c r="BV598" i="1"/>
  <c r="BU598" i="1"/>
  <c r="BS598" i="1"/>
  <c r="H598" i="1"/>
  <c r="CB597" i="1"/>
  <c r="CA597" i="1"/>
  <c r="BZ597" i="1"/>
  <c r="BY597" i="1"/>
  <c r="BX597" i="1"/>
  <c r="BW597" i="1"/>
  <c r="BV597" i="1"/>
  <c r="BU597" i="1"/>
  <c r="BS597" i="1"/>
  <c r="H597" i="1"/>
  <c r="CB596" i="1"/>
  <c r="CA596" i="1"/>
  <c r="BZ596" i="1"/>
  <c r="BY596" i="1"/>
  <c r="BX596" i="1"/>
  <c r="BW596" i="1"/>
  <c r="BV596" i="1"/>
  <c r="BU596" i="1"/>
  <c r="BS596" i="1"/>
  <c r="H596" i="1"/>
  <c r="CB595" i="1"/>
  <c r="CA595" i="1"/>
  <c r="BZ595" i="1"/>
  <c r="BY595" i="1"/>
  <c r="BX595" i="1"/>
  <c r="BW595" i="1"/>
  <c r="BV595" i="1"/>
  <c r="BU595" i="1"/>
  <c r="BS595" i="1"/>
  <c r="H595" i="1"/>
  <c r="CB594" i="1"/>
  <c r="CA594" i="1"/>
  <c r="BZ594" i="1"/>
  <c r="BY594" i="1"/>
  <c r="BX594" i="1"/>
  <c r="BW594" i="1"/>
  <c r="BV594" i="1"/>
  <c r="BU594" i="1"/>
  <c r="BS594" i="1"/>
  <c r="H594" i="1"/>
  <c r="CB593" i="1"/>
  <c r="CA593" i="1"/>
  <c r="BZ593" i="1"/>
  <c r="BY593" i="1"/>
  <c r="BX593" i="1"/>
  <c r="BW593" i="1"/>
  <c r="BV593" i="1"/>
  <c r="BU593" i="1"/>
  <c r="BS593" i="1"/>
  <c r="H593" i="1"/>
  <c r="CB592" i="1"/>
  <c r="CA592" i="1"/>
  <c r="BZ592" i="1"/>
  <c r="BY592" i="1"/>
  <c r="BX592" i="1"/>
  <c r="BW592" i="1"/>
  <c r="BV592" i="1"/>
  <c r="BU592" i="1"/>
  <c r="BS592" i="1"/>
  <c r="H592" i="1"/>
  <c r="CB591" i="1"/>
  <c r="CA591" i="1"/>
  <c r="BZ591" i="1"/>
  <c r="BY591" i="1"/>
  <c r="BX591" i="1"/>
  <c r="BW591" i="1"/>
  <c r="BV591" i="1"/>
  <c r="BU591" i="1"/>
  <c r="BS591" i="1"/>
  <c r="H591" i="1"/>
  <c r="CB590" i="1"/>
  <c r="CA590" i="1"/>
  <c r="BZ590" i="1"/>
  <c r="BY590" i="1"/>
  <c r="BX590" i="1"/>
  <c r="BW590" i="1"/>
  <c r="BV590" i="1"/>
  <c r="BU590" i="1"/>
  <c r="BS590" i="1"/>
  <c r="H590" i="1"/>
  <c r="CB589" i="1"/>
  <c r="CA589" i="1"/>
  <c r="BZ589" i="1"/>
  <c r="BY589" i="1"/>
  <c r="BX589" i="1"/>
  <c r="BW589" i="1"/>
  <c r="BV589" i="1"/>
  <c r="BU589" i="1"/>
  <c r="BS589" i="1"/>
  <c r="H589" i="1"/>
  <c r="CB588" i="1"/>
  <c r="CA588" i="1"/>
  <c r="BZ588" i="1"/>
  <c r="BY588" i="1"/>
  <c r="BX588" i="1"/>
  <c r="BW588" i="1"/>
  <c r="BV588" i="1"/>
  <c r="BU588" i="1"/>
  <c r="BS588" i="1"/>
  <c r="H588" i="1"/>
  <c r="CB587" i="1"/>
  <c r="CA587" i="1"/>
  <c r="BZ587" i="1"/>
  <c r="BY587" i="1"/>
  <c r="BX587" i="1"/>
  <c r="BW587" i="1"/>
  <c r="BV587" i="1"/>
  <c r="BU587" i="1"/>
  <c r="BS587" i="1"/>
  <c r="H587" i="1"/>
  <c r="CB586" i="1"/>
  <c r="CA586" i="1"/>
  <c r="BZ586" i="1"/>
  <c r="BY586" i="1"/>
  <c r="BX586" i="1"/>
  <c r="BW586" i="1"/>
  <c r="BV586" i="1"/>
  <c r="BU586" i="1"/>
  <c r="BS586" i="1"/>
  <c r="H586" i="1"/>
  <c r="CB585" i="1"/>
  <c r="CA585" i="1"/>
  <c r="BZ585" i="1"/>
  <c r="BY585" i="1"/>
  <c r="BX585" i="1"/>
  <c r="BW585" i="1"/>
  <c r="BV585" i="1"/>
  <c r="BU585" i="1"/>
  <c r="BS585" i="1"/>
  <c r="H585" i="1"/>
  <c r="CB584" i="1"/>
  <c r="CA584" i="1"/>
  <c r="BZ584" i="1"/>
  <c r="BY584" i="1"/>
  <c r="BX584" i="1"/>
  <c r="BW584" i="1"/>
  <c r="BV584" i="1"/>
  <c r="BU584" i="1"/>
  <c r="BS584" i="1"/>
  <c r="H584" i="1"/>
  <c r="CB581" i="1"/>
  <c r="CA581" i="1"/>
  <c r="BZ581" i="1"/>
  <c r="BY581" i="1"/>
  <c r="BX581" i="1"/>
  <c r="BW581" i="1"/>
  <c r="BV581" i="1"/>
  <c r="BU581" i="1"/>
  <c r="BS581" i="1"/>
  <c r="H581" i="1"/>
  <c r="CB580" i="1"/>
  <c r="CA580" i="1"/>
  <c r="BZ580" i="1"/>
  <c r="BY580" i="1"/>
  <c r="BX580" i="1"/>
  <c r="BW580" i="1"/>
  <c r="BV580" i="1"/>
  <c r="BU580" i="1"/>
  <c r="BS580" i="1"/>
  <c r="H580" i="1"/>
  <c r="CB579" i="1"/>
  <c r="CA579" i="1"/>
  <c r="BZ579" i="1"/>
  <c r="BY579" i="1"/>
  <c r="BX579" i="1"/>
  <c r="BW579" i="1"/>
  <c r="BV579" i="1"/>
  <c r="BU579" i="1"/>
  <c r="BS579" i="1"/>
  <c r="H579" i="1"/>
  <c r="CB578" i="1"/>
  <c r="CA578" i="1"/>
  <c r="BZ578" i="1"/>
  <c r="BY578" i="1"/>
  <c r="BX578" i="1"/>
  <c r="BW578" i="1"/>
  <c r="BV578" i="1"/>
  <c r="BU578" i="1"/>
  <c r="BS578" i="1"/>
  <c r="H578" i="1"/>
  <c r="CB577" i="1"/>
  <c r="CA577" i="1"/>
  <c r="BZ577" i="1"/>
  <c r="BY577" i="1"/>
  <c r="BX577" i="1"/>
  <c r="BW577" i="1"/>
  <c r="BV577" i="1"/>
  <c r="BU577" i="1"/>
  <c r="BS577" i="1"/>
  <c r="H577" i="1"/>
  <c r="CB576" i="1"/>
  <c r="CA576" i="1"/>
  <c r="BZ576" i="1"/>
  <c r="BY576" i="1"/>
  <c r="BX576" i="1"/>
  <c r="BW576" i="1"/>
  <c r="BV576" i="1"/>
  <c r="BU576" i="1"/>
  <c r="BS576" i="1"/>
  <c r="H576" i="1"/>
  <c r="CB575" i="1"/>
  <c r="CA575" i="1"/>
  <c r="BZ575" i="1"/>
  <c r="BY575" i="1"/>
  <c r="BX575" i="1"/>
  <c r="BW575" i="1"/>
  <c r="BV575" i="1"/>
  <c r="BU575" i="1"/>
  <c r="BS575" i="1"/>
  <c r="H575" i="1"/>
  <c r="CB574" i="1"/>
  <c r="CA574" i="1"/>
  <c r="BZ574" i="1"/>
  <c r="BY574" i="1"/>
  <c r="BX574" i="1"/>
  <c r="BW574" i="1"/>
  <c r="BV574" i="1"/>
  <c r="BU574" i="1"/>
  <c r="BS574" i="1"/>
  <c r="H574" i="1"/>
  <c r="CB573" i="1"/>
  <c r="CA573" i="1"/>
  <c r="BZ573" i="1"/>
  <c r="BY573" i="1"/>
  <c r="BX573" i="1"/>
  <c r="BW573" i="1"/>
  <c r="BV573" i="1"/>
  <c r="BU573" i="1"/>
  <c r="BS573" i="1"/>
  <c r="H573" i="1"/>
  <c r="CB572" i="1"/>
  <c r="CA572" i="1"/>
  <c r="BZ572" i="1"/>
  <c r="BY572" i="1"/>
  <c r="BX572" i="1"/>
  <c r="BW572" i="1"/>
  <c r="BV572" i="1"/>
  <c r="BU572" i="1"/>
  <c r="BS572" i="1"/>
  <c r="H572" i="1"/>
  <c r="CB571" i="1"/>
  <c r="CA571" i="1"/>
  <c r="BZ571" i="1"/>
  <c r="BY571" i="1"/>
  <c r="BX571" i="1"/>
  <c r="BW571" i="1"/>
  <c r="BV571" i="1"/>
  <c r="BU571" i="1"/>
  <c r="BS571" i="1"/>
  <c r="H571" i="1"/>
  <c r="CB570" i="1"/>
  <c r="CA570" i="1"/>
  <c r="BZ570" i="1"/>
  <c r="BY570" i="1"/>
  <c r="BX570" i="1"/>
  <c r="BW570" i="1"/>
  <c r="BV570" i="1"/>
  <c r="BU570" i="1"/>
  <c r="BS570" i="1"/>
  <c r="H570" i="1"/>
  <c r="CB569" i="1"/>
  <c r="CA569" i="1"/>
  <c r="BZ569" i="1"/>
  <c r="BY569" i="1"/>
  <c r="BX569" i="1"/>
  <c r="BW569" i="1"/>
  <c r="BV569" i="1"/>
  <c r="BU569" i="1"/>
  <c r="BS569" i="1"/>
  <c r="H569" i="1"/>
  <c r="CB568" i="1"/>
  <c r="CA568" i="1"/>
  <c r="BZ568" i="1"/>
  <c r="BY568" i="1"/>
  <c r="BX568" i="1"/>
  <c r="BW568" i="1"/>
  <c r="BV568" i="1"/>
  <c r="BU568" i="1"/>
  <c r="BS568" i="1"/>
  <c r="H568" i="1"/>
  <c r="CB567" i="1"/>
  <c r="CA567" i="1"/>
  <c r="BZ567" i="1"/>
  <c r="BY567" i="1"/>
  <c r="BX567" i="1"/>
  <c r="BW567" i="1"/>
  <c r="BV567" i="1"/>
  <c r="BU567" i="1"/>
  <c r="BS567" i="1"/>
  <c r="H567" i="1"/>
  <c r="CB566" i="1"/>
  <c r="CA566" i="1"/>
  <c r="BZ566" i="1"/>
  <c r="BY566" i="1"/>
  <c r="BX566" i="1"/>
  <c r="BW566" i="1"/>
  <c r="BV566" i="1"/>
  <c r="BU566" i="1"/>
  <c r="BS566" i="1"/>
  <c r="H566" i="1"/>
  <c r="CB563" i="1"/>
  <c r="CA563" i="1"/>
  <c r="BZ563" i="1"/>
  <c r="BY563" i="1"/>
  <c r="BX563" i="1"/>
  <c r="BW563" i="1"/>
  <c r="BV563" i="1"/>
  <c r="BU563" i="1"/>
  <c r="BS563" i="1"/>
  <c r="H563" i="1"/>
  <c r="CB562" i="1"/>
  <c r="CA562" i="1"/>
  <c r="BZ562" i="1"/>
  <c r="BY562" i="1"/>
  <c r="BX562" i="1"/>
  <c r="BW562" i="1"/>
  <c r="BV562" i="1"/>
  <c r="BU562" i="1"/>
  <c r="BS562" i="1"/>
  <c r="CB561" i="1"/>
  <c r="CA561" i="1"/>
  <c r="BZ561" i="1"/>
  <c r="BY561" i="1"/>
  <c r="BX561" i="1"/>
  <c r="BW561" i="1"/>
  <c r="BV561" i="1"/>
  <c r="BU561" i="1"/>
  <c r="BS561" i="1"/>
  <c r="H561" i="1"/>
  <c r="CB560" i="1"/>
  <c r="CA560" i="1"/>
  <c r="BZ560" i="1"/>
  <c r="BY560" i="1"/>
  <c r="BX560" i="1"/>
  <c r="BW560" i="1"/>
  <c r="BV560" i="1"/>
  <c r="BU560" i="1"/>
  <c r="BS560" i="1"/>
  <c r="H560" i="1"/>
  <c r="CB559" i="1"/>
  <c r="CA559" i="1"/>
  <c r="BZ559" i="1"/>
  <c r="BY559" i="1"/>
  <c r="BX559" i="1"/>
  <c r="BW559" i="1"/>
  <c r="BV559" i="1"/>
  <c r="BU559" i="1"/>
  <c r="BS559" i="1"/>
  <c r="H559" i="1"/>
  <c r="CB558" i="1"/>
  <c r="CA558" i="1"/>
  <c r="BZ558" i="1"/>
  <c r="BY558" i="1"/>
  <c r="BX558" i="1"/>
  <c r="BW558" i="1"/>
  <c r="BV558" i="1"/>
  <c r="BU558" i="1"/>
  <c r="BS558" i="1"/>
  <c r="H558" i="1"/>
  <c r="CB557" i="1"/>
  <c r="CA557" i="1"/>
  <c r="BZ557" i="1"/>
  <c r="BY557" i="1"/>
  <c r="BX557" i="1"/>
  <c r="BW557" i="1"/>
  <c r="BV557" i="1"/>
  <c r="BU557" i="1"/>
  <c r="BS557" i="1"/>
  <c r="H557" i="1"/>
  <c r="CB556" i="1"/>
  <c r="CA556" i="1"/>
  <c r="BZ556" i="1"/>
  <c r="BY556" i="1"/>
  <c r="BX556" i="1"/>
  <c r="BW556" i="1"/>
  <c r="BV556" i="1"/>
  <c r="BU556" i="1"/>
  <c r="BS556" i="1"/>
  <c r="H556" i="1"/>
  <c r="CB555" i="1"/>
  <c r="CA555" i="1"/>
  <c r="BZ555" i="1"/>
  <c r="BY555" i="1"/>
  <c r="BX555" i="1"/>
  <c r="BW555" i="1"/>
  <c r="BV555" i="1"/>
  <c r="BU555" i="1"/>
  <c r="BS555" i="1"/>
  <c r="H555" i="1"/>
  <c r="CB554" i="1"/>
  <c r="CA554" i="1"/>
  <c r="BZ554" i="1"/>
  <c r="BY554" i="1"/>
  <c r="BX554" i="1"/>
  <c r="BW554" i="1"/>
  <c r="BV554" i="1"/>
  <c r="BU554" i="1"/>
  <c r="BS554" i="1"/>
  <c r="H554" i="1"/>
  <c r="CB553" i="1"/>
  <c r="CA553" i="1"/>
  <c r="BZ553" i="1"/>
  <c r="BY553" i="1"/>
  <c r="BX553" i="1"/>
  <c r="BW553" i="1"/>
  <c r="BV553" i="1"/>
  <c r="BU553" i="1"/>
  <c r="BS553" i="1"/>
  <c r="H553" i="1"/>
  <c r="CB552" i="1"/>
  <c r="CA552" i="1"/>
  <c r="BZ552" i="1"/>
  <c r="BY552" i="1"/>
  <c r="BX552" i="1"/>
  <c r="BW552" i="1"/>
  <c r="BV552" i="1"/>
  <c r="BU552" i="1"/>
  <c r="BS552" i="1"/>
  <c r="H552" i="1"/>
  <c r="CB551" i="1"/>
  <c r="CA551" i="1"/>
  <c r="BZ551" i="1"/>
  <c r="BY551" i="1"/>
  <c r="BX551" i="1"/>
  <c r="BW551" i="1"/>
  <c r="BV551" i="1"/>
  <c r="BU551" i="1"/>
  <c r="BS551" i="1"/>
  <c r="H551" i="1"/>
  <c r="CB550" i="1"/>
  <c r="CA550" i="1"/>
  <c r="BZ550" i="1"/>
  <c r="BY550" i="1"/>
  <c r="BX550" i="1"/>
  <c r="BW550" i="1"/>
  <c r="BV550" i="1"/>
  <c r="BU550" i="1"/>
  <c r="BS550" i="1"/>
  <c r="H550" i="1"/>
  <c r="CB549" i="1"/>
  <c r="CA549" i="1"/>
  <c r="BZ549" i="1"/>
  <c r="BY549" i="1"/>
  <c r="BX549" i="1"/>
  <c r="BW549" i="1"/>
  <c r="BV549" i="1"/>
  <c r="BU549" i="1"/>
  <c r="BS549" i="1"/>
  <c r="H549" i="1"/>
  <c r="CB547" i="1"/>
  <c r="CA547" i="1"/>
  <c r="BZ547" i="1"/>
  <c r="BY547" i="1"/>
  <c r="BX547" i="1"/>
  <c r="BW547" i="1"/>
  <c r="BV547" i="1"/>
  <c r="BU547" i="1"/>
  <c r="BS547" i="1"/>
  <c r="H547" i="1"/>
  <c r="CB546" i="1"/>
  <c r="CA546" i="1"/>
  <c r="BZ546" i="1"/>
  <c r="BY546" i="1"/>
  <c r="BX546" i="1"/>
  <c r="BW546" i="1"/>
  <c r="BV546" i="1"/>
  <c r="BU546" i="1"/>
  <c r="BS546" i="1"/>
  <c r="H546" i="1"/>
  <c r="CB545" i="1"/>
  <c r="CA545" i="1"/>
  <c r="BZ545" i="1"/>
  <c r="BY545" i="1"/>
  <c r="BX545" i="1"/>
  <c r="BW545" i="1"/>
  <c r="BV545" i="1"/>
  <c r="BU545" i="1"/>
  <c r="BS545" i="1"/>
  <c r="H545" i="1"/>
  <c r="CB544" i="1"/>
  <c r="CA544" i="1"/>
  <c r="BZ544" i="1"/>
  <c r="BY544" i="1"/>
  <c r="BX544" i="1"/>
  <c r="BW544" i="1"/>
  <c r="BV544" i="1"/>
  <c r="BU544" i="1"/>
  <c r="BS544" i="1"/>
  <c r="H544" i="1"/>
  <c r="CB543" i="1"/>
  <c r="CA543" i="1"/>
  <c r="BZ543" i="1"/>
  <c r="BY543" i="1"/>
  <c r="BX543" i="1"/>
  <c r="BW543" i="1"/>
  <c r="BV543" i="1"/>
  <c r="BU543" i="1"/>
  <c r="BS543" i="1"/>
  <c r="H543" i="1"/>
  <c r="CB542" i="1"/>
  <c r="CA542" i="1"/>
  <c r="BZ542" i="1"/>
  <c r="BY542" i="1"/>
  <c r="BX542" i="1"/>
  <c r="BW542" i="1"/>
  <c r="BV542" i="1"/>
  <c r="BU542" i="1"/>
  <c r="BS542" i="1"/>
  <c r="H542" i="1"/>
  <c r="CB541" i="1"/>
  <c r="CA541" i="1"/>
  <c r="BZ541" i="1"/>
  <c r="BY541" i="1"/>
  <c r="BX541" i="1"/>
  <c r="BW541" i="1"/>
  <c r="BV541" i="1"/>
  <c r="BU541" i="1"/>
  <c r="BS541" i="1"/>
  <c r="H541" i="1"/>
  <c r="CB540" i="1"/>
  <c r="CA540" i="1"/>
  <c r="BZ540" i="1"/>
  <c r="BY540" i="1"/>
  <c r="BX540" i="1"/>
  <c r="BW540" i="1"/>
  <c r="BV540" i="1"/>
  <c r="BU540" i="1"/>
  <c r="BS540" i="1"/>
  <c r="H540" i="1"/>
  <c r="CB539" i="1"/>
  <c r="CA539" i="1"/>
  <c r="BZ539" i="1"/>
  <c r="BY539" i="1"/>
  <c r="BX539" i="1"/>
  <c r="BW539" i="1"/>
  <c r="BV539" i="1"/>
  <c r="BU539" i="1"/>
  <c r="BS539" i="1"/>
  <c r="H539" i="1"/>
  <c r="CB538" i="1"/>
  <c r="CA538" i="1"/>
  <c r="BZ538" i="1"/>
  <c r="BY538" i="1"/>
  <c r="BX538" i="1"/>
  <c r="BW538" i="1"/>
  <c r="BV538" i="1"/>
  <c r="BU538" i="1"/>
  <c r="BS538" i="1"/>
  <c r="H538" i="1"/>
  <c r="CB537" i="1"/>
  <c r="CA537" i="1"/>
  <c r="BZ537" i="1"/>
  <c r="BY537" i="1"/>
  <c r="BX537" i="1"/>
  <c r="BW537" i="1"/>
  <c r="BV537" i="1"/>
  <c r="BU537" i="1"/>
  <c r="BS537" i="1"/>
  <c r="H537" i="1"/>
  <c r="CB536" i="1"/>
  <c r="CA536" i="1"/>
  <c r="BZ536" i="1"/>
  <c r="BY536" i="1"/>
  <c r="BX536" i="1"/>
  <c r="BW536" i="1"/>
  <c r="BV536" i="1"/>
  <c r="BU536" i="1"/>
  <c r="BS536" i="1"/>
  <c r="H536" i="1"/>
  <c r="CB535" i="1"/>
  <c r="CA535" i="1"/>
  <c r="BZ535" i="1"/>
  <c r="BY535" i="1"/>
  <c r="BX535" i="1"/>
  <c r="BW535" i="1"/>
  <c r="BV535" i="1"/>
  <c r="BU535" i="1"/>
  <c r="BS535" i="1"/>
  <c r="H535" i="1"/>
  <c r="CB534" i="1"/>
  <c r="CA534" i="1"/>
  <c r="BZ534" i="1"/>
  <c r="BY534" i="1"/>
  <c r="BX534" i="1"/>
  <c r="BW534" i="1"/>
  <c r="BV534" i="1"/>
  <c r="BU534" i="1"/>
  <c r="BS534" i="1"/>
  <c r="H534" i="1"/>
  <c r="CB533" i="1"/>
  <c r="CA533" i="1"/>
  <c r="BZ533" i="1"/>
  <c r="BY533" i="1"/>
  <c r="BX533" i="1"/>
  <c r="BW533" i="1"/>
  <c r="BV533" i="1"/>
  <c r="BU533" i="1"/>
  <c r="BS533" i="1"/>
  <c r="H533" i="1"/>
  <c r="CB532" i="1"/>
  <c r="CA532" i="1"/>
  <c r="BZ532" i="1"/>
  <c r="BY532" i="1"/>
  <c r="BX532" i="1"/>
  <c r="BW532" i="1"/>
  <c r="BV532" i="1"/>
  <c r="BU532" i="1"/>
  <c r="BS532" i="1"/>
  <c r="H532" i="1"/>
  <c r="CB529" i="1"/>
  <c r="CA529" i="1"/>
  <c r="BZ529" i="1"/>
  <c r="BY529" i="1"/>
  <c r="BX529" i="1"/>
  <c r="BW529" i="1"/>
  <c r="BV529" i="1"/>
  <c r="BU529" i="1"/>
  <c r="BS529" i="1"/>
  <c r="H529" i="1"/>
  <c r="CB528" i="1"/>
  <c r="CA528" i="1"/>
  <c r="BZ528" i="1"/>
  <c r="BY528" i="1"/>
  <c r="BX528" i="1"/>
  <c r="BW528" i="1"/>
  <c r="BV528" i="1"/>
  <c r="BU528" i="1"/>
  <c r="BS528" i="1"/>
  <c r="H528" i="1"/>
  <c r="CB527" i="1"/>
  <c r="CA527" i="1"/>
  <c r="BZ527" i="1"/>
  <c r="BY527" i="1"/>
  <c r="BX527" i="1"/>
  <c r="BW527" i="1"/>
  <c r="BV527" i="1"/>
  <c r="BU527" i="1"/>
  <c r="BS527" i="1"/>
  <c r="H527" i="1"/>
  <c r="CB526" i="1"/>
  <c r="CA526" i="1"/>
  <c r="BZ526" i="1"/>
  <c r="BY526" i="1"/>
  <c r="BX526" i="1"/>
  <c r="BW526" i="1"/>
  <c r="BV526" i="1"/>
  <c r="BU526" i="1"/>
  <c r="BS526" i="1"/>
  <c r="H526" i="1"/>
  <c r="CB525" i="1"/>
  <c r="CA525" i="1"/>
  <c r="BZ525" i="1"/>
  <c r="BY525" i="1"/>
  <c r="BX525" i="1"/>
  <c r="BW525" i="1"/>
  <c r="BV525" i="1"/>
  <c r="BU525" i="1"/>
  <c r="BS525" i="1"/>
  <c r="H525" i="1"/>
  <c r="CB524" i="1"/>
  <c r="CA524" i="1"/>
  <c r="BZ524" i="1"/>
  <c r="BY524" i="1"/>
  <c r="BX524" i="1"/>
  <c r="BW524" i="1"/>
  <c r="BV524" i="1"/>
  <c r="BU524" i="1"/>
  <c r="BS524" i="1"/>
  <c r="H524" i="1"/>
  <c r="CB523" i="1"/>
  <c r="CA523" i="1"/>
  <c r="BZ523" i="1"/>
  <c r="BY523" i="1"/>
  <c r="BX523" i="1"/>
  <c r="BW523" i="1"/>
  <c r="BV523" i="1"/>
  <c r="BU523" i="1"/>
  <c r="BS523" i="1"/>
  <c r="H523" i="1"/>
  <c r="CB522" i="1"/>
  <c r="CA522" i="1"/>
  <c r="BZ522" i="1"/>
  <c r="BY522" i="1"/>
  <c r="BX522" i="1"/>
  <c r="BW522" i="1"/>
  <c r="BV522" i="1"/>
  <c r="BU522" i="1"/>
  <c r="BS522" i="1"/>
  <c r="H522" i="1"/>
  <c r="CB521" i="1"/>
  <c r="CA521" i="1"/>
  <c r="BZ521" i="1"/>
  <c r="BY521" i="1"/>
  <c r="BX521" i="1"/>
  <c r="BW521" i="1"/>
  <c r="BV521" i="1"/>
  <c r="BU521" i="1"/>
  <c r="BS521" i="1"/>
  <c r="H521" i="1"/>
  <c r="CB520" i="1"/>
  <c r="CA520" i="1"/>
  <c r="BZ520" i="1"/>
  <c r="BY520" i="1"/>
  <c r="BX520" i="1"/>
  <c r="BW520" i="1"/>
  <c r="BV520" i="1"/>
  <c r="BU520" i="1"/>
  <c r="BS520" i="1"/>
  <c r="H520" i="1"/>
  <c r="CB519" i="1"/>
  <c r="CA519" i="1"/>
  <c r="BZ519" i="1"/>
  <c r="BY519" i="1"/>
  <c r="BX519" i="1"/>
  <c r="BW519" i="1"/>
  <c r="BV519" i="1"/>
  <c r="BU519" i="1"/>
  <c r="BS519" i="1"/>
  <c r="H519" i="1"/>
  <c r="CB518" i="1"/>
  <c r="CA518" i="1"/>
  <c r="BZ518" i="1"/>
  <c r="BY518" i="1"/>
  <c r="BX518" i="1"/>
  <c r="BW518" i="1"/>
  <c r="BV518" i="1"/>
  <c r="BU518" i="1"/>
  <c r="BS518" i="1"/>
  <c r="H518" i="1"/>
  <c r="CB517" i="1"/>
  <c r="CA517" i="1"/>
  <c r="BZ517" i="1"/>
  <c r="BY517" i="1"/>
  <c r="BX517" i="1"/>
  <c r="BW517" i="1"/>
  <c r="BV517" i="1"/>
  <c r="BU517" i="1"/>
  <c r="BS517" i="1"/>
  <c r="H517" i="1"/>
  <c r="CB516" i="1"/>
  <c r="CA516" i="1"/>
  <c r="BZ516" i="1"/>
  <c r="BY516" i="1"/>
  <c r="BX516" i="1"/>
  <c r="BW516" i="1"/>
  <c r="BV516" i="1"/>
  <c r="BU516" i="1"/>
  <c r="BS516" i="1"/>
  <c r="H516" i="1"/>
  <c r="CB515" i="1"/>
  <c r="CA515" i="1"/>
  <c r="BZ515" i="1"/>
  <c r="BY515" i="1"/>
  <c r="BX515" i="1"/>
  <c r="BW515" i="1"/>
  <c r="BV515" i="1"/>
  <c r="BU515" i="1"/>
  <c r="BS515" i="1"/>
  <c r="H515" i="1"/>
  <c r="CB512" i="1"/>
  <c r="CA512" i="1"/>
  <c r="BZ512" i="1"/>
  <c r="BY512" i="1"/>
  <c r="BX512" i="1"/>
  <c r="BW512" i="1"/>
  <c r="BV512" i="1"/>
  <c r="BU512" i="1"/>
  <c r="BS512" i="1"/>
  <c r="H512" i="1"/>
  <c r="CB511" i="1"/>
  <c r="CA511" i="1"/>
  <c r="BZ511" i="1"/>
  <c r="BY511" i="1"/>
  <c r="BX511" i="1"/>
  <c r="BW511" i="1"/>
  <c r="BV511" i="1"/>
  <c r="BU511" i="1"/>
  <c r="BS511" i="1"/>
  <c r="H511" i="1"/>
  <c r="CB510" i="1"/>
  <c r="CA510" i="1"/>
  <c r="BZ510" i="1"/>
  <c r="BY510" i="1"/>
  <c r="BX510" i="1"/>
  <c r="BW510" i="1"/>
  <c r="BV510" i="1"/>
  <c r="BU510" i="1"/>
  <c r="BS510" i="1"/>
  <c r="H510" i="1"/>
  <c r="CB509" i="1"/>
  <c r="CA509" i="1"/>
  <c r="BZ509" i="1"/>
  <c r="BY509" i="1"/>
  <c r="BX509" i="1"/>
  <c r="BW509" i="1"/>
  <c r="BV509" i="1"/>
  <c r="BU509" i="1"/>
  <c r="BS509" i="1"/>
  <c r="H509" i="1"/>
  <c r="CB508" i="1"/>
  <c r="CA508" i="1"/>
  <c r="BZ508" i="1"/>
  <c r="BY508" i="1"/>
  <c r="BX508" i="1"/>
  <c r="BW508" i="1"/>
  <c r="BV508" i="1"/>
  <c r="BU508" i="1"/>
  <c r="BS508" i="1"/>
  <c r="H508" i="1"/>
  <c r="CB507" i="1"/>
  <c r="CA507" i="1"/>
  <c r="BZ507" i="1"/>
  <c r="BY507" i="1"/>
  <c r="BX507" i="1"/>
  <c r="BW507" i="1"/>
  <c r="BV507" i="1"/>
  <c r="BU507" i="1"/>
  <c r="BS507" i="1"/>
  <c r="H507" i="1"/>
  <c r="CB506" i="1"/>
  <c r="CA506" i="1"/>
  <c r="BZ506" i="1"/>
  <c r="BY506" i="1"/>
  <c r="BX506" i="1"/>
  <c r="BW506" i="1"/>
  <c r="BV506" i="1"/>
  <c r="BU506" i="1"/>
  <c r="BS506" i="1"/>
  <c r="H506" i="1"/>
  <c r="CB505" i="1"/>
  <c r="CA505" i="1"/>
  <c r="BZ505" i="1"/>
  <c r="BY505" i="1"/>
  <c r="BX505" i="1"/>
  <c r="BW505" i="1"/>
  <c r="BV505" i="1"/>
  <c r="BU505" i="1"/>
  <c r="BS505" i="1"/>
  <c r="H505" i="1"/>
  <c r="CB504" i="1"/>
  <c r="CA504" i="1"/>
  <c r="BZ504" i="1"/>
  <c r="BY504" i="1"/>
  <c r="BX504" i="1"/>
  <c r="BW504" i="1"/>
  <c r="BV504" i="1"/>
  <c r="BU504" i="1"/>
  <c r="BS504" i="1"/>
  <c r="H504" i="1"/>
  <c r="CB503" i="1"/>
  <c r="CA503" i="1"/>
  <c r="BZ503" i="1"/>
  <c r="BY503" i="1"/>
  <c r="BX503" i="1"/>
  <c r="BW503" i="1"/>
  <c r="BV503" i="1"/>
  <c r="BU503" i="1"/>
  <c r="BS503" i="1"/>
  <c r="H503" i="1"/>
  <c r="CB502" i="1"/>
  <c r="CA502" i="1"/>
  <c r="BZ502" i="1"/>
  <c r="BY502" i="1"/>
  <c r="BX502" i="1"/>
  <c r="BW502" i="1"/>
  <c r="BV502" i="1"/>
  <c r="BU502" i="1"/>
  <c r="BS502" i="1"/>
  <c r="H502" i="1"/>
  <c r="CB501" i="1"/>
  <c r="CA501" i="1"/>
  <c r="BZ501" i="1"/>
  <c r="BY501" i="1"/>
  <c r="BX501" i="1"/>
  <c r="BW501" i="1"/>
  <c r="BV501" i="1"/>
  <c r="BU501" i="1"/>
  <c r="BS501" i="1"/>
  <c r="H501" i="1"/>
  <c r="CB500" i="1"/>
  <c r="CA500" i="1"/>
  <c r="BZ500" i="1"/>
  <c r="BY500" i="1"/>
  <c r="BX500" i="1"/>
  <c r="BW500" i="1"/>
  <c r="BV500" i="1"/>
  <c r="BU500" i="1"/>
  <c r="BS500" i="1"/>
  <c r="H500" i="1"/>
  <c r="CB499" i="1"/>
  <c r="CA499" i="1"/>
  <c r="BZ499" i="1"/>
  <c r="BY499" i="1"/>
  <c r="BX499" i="1"/>
  <c r="BW499" i="1"/>
  <c r="BV499" i="1"/>
  <c r="BU499" i="1"/>
  <c r="BS499" i="1"/>
  <c r="H499" i="1"/>
  <c r="CB498" i="1"/>
  <c r="CA498" i="1"/>
  <c r="BZ498" i="1"/>
  <c r="BY498" i="1"/>
  <c r="BX498" i="1"/>
  <c r="BW498" i="1"/>
  <c r="BV498" i="1"/>
  <c r="BU498" i="1"/>
  <c r="BS498" i="1"/>
  <c r="H498" i="1"/>
  <c r="CB495" i="1"/>
  <c r="CA495" i="1"/>
  <c r="BZ495" i="1"/>
  <c r="BY495" i="1"/>
  <c r="BX495" i="1"/>
  <c r="BW495" i="1"/>
  <c r="BV495" i="1"/>
  <c r="BU495" i="1"/>
  <c r="BS495" i="1"/>
  <c r="H495" i="1"/>
  <c r="CB494" i="1"/>
  <c r="CA494" i="1"/>
  <c r="BZ494" i="1"/>
  <c r="BY494" i="1"/>
  <c r="BX494" i="1"/>
  <c r="BW494" i="1"/>
  <c r="BV494" i="1"/>
  <c r="BU494" i="1"/>
  <c r="BS494" i="1"/>
  <c r="H494" i="1"/>
  <c r="CB493" i="1"/>
  <c r="CA493" i="1"/>
  <c r="BZ493" i="1"/>
  <c r="BY493" i="1"/>
  <c r="BX493" i="1"/>
  <c r="BW493" i="1"/>
  <c r="BV493" i="1"/>
  <c r="BU493" i="1"/>
  <c r="BS493" i="1"/>
  <c r="H493" i="1"/>
  <c r="CB492" i="1"/>
  <c r="CA492" i="1"/>
  <c r="BZ492" i="1"/>
  <c r="BY492" i="1"/>
  <c r="BX492" i="1"/>
  <c r="BW492" i="1"/>
  <c r="BV492" i="1"/>
  <c r="BU492" i="1"/>
  <c r="BS492" i="1"/>
  <c r="H492" i="1"/>
  <c r="CB491" i="1"/>
  <c r="CA491" i="1"/>
  <c r="BZ491" i="1"/>
  <c r="BY491" i="1"/>
  <c r="BX491" i="1"/>
  <c r="BW491" i="1"/>
  <c r="BV491" i="1"/>
  <c r="BU491" i="1"/>
  <c r="BS491" i="1"/>
  <c r="H491" i="1"/>
  <c r="CB490" i="1"/>
  <c r="CA490" i="1"/>
  <c r="BZ490" i="1"/>
  <c r="BY490" i="1"/>
  <c r="BX490" i="1"/>
  <c r="BW490" i="1"/>
  <c r="BV490" i="1"/>
  <c r="BU490" i="1"/>
  <c r="BS490" i="1"/>
  <c r="H490" i="1"/>
  <c r="CB489" i="1"/>
  <c r="CA489" i="1"/>
  <c r="BZ489" i="1"/>
  <c r="BY489" i="1"/>
  <c r="BX489" i="1"/>
  <c r="BW489" i="1"/>
  <c r="BV489" i="1"/>
  <c r="BU489" i="1"/>
  <c r="BS489" i="1"/>
  <c r="H489" i="1"/>
  <c r="CB488" i="1"/>
  <c r="CA488" i="1"/>
  <c r="BZ488" i="1"/>
  <c r="BY488" i="1"/>
  <c r="BX488" i="1"/>
  <c r="BW488" i="1"/>
  <c r="BV488" i="1"/>
  <c r="BU488" i="1"/>
  <c r="BS488" i="1"/>
  <c r="H488" i="1"/>
  <c r="CB487" i="1"/>
  <c r="CA487" i="1"/>
  <c r="BZ487" i="1"/>
  <c r="BY487" i="1"/>
  <c r="BX487" i="1"/>
  <c r="BW487" i="1"/>
  <c r="BV487" i="1"/>
  <c r="BU487" i="1"/>
  <c r="BS487" i="1"/>
  <c r="H487" i="1"/>
  <c r="CB486" i="1"/>
  <c r="CA486" i="1"/>
  <c r="BZ486" i="1"/>
  <c r="BY486" i="1"/>
  <c r="BX486" i="1"/>
  <c r="BW486" i="1"/>
  <c r="BV486" i="1"/>
  <c r="BU486" i="1"/>
  <c r="BS486" i="1"/>
  <c r="H486" i="1"/>
  <c r="CB485" i="1"/>
  <c r="CA485" i="1"/>
  <c r="BZ485" i="1"/>
  <c r="BY485" i="1"/>
  <c r="BX485" i="1"/>
  <c r="BW485" i="1"/>
  <c r="BV485" i="1"/>
  <c r="BU485" i="1"/>
  <c r="BS485" i="1"/>
  <c r="H485" i="1"/>
  <c r="CB484" i="1"/>
  <c r="CA484" i="1"/>
  <c r="BZ484" i="1"/>
  <c r="BY484" i="1"/>
  <c r="BX484" i="1"/>
  <c r="BW484" i="1"/>
  <c r="BV484" i="1"/>
  <c r="BU484" i="1"/>
  <c r="BS484" i="1"/>
  <c r="H484" i="1"/>
  <c r="CB483" i="1"/>
  <c r="CA483" i="1"/>
  <c r="BZ483" i="1"/>
  <c r="BY483" i="1"/>
  <c r="BX483" i="1"/>
  <c r="BW483" i="1"/>
  <c r="BV483" i="1"/>
  <c r="BU483" i="1"/>
  <c r="BS483" i="1"/>
  <c r="H483" i="1"/>
  <c r="CB482" i="1"/>
  <c r="CA482" i="1"/>
  <c r="BZ482" i="1"/>
  <c r="BY482" i="1"/>
  <c r="BX482" i="1"/>
  <c r="BW482" i="1"/>
  <c r="BV482" i="1"/>
  <c r="BU482" i="1"/>
  <c r="BS482" i="1"/>
  <c r="H482" i="1"/>
  <c r="CB481" i="1"/>
  <c r="CA481" i="1"/>
  <c r="BZ481" i="1"/>
  <c r="BY481" i="1"/>
  <c r="BX481" i="1"/>
  <c r="BW481" i="1"/>
  <c r="BV481" i="1"/>
  <c r="BU481" i="1"/>
  <c r="BS481" i="1"/>
  <c r="H481" i="1"/>
  <c r="CB479" i="1"/>
  <c r="BZ479" i="1"/>
  <c r="BY479" i="1"/>
  <c r="BX479" i="1"/>
  <c r="BW479" i="1"/>
  <c r="BV479" i="1"/>
  <c r="BU479" i="1"/>
  <c r="BS479" i="1"/>
  <c r="H479" i="1"/>
  <c r="CB478" i="1"/>
  <c r="BZ478" i="1"/>
  <c r="BY478" i="1"/>
  <c r="BX478" i="1"/>
  <c r="BW478" i="1"/>
  <c r="BV478" i="1"/>
  <c r="BU478" i="1"/>
  <c r="BS478" i="1"/>
  <c r="H478" i="1"/>
  <c r="CB477" i="1"/>
  <c r="BZ477" i="1"/>
  <c r="BY477" i="1"/>
  <c r="BX477" i="1"/>
  <c r="BW477" i="1"/>
  <c r="BV477" i="1"/>
  <c r="BU477" i="1"/>
  <c r="BS477" i="1"/>
  <c r="H477" i="1"/>
  <c r="CB476" i="1"/>
  <c r="BZ476" i="1"/>
  <c r="BY476" i="1"/>
  <c r="BX476" i="1"/>
  <c r="BW476" i="1"/>
  <c r="BV476" i="1"/>
  <c r="BU476" i="1"/>
  <c r="BS476" i="1"/>
  <c r="H476" i="1"/>
  <c r="CB475" i="1"/>
  <c r="BZ475" i="1"/>
  <c r="BY475" i="1"/>
  <c r="BX475" i="1"/>
  <c r="BW475" i="1"/>
  <c r="BV475" i="1"/>
  <c r="BU475" i="1"/>
  <c r="BS475" i="1"/>
  <c r="H475" i="1"/>
  <c r="CB474" i="1"/>
  <c r="BZ474" i="1"/>
  <c r="BY474" i="1"/>
  <c r="BX474" i="1"/>
  <c r="BW474" i="1"/>
  <c r="BV474" i="1"/>
  <c r="BU474" i="1"/>
  <c r="BS474" i="1"/>
  <c r="H474" i="1"/>
  <c r="CB473" i="1"/>
  <c r="BZ473" i="1"/>
  <c r="BY473" i="1"/>
  <c r="BX473" i="1"/>
  <c r="BW473" i="1"/>
  <c r="BV473" i="1"/>
  <c r="BU473" i="1"/>
  <c r="BS473" i="1"/>
  <c r="H473" i="1"/>
  <c r="CB472" i="1"/>
  <c r="BZ472" i="1"/>
  <c r="BY472" i="1"/>
  <c r="BX472" i="1"/>
  <c r="BW472" i="1"/>
  <c r="BV472" i="1"/>
  <c r="BU472" i="1"/>
  <c r="BS472" i="1"/>
  <c r="H472" i="1"/>
  <c r="CB471" i="1"/>
  <c r="CA471" i="1"/>
  <c r="BZ471" i="1"/>
  <c r="BY471" i="1"/>
  <c r="BX471" i="1"/>
  <c r="BW471" i="1"/>
  <c r="BV471" i="1"/>
  <c r="BU471" i="1"/>
  <c r="BS471" i="1"/>
  <c r="H471" i="1"/>
  <c r="CB470" i="1"/>
  <c r="CA470" i="1"/>
  <c r="BZ470" i="1"/>
  <c r="BY470" i="1"/>
  <c r="BX470" i="1"/>
  <c r="BW470" i="1"/>
  <c r="BV470" i="1"/>
  <c r="BU470" i="1"/>
  <c r="BS470" i="1"/>
  <c r="H470" i="1"/>
  <c r="CB469" i="1"/>
  <c r="CA469" i="1"/>
  <c r="BZ469" i="1"/>
  <c r="BY469" i="1"/>
  <c r="BX469" i="1"/>
  <c r="BW469" i="1"/>
  <c r="BV469" i="1"/>
  <c r="BU469" i="1"/>
  <c r="BS469" i="1"/>
  <c r="H469" i="1"/>
  <c r="CB468" i="1"/>
  <c r="CA468" i="1"/>
  <c r="BZ468" i="1"/>
  <c r="BY468" i="1"/>
  <c r="BX468" i="1"/>
  <c r="BW468" i="1"/>
  <c r="BV468" i="1"/>
  <c r="BU468" i="1"/>
  <c r="BS468" i="1"/>
  <c r="H468" i="1"/>
  <c r="CB467" i="1"/>
  <c r="CA467" i="1"/>
  <c r="BZ467" i="1"/>
  <c r="BY467" i="1"/>
  <c r="BX467" i="1"/>
  <c r="BW467" i="1"/>
  <c r="BV467" i="1"/>
  <c r="BU467" i="1"/>
  <c r="BS467" i="1"/>
  <c r="H467" i="1"/>
  <c r="CB466" i="1"/>
  <c r="CA466" i="1"/>
  <c r="BZ466" i="1"/>
  <c r="BY466" i="1"/>
  <c r="BX466" i="1"/>
  <c r="BW466" i="1"/>
  <c r="BV466" i="1"/>
  <c r="BU466" i="1"/>
  <c r="BS466" i="1"/>
  <c r="H466" i="1"/>
  <c r="CB465" i="1"/>
  <c r="CA465" i="1"/>
  <c r="BZ465" i="1"/>
  <c r="BY465" i="1"/>
  <c r="BX465" i="1"/>
  <c r="BW465" i="1"/>
  <c r="BV465" i="1"/>
  <c r="BU465" i="1"/>
  <c r="BS465" i="1"/>
  <c r="H465" i="1"/>
  <c r="CB464" i="1"/>
  <c r="CA464" i="1"/>
  <c r="BZ464" i="1"/>
  <c r="BY464" i="1"/>
  <c r="BX464" i="1"/>
  <c r="BW464" i="1"/>
  <c r="BV464" i="1"/>
  <c r="BU464" i="1"/>
  <c r="BS464" i="1"/>
  <c r="H464" i="1"/>
  <c r="CB462" i="1"/>
  <c r="CA462" i="1"/>
  <c r="BZ462" i="1"/>
  <c r="BY462" i="1"/>
  <c r="BX462" i="1"/>
  <c r="BW462" i="1"/>
  <c r="BV462" i="1"/>
  <c r="BU462" i="1"/>
  <c r="BS462" i="1"/>
  <c r="H462" i="1"/>
  <c r="CB461" i="1"/>
  <c r="CA461" i="1"/>
  <c r="BZ461" i="1"/>
  <c r="BY461" i="1"/>
  <c r="BX461" i="1"/>
  <c r="BW461" i="1"/>
  <c r="BV461" i="1"/>
  <c r="BU461" i="1"/>
  <c r="BS461" i="1"/>
  <c r="H461" i="1"/>
  <c r="CB460" i="1"/>
  <c r="CA460" i="1"/>
  <c r="BZ460" i="1"/>
  <c r="BY460" i="1"/>
  <c r="BX460" i="1"/>
  <c r="BW460" i="1"/>
  <c r="BV460" i="1"/>
  <c r="BU460" i="1"/>
  <c r="BS460" i="1"/>
  <c r="H460" i="1"/>
  <c r="CB459" i="1"/>
  <c r="CA459" i="1"/>
  <c r="BZ459" i="1"/>
  <c r="BY459" i="1"/>
  <c r="BX459" i="1"/>
  <c r="BW459" i="1"/>
  <c r="BV459" i="1"/>
  <c r="BU459" i="1"/>
  <c r="BS459" i="1"/>
  <c r="H459" i="1"/>
  <c r="CB458" i="1"/>
  <c r="CA458" i="1"/>
  <c r="BZ458" i="1"/>
  <c r="BY458" i="1"/>
  <c r="BX458" i="1"/>
  <c r="BW458" i="1"/>
  <c r="BV458" i="1"/>
  <c r="BU458" i="1"/>
  <c r="BS458" i="1"/>
  <c r="H458" i="1"/>
  <c r="CB457" i="1"/>
  <c r="CA457" i="1"/>
  <c r="BZ457" i="1"/>
  <c r="BY457" i="1"/>
  <c r="BX457" i="1"/>
  <c r="BW457" i="1"/>
  <c r="BV457" i="1"/>
  <c r="BU457" i="1"/>
  <c r="BS457" i="1"/>
  <c r="H457" i="1"/>
  <c r="CB456" i="1"/>
  <c r="CA456" i="1"/>
  <c r="BZ456" i="1"/>
  <c r="BY456" i="1"/>
  <c r="BX456" i="1"/>
  <c r="BW456" i="1"/>
  <c r="BV456" i="1"/>
  <c r="BU456" i="1"/>
  <c r="BS456" i="1"/>
  <c r="H456" i="1"/>
  <c r="CB455" i="1"/>
  <c r="CA455" i="1"/>
  <c r="BZ455" i="1"/>
  <c r="BY455" i="1"/>
  <c r="BX455" i="1"/>
  <c r="BW455" i="1"/>
  <c r="BV455" i="1"/>
  <c r="BU455" i="1"/>
  <c r="BS455" i="1"/>
  <c r="H455" i="1"/>
  <c r="CB454" i="1"/>
  <c r="CA454" i="1"/>
  <c r="BZ454" i="1"/>
  <c r="BY454" i="1"/>
  <c r="BX454" i="1"/>
  <c r="BW454" i="1"/>
  <c r="BV454" i="1"/>
  <c r="BU454" i="1"/>
  <c r="BS454" i="1"/>
  <c r="H454" i="1"/>
  <c r="CB453" i="1"/>
  <c r="CA453" i="1"/>
  <c r="BZ453" i="1"/>
  <c r="BY453" i="1"/>
  <c r="BX453" i="1"/>
  <c r="BW453" i="1"/>
  <c r="BV453" i="1"/>
  <c r="BU453" i="1"/>
  <c r="BS453" i="1"/>
  <c r="H453" i="1"/>
  <c r="CB452" i="1"/>
  <c r="CA452" i="1"/>
  <c r="BZ452" i="1"/>
  <c r="BY452" i="1"/>
  <c r="BX452" i="1"/>
  <c r="BW452" i="1"/>
  <c r="BV452" i="1"/>
  <c r="BU452" i="1"/>
  <c r="BS452" i="1"/>
  <c r="H452" i="1"/>
  <c r="CB451" i="1"/>
  <c r="CA451" i="1"/>
  <c r="BZ451" i="1"/>
  <c r="BY451" i="1"/>
  <c r="BX451" i="1"/>
  <c r="BW451" i="1"/>
  <c r="BV451" i="1"/>
  <c r="BU451" i="1"/>
  <c r="BS451" i="1"/>
  <c r="H451" i="1"/>
  <c r="CB450" i="1"/>
  <c r="CA450" i="1"/>
  <c r="BZ450" i="1"/>
  <c r="BY450" i="1"/>
  <c r="BX450" i="1"/>
  <c r="BW450" i="1"/>
  <c r="BV450" i="1"/>
  <c r="BU450" i="1"/>
  <c r="BS450" i="1"/>
  <c r="H450" i="1"/>
  <c r="CB449" i="1"/>
  <c r="CA449" i="1"/>
  <c r="BZ449" i="1"/>
  <c r="BY449" i="1"/>
  <c r="BX449" i="1"/>
  <c r="BW449" i="1"/>
  <c r="BV449" i="1"/>
  <c r="BU449" i="1"/>
  <c r="BS449" i="1"/>
  <c r="H449" i="1"/>
  <c r="CB448" i="1"/>
  <c r="CA448" i="1"/>
  <c r="BZ448" i="1"/>
  <c r="BY448" i="1"/>
  <c r="BX448" i="1"/>
  <c r="BW448" i="1"/>
  <c r="BV448" i="1"/>
  <c r="BU448" i="1"/>
  <c r="BS448" i="1"/>
  <c r="H448" i="1"/>
  <c r="CB447" i="1"/>
  <c r="CA447" i="1"/>
  <c r="BZ447" i="1"/>
  <c r="BY447" i="1"/>
  <c r="BX447" i="1"/>
  <c r="BW447" i="1"/>
  <c r="BV447" i="1"/>
  <c r="BU447" i="1"/>
  <c r="BS447" i="1"/>
  <c r="H447" i="1"/>
  <c r="CB444" i="1"/>
  <c r="CA444" i="1"/>
  <c r="BZ444" i="1"/>
  <c r="BY444" i="1"/>
  <c r="BX444" i="1"/>
  <c r="BW444" i="1"/>
  <c r="BV444" i="1"/>
  <c r="BU444" i="1"/>
  <c r="BS444" i="1"/>
  <c r="H444" i="1"/>
  <c r="CB443" i="1"/>
  <c r="CA443" i="1"/>
  <c r="BZ443" i="1"/>
  <c r="BY443" i="1"/>
  <c r="BX443" i="1"/>
  <c r="BW443" i="1"/>
  <c r="BV443" i="1"/>
  <c r="BU443" i="1"/>
  <c r="BS443" i="1"/>
  <c r="H443" i="1"/>
  <c r="CB442" i="1"/>
  <c r="CA442" i="1"/>
  <c r="BZ442" i="1"/>
  <c r="BY442" i="1"/>
  <c r="BX442" i="1"/>
  <c r="BW442" i="1"/>
  <c r="BV442" i="1"/>
  <c r="BU442" i="1"/>
  <c r="BS442" i="1"/>
  <c r="H442" i="1"/>
  <c r="CB441" i="1"/>
  <c r="CA441" i="1"/>
  <c r="BZ441" i="1"/>
  <c r="BY441" i="1"/>
  <c r="BX441" i="1"/>
  <c r="BW441" i="1"/>
  <c r="BV441" i="1"/>
  <c r="BU441" i="1"/>
  <c r="BS441" i="1"/>
  <c r="H441" i="1"/>
  <c r="CB440" i="1"/>
  <c r="CA440" i="1"/>
  <c r="BZ440" i="1"/>
  <c r="BY440" i="1"/>
  <c r="BX440" i="1"/>
  <c r="BW440" i="1"/>
  <c r="BV440" i="1"/>
  <c r="BU440" i="1"/>
  <c r="BS440" i="1"/>
  <c r="H440" i="1"/>
  <c r="CB439" i="1"/>
  <c r="CA439" i="1"/>
  <c r="BZ439" i="1"/>
  <c r="BY439" i="1"/>
  <c r="BX439" i="1"/>
  <c r="BW439" i="1"/>
  <c r="BV439" i="1"/>
  <c r="BU439" i="1"/>
  <c r="BS439" i="1"/>
  <c r="H439" i="1"/>
  <c r="CB438" i="1"/>
  <c r="CA438" i="1"/>
  <c r="BZ438" i="1"/>
  <c r="BY438" i="1"/>
  <c r="BX438" i="1"/>
  <c r="BW438" i="1"/>
  <c r="BV438" i="1"/>
  <c r="BU438" i="1"/>
  <c r="BS438" i="1"/>
  <c r="H438" i="1"/>
  <c r="CB437" i="1"/>
  <c r="CA437" i="1"/>
  <c r="BZ437" i="1"/>
  <c r="BY437" i="1"/>
  <c r="BX437" i="1"/>
  <c r="BW437" i="1"/>
  <c r="BV437" i="1"/>
  <c r="BU437" i="1"/>
  <c r="BS437" i="1"/>
  <c r="H437" i="1"/>
  <c r="CB436" i="1"/>
  <c r="CA436" i="1"/>
  <c r="BZ436" i="1"/>
  <c r="BY436" i="1"/>
  <c r="BX436" i="1"/>
  <c r="BW436" i="1"/>
  <c r="BV436" i="1"/>
  <c r="BU436" i="1"/>
  <c r="BS436" i="1"/>
  <c r="H436" i="1"/>
  <c r="CB435" i="1"/>
  <c r="CA435" i="1"/>
  <c r="BZ435" i="1"/>
  <c r="BY435" i="1"/>
  <c r="BX435" i="1"/>
  <c r="BW435" i="1"/>
  <c r="BV435" i="1"/>
  <c r="BU435" i="1"/>
  <c r="BS435" i="1"/>
  <c r="H435" i="1"/>
  <c r="CB434" i="1"/>
  <c r="CA434" i="1"/>
  <c r="BZ434" i="1"/>
  <c r="BY434" i="1"/>
  <c r="BX434" i="1"/>
  <c r="BW434" i="1"/>
  <c r="BV434" i="1"/>
  <c r="BU434" i="1"/>
  <c r="BS434" i="1"/>
  <c r="H434" i="1"/>
  <c r="CB433" i="1"/>
  <c r="CA433" i="1"/>
  <c r="BZ433" i="1"/>
  <c r="BY433" i="1"/>
  <c r="BX433" i="1"/>
  <c r="BW433" i="1"/>
  <c r="BV433" i="1"/>
  <c r="BU433" i="1"/>
  <c r="BS433" i="1"/>
  <c r="H433" i="1"/>
  <c r="CB432" i="1"/>
  <c r="CA432" i="1"/>
  <c r="BZ432" i="1"/>
  <c r="BY432" i="1"/>
  <c r="BX432" i="1"/>
  <c r="BW432" i="1"/>
  <c r="BV432" i="1"/>
  <c r="BU432" i="1"/>
  <c r="BS432" i="1"/>
  <c r="H432" i="1"/>
  <c r="CB431" i="1"/>
  <c r="CA431" i="1"/>
  <c r="BZ431" i="1"/>
  <c r="BY431" i="1"/>
  <c r="BX431" i="1"/>
  <c r="BW431" i="1"/>
  <c r="BV431" i="1"/>
  <c r="BU431" i="1"/>
  <c r="BS431" i="1"/>
  <c r="H431" i="1"/>
  <c r="CB430" i="1"/>
  <c r="CA430" i="1"/>
  <c r="BZ430" i="1"/>
  <c r="BY430" i="1"/>
  <c r="BX430" i="1"/>
  <c r="BW430" i="1"/>
  <c r="BV430" i="1"/>
  <c r="BU430" i="1"/>
  <c r="BS430" i="1"/>
  <c r="H430" i="1"/>
  <c r="CB428" i="1"/>
  <c r="CA428" i="1"/>
  <c r="BZ428" i="1"/>
  <c r="BY428" i="1"/>
  <c r="BX428" i="1"/>
  <c r="BW428" i="1"/>
  <c r="BV428" i="1"/>
  <c r="BU428" i="1"/>
  <c r="BS428" i="1"/>
  <c r="H428" i="1"/>
  <c r="CB427" i="1"/>
  <c r="CA427" i="1"/>
  <c r="BZ427" i="1"/>
  <c r="BY427" i="1"/>
  <c r="BX427" i="1"/>
  <c r="BW427" i="1"/>
  <c r="BV427" i="1"/>
  <c r="BU427" i="1"/>
  <c r="BS427" i="1"/>
  <c r="H427" i="1"/>
  <c r="CB426" i="1"/>
  <c r="CA426" i="1"/>
  <c r="BZ426" i="1"/>
  <c r="BY426" i="1"/>
  <c r="BX426" i="1"/>
  <c r="BW426" i="1"/>
  <c r="BV426" i="1"/>
  <c r="BU426" i="1"/>
  <c r="BS426" i="1"/>
  <c r="H426" i="1"/>
  <c r="CB425" i="1"/>
  <c r="CA425" i="1"/>
  <c r="BZ425" i="1"/>
  <c r="BY425" i="1"/>
  <c r="BX425" i="1"/>
  <c r="BW425" i="1"/>
  <c r="BV425" i="1"/>
  <c r="BU425" i="1"/>
  <c r="BS425" i="1"/>
  <c r="H425" i="1"/>
  <c r="CB424" i="1"/>
  <c r="CA424" i="1"/>
  <c r="BZ424" i="1"/>
  <c r="BY424" i="1"/>
  <c r="BX424" i="1"/>
  <c r="BW424" i="1"/>
  <c r="BV424" i="1"/>
  <c r="BU424" i="1"/>
  <c r="BS424" i="1"/>
  <c r="H424" i="1"/>
  <c r="CB423" i="1"/>
  <c r="CA423" i="1"/>
  <c r="BZ423" i="1"/>
  <c r="BY423" i="1"/>
  <c r="BX423" i="1"/>
  <c r="BW423" i="1"/>
  <c r="BV423" i="1"/>
  <c r="BU423" i="1"/>
  <c r="BS423" i="1"/>
  <c r="H423" i="1"/>
  <c r="CB422" i="1"/>
  <c r="CA422" i="1"/>
  <c r="BZ422" i="1"/>
  <c r="BY422" i="1"/>
  <c r="BX422" i="1"/>
  <c r="BW422" i="1"/>
  <c r="BV422" i="1"/>
  <c r="BU422" i="1"/>
  <c r="BS422" i="1"/>
  <c r="H422" i="1"/>
  <c r="CB421" i="1"/>
  <c r="CA421" i="1"/>
  <c r="BZ421" i="1"/>
  <c r="BY421" i="1"/>
  <c r="BX421" i="1"/>
  <c r="BW421" i="1"/>
  <c r="BV421" i="1"/>
  <c r="BU421" i="1"/>
  <c r="BS421" i="1"/>
  <c r="H421" i="1"/>
  <c r="CB420" i="1"/>
  <c r="CA420" i="1"/>
  <c r="BZ420" i="1"/>
  <c r="BY420" i="1"/>
  <c r="BX420" i="1"/>
  <c r="BW420" i="1"/>
  <c r="BV420" i="1"/>
  <c r="BU420" i="1"/>
  <c r="BS420" i="1"/>
  <c r="H420" i="1"/>
  <c r="CB419" i="1"/>
  <c r="CA419" i="1"/>
  <c r="BZ419" i="1"/>
  <c r="BY419" i="1"/>
  <c r="BX419" i="1"/>
  <c r="BW419" i="1"/>
  <c r="BV419" i="1"/>
  <c r="BU419" i="1"/>
  <c r="BS419" i="1"/>
  <c r="H419" i="1"/>
  <c r="CB418" i="1"/>
  <c r="CA418" i="1"/>
  <c r="BZ418" i="1"/>
  <c r="BY418" i="1"/>
  <c r="BX418" i="1"/>
  <c r="BW418" i="1"/>
  <c r="BV418" i="1"/>
  <c r="BU418" i="1"/>
  <c r="BS418" i="1"/>
  <c r="H418" i="1"/>
  <c r="CB417" i="1"/>
  <c r="CA417" i="1"/>
  <c r="BZ417" i="1"/>
  <c r="BY417" i="1"/>
  <c r="BX417" i="1"/>
  <c r="BW417" i="1"/>
  <c r="BV417" i="1"/>
  <c r="BU417" i="1"/>
  <c r="BS417" i="1"/>
  <c r="H417" i="1"/>
  <c r="CB416" i="1"/>
  <c r="CA416" i="1"/>
  <c r="BZ416" i="1"/>
  <c r="BY416" i="1"/>
  <c r="BX416" i="1"/>
  <c r="BW416" i="1"/>
  <c r="BV416" i="1"/>
  <c r="BU416" i="1"/>
  <c r="BS416" i="1"/>
  <c r="H416" i="1"/>
  <c r="CB415" i="1"/>
  <c r="CA415" i="1"/>
  <c r="BZ415" i="1"/>
  <c r="BY415" i="1"/>
  <c r="BX415" i="1"/>
  <c r="BW415" i="1"/>
  <c r="BV415" i="1"/>
  <c r="BU415" i="1"/>
  <c r="BS415" i="1"/>
  <c r="H415" i="1"/>
  <c r="CB414" i="1"/>
  <c r="CA414" i="1"/>
  <c r="BZ414" i="1"/>
  <c r="BY414" i="1"/>
  <c r="BX414" i="1"/>
  <c r="BW414" i="1"/>
  <c r="BV414" i="1"/>
  <c r="BU414" i="1"/>
  <c r="BS414" i="1"/>
  <c r="H414" i="1"/>
  <c r="CB413" i="1"/>
  <c r="CA413" i="1"/>
  <c r="BZ413" i="1"/>
  <c r="BY413" i="1"/>
  <c r="BX413" i="1"/>
  <c r="BW413" i="1"/>
  <c r="BV413" i="1"/>
  <c r="BU413" i="1"/>
  <c r="BS413" i="1"/>
  <c r="H413" i="1"/>
  <c r="CB411" i="1"/>
  <c r="CA411" i="1"/>
  <c r="BZ411" i="1"/>
  <c r="BY411" i="1"/>
  <c r="BX411" i="1"/>
  <c r="BW411" i="1"/>
  <c r="BV411" i="1"/>
  <c r="BU411" i="1"/>
  <c r="BS411" i="1"/>
  <c r="H411" i="1"/>
  <c r="CB410" i="1"/>
  <c r="CA410" i="1"/>
  <c r="BZ410" i="1"/>
  <c r="BY410" i="1"/>
  <c r="BX410" i="1"/>
  <c r="BW410" i="1"/>
  <c r="BV410" i="1"/>
  <c r="BU410" i="1"/>
  <c r="BS410" i="1"/>
  <c r="H410" i="1"/>
  <c r="CB409" i="1"/>
  <c r="CA409" i="1"/>
  <c r="BZ409" i="1"/>
  <c r="BY409" i="1"/>
  <c r="BX409" i="1"/>
  <c r="BW409" i="1"/>
  <c r="BV409" i="1"/>
  <c r="BU409" i="1"/>
  <c r="BS409" i="1"/>
  <c r="H409" i="1"/>
  <c r="CB408" i="1"/>
  <c r="CA408" i="1"/>
  <c r="BZ408" i="1"/>
  <c r="BY408" i="1"/>
  <c r="BX408" i="1"/>
  <c r="BW408" i="1"/>
  <c r="BV408" i="1"/>
  <c r="BU408" i="1"/>
  <c r="BS408" i="1"/>
  <c r="H408" i="1"/>
  <c r="CB407" i="1"/>
  <c r="CA407" i="1"/>
  <c r="BZ407" i="1"/>
  <c r="BY407" i="1"/>
  <c r="BX407" i="1"/>
  <c r="BW407" i="1"/>
  <c r="BV407" i="1"/>
  <c r="BU407" i="1"/>
  <c r="BS407" i="1"/>
  <c r="H407" i="1"/>
  <c r="CB406" i="1"/>
  <c r="CA406" i="1"/>
  <c r="BZ406" i="1"/>
  <c r="BY406" i="1"/>
  <c r="BX406" i="1"/>
  <c r="BW406" i="1"/>
  <c r="BV406" i="1"/>
  <c r="BU406" i="1"/>
  <c r="BS406" i="1"/>
  <c r="H406" i="1"/>
  <c r="CB405" i="1"/>
  <c r="CA405" i="1"/>
  <c r="BZ405" i="1"/>
  <c r="BY405" i="1"/>
  <c r="BX405" i="1"/>
  <c r="BW405" i="1"/>
  <c r="BV405" i="1"/>
  <c r="BU405" i="1"/>
  <c r="BS405" i="1"/>
  <c r="H405" i="1"/>
  <c r="CB404" i="1"/>
  <c r="CA404" i="1"/>
  <c r="BZ404" i="1"/>
  <c r="BY404" i="1"/>
  <c r="BX404" i="1"/>
  <c r="BW404" i="1"/>
  <c r="BV404" i="1"/>
  <c r="BU404" i="1"/>
  <c r="BS404" i="1"/>
  <c r="H404" i="1"/>
  <c r="CB403" i="1"/>
  <c r="CA403" i="1"/>
  <c r="BZ403" i="1"/>
  <c r="BY403" i="1"/>
  <c r="BX403" i="1"/>
  <c r="BW403" i="1"/>
  <c r="BV403" i="1"/>
  <c r="BU403" i="1"/>
  <c r="BS403" i="1"/>
  <c r="H403" i="1"/>
  <c r="CB402" i="1"/>
  <c r="CA402" i="1"/>
  <c r="BZ402" i="1"/>
  <c r="BY402" i="1"/>
  <c r="BX402" i="1"/>
  <c r="BW402" i="1"/>
  <c r="BV402" i="1"/>
  <c r="BU402" i="1"/>
  <c r="BS402" i="1"/>
  <c r="H402" i="1"/>
  <c r="CB401" i="1"/>
  <c r="CA401" i="1"/>
  <c r="BZ401" i="1"/>
  <c r="BY401" i="1"/>
  <c r="BX401" i="1"/>
  <c r="BW401" i="1"/>
  <c r="BV401" i="1"/>
  <c r="BU401" i="1"/>
  <c r="BS401" i="1"/>
  <c r="H401" i="1"/>
  <c r="CB400" i="1"/>
  <c r="CA400" i="1"/>
  <c r="BZ400" i="1"/>
  <c r="BY400" i="1"/>
  <c r="BX400" i="1"/>
  <c r="BW400" i="1"/>
  <c r="BV400" i="1"/>
  <c r="BU400" i="1"/>
  <c r="BS400" i="1"/>
  <c r="H400" i="1"/>
  <c r="CB399" i="1"/>
  <c r="CA399" i="1"/>
  <c r="BZ399" i="1"/>
  <c r="BY399" i="1"/>
  <c r="BX399" i="1"/>
  <c r="BW399" i="1"/>
  <c r="BV399" i="1"/>
  <c r="BU399" i="1"/>
  <c r="BS399" i="1"/>
  <c r="H399" i="1"/>
  <c r="CB398" i="1"/>
  <c r="CA398" i="1"/>
  <c r="BZ398" i="1"/>
  <c r="BY398" i="1"/>
  <c r="BX398" i="1"/>
  <c r="BW398" i="1"/>
  <c r="BV398" i="1"/>
  <c r="BU398" i="1"/>
  <c r="BS398" i="1"/>
  <c r="H398" i="1"/>
  <c r="CB397" i="1"/>
  <c r="CA397" i="1"/>
  <c r="BZ397" i="1"/>
  <c r="BY397" i="1"/>
  <c r="BX397" i="1"/>
  <c r="BW397" i="1"/>
  <c r="BV397" i="1"/>
  <c r="BU397" i="1"/>
  <c r="BS397" i="1"/>
  <c r="H397" i="1"/>
  <c r="CB396" i="1"/>
  <c r="CA396" i="1"/>
  <c r="BZ396" i="1"/>
  <c r="BY396" i="1"/>
  <c r="BX396" i="1"/>
  <c r="BW396" i="1"/>
  <c r="BV396" i="1"/>
  <c r="BU396" i="1"/>
  <c r="BS396" i="1"/>
  <c r="H396" i="1"/>
  <c r="CB394" i="1"/>
  <c r="CA394" i="1"/>
  <c r="BZ394" i="1"/>
  <c r="BY394" i="1"/>
  <c r="BX394" i="1"/>
  <c r="BW394" i="1"/>
  <c r="BV394" i="1"/>
  <c r="BU394" i="1"/>
  <c r="BS394" i="1"/>
  <c r="H394" i="1"/>
  <c r="CB393" i="1"/>
  <c r="CA393" i="1"/>
  <c r="BZ393" i="1"/>
  <c r="BY393" i="1"/>
  <c r="BX393" i="1"/>
  <c r="BW393" i="1"/>
  <c r="BV393" i="1"/>
  <c r="BU393" i="1"/>
  <c r="BS393" i="1"/>
  <c r="H393" i="1"/>
  <c r="CB392" i="1"/>
  <c r="CA392" i="1"/>
  <c r="BZ392" i="1"/>
  <c r="BY392" i="1"/>
  <c r="BX392" i="1"/>
  <c r="BW392" i="1"/>
  <c r="BV392" i="1"/>
  <c r="BU392" i="1"/>
  <c r="BS392" i="1"/>
  <c r="H392" i="1"/>
  <c r="CB391" i="1"/>
  <c r="CA391" i="1"/>
  <c r="BZ391" i="1"/>
  <c r="BY391" i="1"/>
  <c r="BX391" i="1"/>
  <c r="BW391" i="1"/>
  <c r="BV391" i="1"/>
  <c r="BU391" i="1"/>
  <c r="BS391" i="1"/>
  <c r="H391" i="1"/>
  <c r="CB390" i="1"/>
  <c r="CA390" i="1"/>
  <c r="BZ390" i="1"/>
  <c r="BY390" i="1"/>
  <c r="BX390" i="1"/>
  <c r="BW390" i="1"/>
  <c r="BV390" i="1"/>
  <c r="BU390" i="1"/>
  <c r="BS390" i="1"/>
  <c r="H390" i="1"/>
  <c r="CB389" i="1"/>
  <c r="CA389" i="1"/>
  <c r="BZ389" i="1"/>
  <c r="BY389" i="1"/>
  <c r="BX389" i="1"/>
  <c r="BW389" i="1"/>
  <c r="BV389" i="1"/>
  <c r="BU389" i="1"/>
  <c r="BS389" i="1"/>
  <c r="H389" i="1"/>
  <c r="CB388" i="1"/>
  <c r="CA388" i="1"/>
  <c r="BZ388" i="1"/>
  <c r="BY388" i="1"/>
  <c r="BX388" i="1"/>
  <c r="BW388" i="1"/>
  <c r="BV388" i="1"/>
  <c r="BU388" i="1"/>
  <c r="BS388" i="1"/>
  <c r="H388" i="1"/>
  <c r="CB387" i="1"/>
  <c r="CA387" i="1"/>
  <c r="BZ387" i="1"/>
  <c r="BY387" i="1"/>
  <c r="BX387" i="1"/>
  <c r="BW387" i="1"/>
  <c r="BV387" i="1"/>
  <c r="BU387" i="1"/>
  <c r="BS387" i="1"/>
  <c r="H387" i="1"/>
  <c r="CB386" i="1"/>
  <c r="CA386" i="1"/>
  <c r="BZ386" i="1"/>
  <c r="BY386" i="1"/>
  <c r="BX386" i="1"/>
  <c r="BW386" i="1"/>
  <c r="BV386" i="1"/>
  <c r="BU386" i="1"/>
  <c r="BS386" i="1"/>
  <c r="H386" i="1"/>
  <c r="CB385" i="1"/>
  <c r="CA385" i="1"/>
  <c r="BZ385" i="1"/>
  <c r="BY385" i="1"/>
  <c r="BX385" i="1"/>
  <c r="BW385" i="1"/>
  <c r="BV385" i="1"/>
  <c r="BU385" i="1"/>
  <c r="BS385" i="1"/>
  <c r="H385" i="1"/>
  <c r="CB384" i="1"/>
  <c r="CA384" i="1"/>
  <c r="BZ384" i="1"/>
  <c r="BY384" i="1"/>
  <c r="BX384" i="1"/>
  <c r="BW384" i="1"/>
  <c r="BV384" i="1"/>
  <c r="BU384" i="1"/>
  <c r="BS384" i="1"/>
  <c r="H384" i="1"/>
  <c r="CB383" i="1"/>
  <c r="CA383" i="1"/>
  <c r="BZ383" i="1"/>
  <c r="BY383" i="1"/>
  <c r="BX383" i="1"/>
  <c r="BW383" i="1"/>
  <c r="BV383" i="1"/>
  <c r="BU383" i="1"/>
  <c r="BS383" i="1"/>
  <c r="H383" i="1"/>
  <c r="CB382" i="1"/>
  <c r="CA382" i="1"/>
  <c r="BZ382" i="1"/>
  <c r="BY382" i="1"/>
  <c r="BX382" i="1"/>
  <c r="BW382" i="1"/>
  <c r="BV382" i="1"/>
  <c r="BU382" i="1"/>
  <c r="BS382" i="1"/>
  <c r="H382" i="1"/>
  <c r="CB381" i="1"/>
  <c r="CA381" i="1"/>
  <c r="BZ381" i="1"/>
  <c r="BY381" i="1"/>
  <c r="BX381" i="1"/>
  <c r="BW381" i="1"/>
  <c r="BV381" i="1"/>
  <c r="BU381" i="1"/>
  <c r="BS381" i="1"/>
  <c r="H381" i="1"/>
  <c r="CB380" i="1"/>
  <c r="CA380" i="1"/>
  <c r="BZ380" i="1"/>
  <c r="BY380" i="1"/>
  <c r="BX380" i="1"/>
  <c r="BW380" i="1"/>
  <c r="BV380" i="1"/>
  <c r="BU380" i="1"/>
  <c r="BS380" i="1"/>
  <c r="H380" i="1"/>
  <c r="CB379" i="1"/>
  <c r="CA379" i="1"/>
  <c r="BZ379" i="1"/>
  <c r="BY379" i="1"/>
  <c r="BX379" i="1"/>
  <c r="BW379" i="1"/>
  <c r="BV379" i="1"/>
  <c r="BU379" i="1"/>
  <c r="BS379" i="1"/>
  <c r="H379" i="1"/>
  <c r="CB377" i="1"/>
  <c r="CA377" i="1"/>
  <c r="BZ377" i="1"/>
  <c r="BY377" i="1"/>
  <c r="BX377" i="1"/>
  <c r="BW377" i="1"/>
  <c r="BV377" i="1"/>
  <c r="BU377" i="1"/>
  <c r="BS377" i="1"/>
  <c r="H377" i="1"/>
  <c r="CB376" i="1"/>
  <c r="CA376" i="1"/>
  <c r="BZ376" i="1"/>
  <c r="BY376" i="1"/>
  <c r="BX376" i="1"/>
  <c r="BW376" i="1"/>
  <c r="BV376" i="1"/>
  <c r="BU376" i="1"/>
  <c r="BS376" i="1"/>
  <c r="H376" i="1"/>
  <c r="CB375" i="1"/>
  <c r="CA375" i="1"/>
  <c r="BZ375" i="1"/>
  <c r="BY375" i="1"/>
  <c r="BX375" i="1"/>
  <c r="BW375" i="1"/>
  <c r="BV375" i="1"/>
  <c r="BU375" i="1"/>
  <c r="BS375" i="1"/>
  <c r="H375" i="1"/>
  <c r="CB374" i="1"/>
  <c r="CA374" i="1"/>
  <c r="BZ374" i="1"/>
  <c r="BY374" i="1"/>
  <c r="BX374" i="1"/>
  <c r="BW374" i="1"/>
  <c r="BV374" i="1"/>
  <c r="BU374" i="1"/>
  <c r="BS374" i="1"/>
  <c r="H374" i="1"/>
  <c r="CB373" i="1"/>
  <c r="CA373" i="1"/>
  <c r="BZ373" i="1"/>
  <c r="BY373" i="1"/>
  <c r="BX373" i="1"/>
  <c r="BW373" i="1"/>
  <c r="BV373" i="1"/>
  <c r="BU373" i="1"/>
  <c r="BS373" i="1"/>
  <c r="H373" i="1"/>
  <c r="CB372" i="1"/>
  <c r="CA372" i="1"/>
  <c r="BZ372" i="1"/>
  <c r="BY372" i="1"/>
  <c r="BX372" i="1"/>
  <c r="BW372" i="1"/>
  <c r="BV372" i="1"/>
  <c r="BU372" i="1"/>
  <c r="BS372" i="1"/>
  <c r="H372" i="1"/>
  <c r="CB371" i="1"/>
  <c r="CA371" i="1"/>
  <c r="BZ371" i="1"/>
  <c r="BY371" i="1"/>
  <c r="BX371" i="1"/>
  <c r="BW371" i="1"/>
  <c r="BV371" i="1"/>
  <c r="BU371" i="1"/>
  <c r="BS371" i="1"/>
  <c r="H371" i="1"/>
  <c r="CB370" i="1"/>
  <c r="CA370" i="1"/>
  <c r="BZ370" i="1"/>
  <c r="BY370" i="1"/>
  <c r="BX370" i="1"/>
  <c r="BW370" i="1"/>
  <c r="BV370" i="1"/>
  <c r="BU370" i="1"/>
  <c r="BS370" i="1"/>
  <c r="H370" i="1"/>
  <c r="CB369" i="1"/>
  <c r="CA369" i="1"/>
  <c r="BZ369" i="1"/>
  <c r="BY369" i="1"/>
  <c r="BX369" i="1"/>
  <c r="BW369" i="1"/>
  <c r="BV369" i="1"/>
  <c r="BU369" i="1"/>
  <c r="BS369" i="1"/>
  <c r="H369" i="1"/>
  <c r="CB368" i="1"/>
  <c r="CA368" i="1"/>
  <c r="BZ368" i="1"/>
  <c r="BY368" i="1"/>
  <c r="BX368" i="1"/>
  <c r="BW368" i="1"/>
  <c r="BV368" i="1"/>
  <c r="BU368" i="1"/>
  <c r="BS368" i="1"/>
  <c r="H368" i="1"/>
  <c r="CB367" i="1"/>
  <c r="CA367" i="1"/>
  <c r="BZ367" i="1"/>
  <c r="BY367" i="1"/>
  <c r="BX367" i="1"/>
  <c r="BW367" i="1"/>
  <c r="BV367" i="1"/>
  <c r="BU367" i="1"/>
  <c r="BS367" i="1"/>
  <c r="H367" i="1"/>
  <c r="CB366" i="1"/>
  <c r="CA366" i="1"/>
  <c r="BZ366" i="1"/>
  <c r="BY366" i="1"/>
  <c r="BX366" i="1"/>
  <c r="BW366" i="1"/>
  <c r="BV366" i="1"/>
  <c r="BU366" i="1"/>
  <c r="BS366" i="1"/>
  <c r="H366" i="1"/>
  <c r="CB365" i="1"/>
  <c r="CA365" i="1"/>
  <c r="BZ365" i="1"/>
  <c r="BY365" i="1"/>
  <c r="BX365" i="1"/>
  <c r="BW365" i="1"/>
  <c r="BV365" i="1"/>
  <c r="BU365" i="1"/>
  <c r="BS365" i="1"/>
  <c r="H365" i="1"/>
  <c r="CB364" i="1"/>
  <c r="CA364" i="1"/>
  <c r="BZ364" i="1"/>
  <c r="BY364" i="1"/>
  <c r="BX364" i="1"/>
  <c r="BW364" i="1"/>
  <c r="BV364" i="1"/>
  <c r="BU364" i="1"/>
  <c r="BS364" i="1"/>
  <c r="H364" i="1"/>
  <c r="CB363" i="1"/>
  <c r="CA363" i="1"/>
  <c r="BZ363" i="1"/>
  <c r="BY363" i="1"/>
  <c r="BX363" i="1"/>
  <c r="BW363" i="1"/>
  <c r="BV363" i="1"/>
  <c r="BU363" i="1"/>
  <c r="H363" i="1"/>
  <c r="CB362" i="1"/>
  <c r="CA362" i="1"/>
  <c r="BZ362" i="1"/>
  <c r="BY362" i="1"/>
  <c r="BX362" i="1"/>
  <c r="BW362" i="1"/>
  <c r="BV362" i="1"/>
  <c r="BU362" i="1"/>
  <c r="H362" i="1"/>
  <c r="CB360" i="1"/>
  <c r="CA360" i="1"/>
  <c r="BZ360" i="1"/>
  <c r="BY360" i="1"/>
  <c r="BX360" i="1"/>
  <c r="BW360" i="1"/>
  <c r="BV360" i="1"/>
  <c r="BU360" i="1"/>
  <c r="BS360" i="1"/>
  <c r="H360" i="1"/>
  <c r="CB359" i="1"/>
  <c r="CA359" i="1"/>
  <c r="BZ359" i="1"/>
  <c r="BY359" i="1"/>
  <c r="BX359" i="1"/>
  <c r="BW359" i="1"/>
  <c r="BV359" i="1"/>
  <c r="BU359" i="1"/>
  <c r="BS359" i="1"/>
  <c r="H359" i="1"/>
  <c r="CB358" i="1"/>
  <c r="CA358" i="1"/>
  <c r="BZ358" i="1"/>
  <c r="BY358" i="1"/>
  <c r="BX358" i="1"/>
  <c r="BW358" i="1"/>
  <c r="BV358" i="1"/>
  <c r="BU358" i="1"/>
  <c r="BS358" i="1"/>
  <c r="H358" i="1"/>
  <c r="CB357" i="1"/>
  <c r="CA357" i="1"/>
  <c r="BZ357" i="1"/>
  <c r="BY357" i="1"/>
  <c r="BX357" i="1"/>
  <c r="BW357" i="1"/>
  <c r="BV357" i="1"/>
  <c r="BU357" i="1"/>
  <c r="BS357" i="1"/>
  <c r="H357" i="1"/>
  <c r="CB356" i="1"/>
  <c r="CA356" i="1"/>
  <c r="BZ356" i="1"/>
  <c r="BY356" i="1"/>
  <c r="BX356" i="1"/>
  <c r="BW356" i="1"/>
  <c r="BV356" i="1"/>
  <c r="BU356" i="1"/>
  <c r="BS356" i="1"/>
  <c r="H356" i="1"/>
  <c r="CB355" i="1"/>
  <c r="CA355" i="1"/>
  <c r="BZ355" i="1"/>
  <c r="BY355" i="1"/>
  <c r="BX355" i="1"/>
  <c r="BW355" i="1"/>
  <c r="BV355" i="1"/>
  <c r="BU355" i="1"/>
  <c r="BS355" i="1"/>
  <c r="H355" i="1"/>
  <c r="CB354" i="1"/>
  <c r="CA354" i="1"/>
  <c r="BZ354" i="1"/>
  <c r="BY354" i="1"/>
  <c r="BX354" i="1"/>
  <c r="BW354" i="1"/>
  <c r="BV354" i="1"/>
  <c r="BU354" i="1"/>
  <c r="H354" i="1"/>
  <c r="CB353" i="1"/>
  <c r="CA353" i="1"/>
  <c r="BZ353" i="1"/>
  <c r="BY353" i="1"/>
  <c r="BX353" i="1"/>
  <c r="BW353" i="1"/>
  <c r="BV353" i="1"/>
  <c r="BU353" i="1"/>
  <c r="H353" i="1"/>
  <c r="CB352" i="1"/>
  <c r="CA352" i="1"/>
  <c r="BZ352" i="1"/>
  <c r="BY352" i="1"/>
  <c r="BX352" i="1"/>
  <c r="BW352" i="1"/>
  <c r="BV352" i="1"/>
  <c r="BU352" i="1"/>
  <c r="H352" i="1"/>
  <c r="CB351" i="1"/>
  <c r="CA351" i="1"/>
  <c r="BZ351" i="1"/>
  <c r="BY351" i="1"/>
  <c r="BX351" i="1"/>
  <c r="BW351" i="1"/>
  <c r="BV351" i="1"/>
  <c r="BU351" i="1"/>
  <c r="H351" i="1"/>
  <c r="CB350" i="1"/>
  <c r="CA350" i="1"/>
  <c r="BZ350" i="1"/>
  <c r="BY350" i="1"/>
  <c r="BX350" i="1"/>
  <c r="BW350" i="1"/>
  <c r="BV350" i="1"/>
  <c r="BU350" i="1"/>
  <c r="H350" i="1"/>
  <c r="CB349" i="1"/>
  <c r="CA349" i="1"/>
  <c r="BZ349" i="1"/>
  <c r="BY349" i="1"/>
  <c r="BX349" i="1"/>
  <c r="BW349" i="1"/>
  <c r="BV349" i="1"/>
  <c r="BU349" i="1"/>
  <c r="H349" i="1"/>
  <c r="CB348" i="1"/>
  <c r="CA348" i="1"/>
  <c r="BZ348" i="1"/>
  <c r="BY348" i="1"/>
  <c r="BX348" i="1"/>
  <c r="BW348" i="1"/>
  <c r="BV348" i="1"/>
  <c r="BU348" i="1"/>
  <c r="H348" i="1"/>
  <c r="CB347" i="1"/>
  <c r="CA347" i="1"/>
  <c r="BZ347" i="1"/>
  <c r="BY347" i="1"/>
  <c r="BX347" i="1"/>
  <c r="BW347" i="1"/>
  <c r="BV347" i="1"/>
  <c r="BU347" i="1"/>
  <c r="H347" i="1"/>
  <c r="CB346" i="1"/>
  <c r="CA346" i="1"/>
  <c r="BZ346" i="1"/>
  <c r="BY346" i="1"/>
  <c r="BX346" i="1"/>
  <c r="BW346" i="1"/>
  <c r="BV346" i="1"/>
  <c r="BU346" i="1"/>
  <c r="H346" i="1"/>
  <c r="CB345" i="1"/>
  <c r="CA345" i="1"/>
  <c r="BZ345" i="1"/>
  <c r="BY345" i="1"/>
  <c r="BX345" i="1"/>
  <c r="BW345" i="1"/>
  <c r="BV345" i="1"/>
  <c r="BU345" i="1"/>
  <c r="H345" i="1"/>
  <c r="CB342" i="1"/>
  <c r="CA342" i="1"/>
  <c r="BZ342" i="1"/>
  <c r="BY342" i="1"/>
  <c r="BX342" i="1"/>
  <c r="BW342" i="1"/>
  <c r="BV342" i="1"/>
  <c r="BU342" i="1"/>
  <c r="H342" i="1"/>
  <c r="CB341" i="1"/>
  <c r="CA341" i="1"/>
  <c r="BZ341" i="1"/>
  <c r="BY341" i="1"/>
  <c r="BX341" i="1"/>
  <c r="BW341" i="1"/>
  <c r="BV341" i="1"/>
  <c r="BU341" i="1"/>
  <c r="H341" i="1"/>
  <c r="CB340" i="1"/>
  <c r="CA340" i="1"/>
  <c r="BZ340" i="1"/>
  <c r="BY340" i="1"/>
  <c r="BX340" i="1"/>
  <c r="BW340" i="1"/>
  <c r="BV340" i="1"/>
  <c r="BU340" i="1"/>
  <c r="BS340" i="1"/>
  <c r="H340" i="1"/>
  <c r="CB339" i="1"/>
  <c r="CA339" i="1"/>
  <c r="BZ339" i="1"/>
  <c r="BY339" i="1"/>
  <c r="BX339" i="1"/>
  <c r="BW339" i="1"/>
  <c r="BV339" i="1"/>
  <c r="BU339" i="1"/>
  <c r="BS339" i="1"/>
  <c r="H339" i="1"/>
  <c r="CB338" i="1"/>
  <c r="CA338" i="1"/>
  <c r="BZ338" i="1"/>
  <c r="BY338" i="1"/>
  <c r="BX338" i="1"/>
  <c r="BW338" i="1"/>
  <c r="BV338" i="1"/>
  <c r="BU338" i="1"/>
  <c r="BS338" i="1"/>
  <c r="H338" i="1"/>
  <c r="CB337" i="1"/>
  <c r="CA337" i="1"/>
  <c r="BZ337" i="1"/>
  <c r="BY337" i="1"/>
  <c r="BX337" i="1"/>
  <c r="BW337" i="1"/>
  <c r="BV337" i="1"/>
  <c r="BU337" i="1"/>
  <c r="BS337" i="1"/>
  <c r="H337" i="1"/>
  <c r="CB336" i="1"/>
  <c r="CA336" i="1"/>
  <c r="BZ336" i="1"/>
  <c r="BY336" i="1"/>
  <c r="BX336" i="1"/>
  <c r="BW336" i="1"/>
  <c r="BV336" i="1"/>
  <c r="BU336" i="1"/>
  <c r="BS336" i="1"/>
  <c r="H336" i="1"/>
  <c r="CB335" i="1"/>
  <c r="CA335" i="1"/>
  <c r="BZ335" i="1"/>
  <c r="BY335" i="1"/>
  <c r="BX335" i="1"/>
  <c r="BW335" i="1"/>
  <c r="BV335" i="1"/>
  <c r="BU335" i="1"/>
  <c r="BS335" i="1"/>
  <c r="H335" i="1"/>
  <c r="CB334" i="1"/>
  <c r="CA334" i="1"/>
  <c r="BZ334" i="1"/>
  <c r="BY334" i="1"/>
  <c r="BX334" i="1"/>
  <c r="BW334" i="1"/>
  <c r="BV334" i="1"/>
  <c r="BU334" i="1"/>
  <c r="BS334" i="1"/>
  <c r="H334" i="1"/>
  <c r="CB333" i="1"/>
  <c r="CA333" i="1"/>
  <c r="BZ333" i="1"/>
  <c r="BY333" i="1"/>
  <c r="BX333" i="1"/>
  <c r="BW333" i="1"/>
  <c r="BV333" i="1"/>
  <c r="BU333" i="1"/>
  <c r="BS333" i="1"/>
  <c r="H333" i="1"/>
  <c r="CB332" i="1"/>
  <c r="CA332" i="1"/>
  <c r="BZ332" i="1"/>
  <c r="BY332" i="1"/>
  <c r="BX332" i="1"/>
  <c r="BW332" i="1"/>
  <c r="BV332" i="1"/>
  <c r="BU332" i="1"/>
  <c r="BS332" i="1"/>
  <c r="H332" i="1"/>
  <c r="CB331" i="1"/>
  <c r="CA331" i="1"/>
  <c r="BZ331" i="1"/>
  <c r="BY331" i="1"/>
  <c r="BX331" i="1"/>
  <c r="BW331" i="1"/>
  <c r="BV331" i="1"/>
  <c r="BU331" i="1"/>
  <c r="BS331" i="1"/>
  <c r="H331" i="1"/>
  <c r="CB330" i="1"/>
  <c r="CA330" i="1"/>
  <c r="BZ330" i="1"/>
  <c r="BY330" i="1"/>
  <c r="BX330" i="1"/>
  <c r="BW330" i="1"/>
  <c r="BV330" i="1"/>
  <c r="BU330" i="1"/>
  <c r="BS330" i="1"/>
  <c r="H330" i="1"/>
  <c r="CB329" i="1"/>
  <c r="CA329" i="1"/>
  <c r="BZ329" i="1"/>
  <c r="BY329" i="1"/>
  <c r="BX329" i="1"/>
  <c r="BW329" i="1"/>
  <c r="BV329" i="1"/>
  <c r="BU329" i="1"/>
  <c r="BS329" i="1"/>
  <c r="H329" i="1"/>
  <c r="CB328" i="1"/>
  <c r="CA328" i="1"/>
  <c r="BZ328" i="1"/>
  <c r="BY328" i="1"/>
  <c r="BX328" i="1"/>
  <c r="BW328" i="1"/>
  <c r="BV328" i="1"/>
  <c r="BU328" i="1"/>
  <c r="BS328" i="1"/>
  <c r="H328" i="1"/>
  <c r="CB325" i="1"/>
  <c r="CA325" i="1"/>
  <c r="BZ325" i="1"/>
  <c r="BY325" i="1"/>
  <c r="BX325" i="1"/>
  <c r="BW325" i="1"/>
  <c r="BV325" i="1"/>
  <c r="BU325" i="1"/>
  <c r="H325" i="1"/>
  <c r="CB324" i="1"/>
  <c r="CA324" i="1"/>
  <c r="BZ324" i="1"/>
  <c r="BY324" i="1"/>
  <c r="BX324" i="1"/>
  <c r="BW324" i="1"/>
  <c r="BV324" i="1"/>
  <c r="BU324" i="1"/>
  <c r="H324" i="1"/>
  <c r="CB323" i="1"/>
  <c r="CA323" i="1"/>
  <c r="BZ323" i="1"/>
  <c r="BY323" i="1"/>
  <c r="BX323" i="1"/>
  <c r="BW323" i="1"/>
  <c r="BV323" i="1"/>
  <c r="BU323" i="1"/>
  <c r="BS323" i="1"/>
  <c r="H323" i="1"/>
  <c r="CB322" i="1"/>
  <c r="CA322" i="1"/>
  <c r="BZ322" i="1"/>
  <c r="BY322" i="1"/>
  <c r="BX322" i="1"/>
  <c r="BW322" i="1"/>
  <c r="BV322" i="1"/>
  <c r="BU322" i="1"/>
  <c r="BS322" i="1"/>
  <c r="H322" i="1"/>
  <c r="CB321" i="1"/>
  <c r="CA321" i="1"/>
  <c r="BZ321" i="1"/>
  <c r="BY321" i="1"/>
  <c r="BX321" i="1"/>
  <c r="BW321" i="1"/>
  <c r="BV321" i="1"/>
  <c r="BU321" i="1"/>
  <c r="BS321" i="1"/>
  <c r="H321" i="1"/>
  <c r="CB320" i="1"/>
  <c r="CA320" i="1"/>
  <c r="BZ320" i="1"/>
  <c r="BY320" i="1"/>
  <c r="BX320" i="1"/>
  <c r="BW320" i="1"/>
  <c r="BV320" i="1"/>
  <c r="BU320" i="1"/>
  <c r="BS320" i="1"/>
  <c r="H320" i="1"/>
  <c r="CB319" i="1"/>
  <c r="CA319" i="1"/>
  <c r="BZ319" i="1"/>
  <c r="BY319" i="1"/>
  <c r="BX319" i="1"/>
  <c r="BW319" i="1"/>
  <c r="BV319" i="1"/>
  <c r="BU319" i="1"/>
  <c r="BS319" i="1"/>
  <c r="H319" i="1"/>
  <c r="CB318" i="1"/>
  <c r="CA318" i="1"/>
  <c r="BZ318" i="1"/>
  <c r="BY318" i="1"/>
  <c r="BX318" i="1"/>
  <c r="BW318" i="1"/>
  <c r="BV318" i="1"/>
  <c r="BU318" i="1"/>
  <c r="BS318" i="1"/>
  <c r="H318" i="1"/>
  <c r="CB317" i="1"/>
  <c r="CA317" i="1"/>
  <c r="BZ317" i="1"/>
  <c r="BY317" i="1"/>
  <c r="BX317" i="1"/>
  <c r="BW317" i="1"/>
  <c r="BV317" i="1"/>
  <c r="BU317" i="1"/>
  <c r="BS317" i="1"/>
  <c r="H317" i="1"/>
  <c r="CB316" i="1"/>
  <c r="CA316" i="1"/>
  <c r="BZ316" i="1"/>
  <c r="BY316" i="1"/>
  <c r="BX316" i="1"/>
  <c r="BW316" i="1"/>
  <c r="BV316" i="1"/>
  <c r="BU316" i="1"/>
  <c r="BS316" i="1"/>
  <c r="H316" i="1"/>
  <c r="CB315" i="1"/>
  <c r="CA315" i="1"/>
  <c r="BZ315" i="1"/>
  <c r="BY315" i="1"/>
  <c r="BX315" i="1"/>
  <c r="BW315" i="1"/>
  <c r="BV315" i="1"/>
  <c r="H315" i="1"/>
  <c r="CB314" i="1"/>
  <c r="CA314" i="1"/>
  <c r="BZ314" i="1"/>
  <c r="BY314" i="1"/>
  <c r="BX314" i="1"/>
  <c r="BW314" i="1"/>
  <c r="BV314" i="1"/>
  <c r="H314" i="1"/>
  <c r="CB313" i="1"/>
  <c r="CA313" i="1"/>
  <c r="BZ313" i="1"/>
  <c r="BY313" i="1"/>
  <c r="BX313" i="1"/>
  <c r="BW313" i="1"/>
  <c r="BV313" i="1"/>
  <c r="H313" i="1"/>
  <c r="CB312" i="1"/>
  <c r="CA312" i="1"/>
  <c r="BZ312" i="1"/>
  <c r="BY312" i="1"/>
  <c r="BX312" i="1"/>
  <c r="BW312" i="1"/>
  <c r="BV312" i="1"/>
  <c r="H312" i="1"/>
  <c r="CB311" i="1"/>
  <c r="CA311" i="1"/>
  <c r="BZ311" i="1"/>
  <c r="BY311" i="1"/>
  <c r="BX311" i="1"/>
  <c r="BW311" i="1"/>
  <c r="BV311" i="1"/>
  <c r="H311" i="1"/>
  <c r="CA308" i="1"/>
  <c r="BZ308" i="1"/>
  <c r="BY308" i="1"/>
  <c r="BX308" i="1"/>
  <c r="BW308" i="1"/>
  <c r="BV308" i="1"/>
  <c r="H308" i="1"/>
  <c r="CA307" i="1"/>
  <c r="BZ307" i="1"/>
  <c r="BY307" i="1"/>
  <c r="BX307" i="1"/>
  <c r="BW307" i="1"/>
  <c r="BV307" i="1"/>
  <c r="H307" i="1"/>
  <c r="BZ306" i="1"/>
  <c r="BY306" i="1"/>
  <c r="BX306" i="1"/>
  <c r="BW306" i="1"/>
  <c r="BV306" i="1"/>
  <c r="H306" i="1"/>
  <c r="BZ305" i="1"/>
  <c r="BY305" i="1"/>
  <c r="BX305" i="1"/>
  <c r="BW305" i="1"/>
  <c r="BV305" i="1"/>
  <c r="H305" i="1"/>
  <c r="BZ304" i="1"/>
  <c r="BY304" i="1"/>
  <c r="BX304" i="1"/>
  <c r="BW304" i="1"/>
  <c r="BV304" i="1"/>
  <c r="H304" i="1"/>
  <c r="BZ303" i="1"/>
  <c r="BY303" i="1"/>
  <c r="BW303" i="1"/>
  <c r="BV303" i="1"/>
  <c r="H303" i="1"/>
  <c r="BY302" i="1"/>
  <c r="BW302" i="1"/>
  <c r="BV302" i="1"/>
  <c r="H302" i="1"/>
  <c r="BY301" i="1"/>
  <c r="BW301" i="1"/>
  <c r="BV301" i="1"/>
  <c r="H301" i="1"/>
  <c r="BY300" i="1"/>
  <c r="BW300" i="1"/>
  <c r="BV300" i="1"/>
  <c r="H300" i="1"/>
  <c r="BY299" i="1"/>
  <c r="BW299" i="1"/>
  <c r="BV299" i="1"/>
  <c r="H299" i="1"/>
  <c r="BW298" i="1"/>
  <c r="BV298" i="1"/>
  <c r="H298" i="1"/>
  <c r="BW297" i="1"/>
  <c r="BV297" i="1"/>
  <c r="H297" i="1"/>
  <c r="BV296" i="1"/>
  <c r="H296" i="1"/>
  <c r="H295" i="1"/>
  <c r="H294" i="1"/>
  <c r="H291" i="1"/>
  <c r="H290" i="1"/>
  <c r="H289" i="1"/>
  <c r="H288" i="1"/>
  <c r="H287" i="1"/>
  <c r="H286" i="1"/>
  <c r="H285" i="1"/>
  <c r="H284" i="1"/>
  <c r="H283" i="1"/>
  <c r="H282" i="1"/>
  <c r="H281" i="1"/>
  <c r="H280" i="1"/>
  <c r="H279" i="1"/>
  <c r="H278" i="1"/>
  <c r="H277" i="1"/>
  <c r="H276" i="1"/>
  <c r="H274" i="1"/>
  <c r="H273" i="1"/>
  <c r="H272" i="1"/>
  <c r="H271" i="1"/>
  <c r="H270" i="1"/>
  <c r="H269" i="1"/>
  <c r="H268" i="1"/>
  <c r="H267" i="1"/>
  <c r="H266" i="1"/>
  <c r="H265" i="1"/>
  <c r="H264" i="1"/>
  <c r="H263" i="1"/>
  <c r="H262" i="1"/>
  <c r="H261" i="1"/>
  <c r="H260" i="1"/>
  <c r="H259" i="1"/>
  <c r="BX257" i="1"/>
  <c r="BW257" i="1"/>
  <c r="BV257" i="1"/>
  <c r="BU257" i="1"/>
  <c r="H257" i="1"/>
  <c r="BX256" i="1"/>
  <c r="BW256" i="1"/>
  <c r="BV256" i="1"/>
  <c r="BU256" i="1"/>
  <c r="H256" i="1"/>
  <c r="CB255" i="1"/>
  <c r="CA255" i="1"/>
  <c r="BY255" i="1"/>
  <c r="BX255" i="1"/>
  <c r="BW255" i="1"/>
  <c r="BV255" i="1"/>
  <c r="BU255" i="1"/>
  <c r="H255" i="1"/>
  <c r="CB254" i="1"/>
  <c r="CA254" i="1"/>
  <c r="BZ254" i="1"/>
  <c r="BY254" i="1"/>
  <c r="BX254" i="1"/>
  <c r="BW254" i="1"/>
  <c r="BV254" i="1"/>
  <c r="BU254" i="1"/>
  <c r="BS254" i="1"/>
  <c r="H254" i="1"/>
  <c r="CB253" i="1"/>
  <c r="CA253" i="1"/>
  <c r="BZ253" i="1"/>
  <c r="BY253" i="1"/>
  <c r="BX253" i="1"/>
  <c r="BW253" i="1"/>
  <c r="BV253" i="1"/>
  <c r="BU253" i="1"/>
  <c r="H253" i="1"/>
  <c r="CB252" i="1"/>
  <c r="CA252" i="1"/>
  <c r="BZ252" i="1"/>
  <c r="BY252" i="1"/>
  <c r="BX252" i="1"/>
  <c r="BW252" i="1"/>
  <c r="BV252" i="1"/>
  <c r="BU252" i="1"/>
  <c r="H252" i="1"/>
  <c r="CB251" i="1"/>
  <c r="CA251" i="1"/>
  <c r="BZ251" i="1"/>
  <c r="BY251" i="1"/>
  <c r="BX251" i="1"/>
  <c r="BW251" i="1"/>
  <c r="BV251" i="1"/>
  <c r="BU251" i="1"/>
  <c r="H251" i="1"/>
  <c r="CB250" i="1"/>
  <c r="CA250" i="1"/>
  <c r="BZ250" i="1"/>
  <c r="BY250" i="1"/>
  <c r="BX250" i="1"/>
  <c r="BW250" i="1"/>
  <c r="BV250" i="1"/>
  <c r="BU250" i="1"/>
  <c r="H250" i="1"/>
  <c r="CB249" i="1"/>
  <c r="CA249" i="1"/>
  <c r="BZ249" i="1"/>
  <c r="BY249" i="1"/>
  <c r="BX249" i="1"/>
  <c r="BW249" i="1"/>
  <c r="BV249" i="1"/>
  <c r="BU249" i="1"/>
  <c r="H249" i="1"/>
  <c r="CB248" i="1"/>
  <c r="CA248" i="1"/>
  <c r="BZ248" i="1"/>
  <c r="BY248" i="1"/>
  <c r="BX248" i="1"/>
  <c r="BW248" i="1"/>
  <c r="BV248" i="1"/>
  <c r="BU248" i="1"/>
  <c r="H248" i="1"/>
  <c r="CB247" i="1"/>
  <c r="CA247" i="1"/>
  <c r="BZ247" i="1"/>
  <c r="BY247" i="1"/>
  <c r="BX247" i="1"/>
  <c r="BW247" i="1"/>
  <c r="BV247" i="1"/>
  <c r="BU247" i="1"/>
  <c r="H247" i="1"/>
  <c r="CB246" i="1"/>
  <c r="CA246" i="1"/>
  <c r="BZ246" i="1"/>
  <c r="BY246" i="1"/>
  <c r="BX246" i="1"/>
  <c r="BW246" i="1"/>
  <c r="BV246" i="1"/>
  <c r="BU246" i="1"/>
  <c r="H246" i="1"/>
  <c r="CB245" i="1"/>
  <c r="CA245" i="1"/>
  <c r="BZ245" i="1"/>
  <c r="BY245" i="1"/>
  <c r="BX245" i="1"/>
  <c r="BW245" i="1"/>
  <c r="BV245" i="1"/>
  <c r="BU245" i="1"/>
  <c r="H245" i="1"/>
  <c r="CB244" i="1"/>
  <c r="CA244" i="1"/>
  <c r="BZ244" i="1"/>
  <c r="BY244" i="1"/>
  <c r="BX244" i="1"/>
  <c r="BW244" i="1"/>
  <c r="BV244" i="1"/>
  <c r="BU244" i="1"/>
  <c r="H244" i="1"/>
  <c r="CB243" i="1"/>
  <c r="CA243" i="1"/>
  <c r="BZ243" i="1"/>
  <c r="BY243" i="1"/>
  <c r="BX243" i="1"/>
  <c r="BW243" i="1"/>
  <c r="BV243" i="1"/>
  <c r="BU243" i="1"/>
  <c r="H243" i="1"/>
  <c r="CB242" i="1"/>
  <c r="CA242" i="1"/>
  <c r="BZ242" i="1"/>
  <c r="BY242" i="1"/>
  <c r="BX242" i="1"/>
  <c r="BW242" i="1"/>
  <c r="BV242" i="1"/>
  <c r="BU242" i="1"/>
  <c r="H242" i="1"/>
  <c r="CB240" i="1"/>
  <c r="CA240" i="1"/>
  <c r="BZ240" i="1"/>
  <c r="BY240" i="1"/>
  <c r="BX240" i="1"/>
  <c r="BW240" i="1"/>
  <c r="BV240" i="1"/>
  <c r="BU240" i="1"/>
  <c r="H240" i="1"/>
  <c r="CB239" i="1"/>
  <c r="CA239" i="1"/>
  <c r="BZ239" i="1"/>
  <c r="BY239" i="1"/>
  <c r="BX239" i="1"/>
  <c r="BW239" i="1"/>
  <c r="BV239" i="1"/>
  <c r="BU239" i="1"/>
  <c r="H239" i="1"/>
  <c r="CB238" i="1"/>
  <c r="CA238" i="1"/>
  <c r="BZ238" i="1"/>
  <c r="BY238" i="1"/>
  <c r="BX238" i="1"/>
  <c r="BW238" i="1"/>
  <c r="BV238" i="1"/>
  <c r="BU238" i="1"/>
  <c r="H238" i="1"/>
  <c r="CB237" i="1"/>
  <c r="CA237" i="1"/>
  <c r="BZ237" i="1"/>
  <c r="BY237" i="1"/>
  <c r="BX237" i="1"/>
  <c r="BW237" i="1"/>
  <c r="BV237" i="1"/>
  <c r="BU237" i="1"/>
  <c r="H237" i="1"/>
  <c r="CB236" i="1"/>
  <c r="CA236" i="1"/>
  <c r="BZ236" i="1"/>
  <c r="BY236" i="1"/>
  <c r="BX236" i="1"/>
  <c r="BW236" i="1"/>
  <c r="BV236" i="1"/>
  <c r="BU236" i="1"/>
  <c r="H236" i="1"/>
  <c r="CB235" i="1"/>
  <c r="CA235" i="1"/>
  <c r="BZ235" i="1"/>
  <c r="BY235" i="1"/>
  <c r="BX235" i="1"/>
  <c r="BW235" i="1"/>
  <c r="BV235" i="1"/>
  <c r="BU235" i="1"/>
  <c r="H235" i="1"/>
  <c r="CB234" i="1"/>
  <c r="CA234" i="1"/>
  <c r="BZ234" i="1"/>
  <c r="BY234" i="1"/>
  <c r="BX234" i="1"/>
  <c r="BW234" i="1"/>
  <c r="BV234" i="1"/>
  <c r="BU234" i="1"/>
  <c r="H234" i="1"/>
  <c r="CB233" i="1"/>
  <c r="CA233" i="1"/>
  <c r="BZ233" i="1"/>
  <c r="BY233" i="1"/>
  <c r="BX233" i="1"/>
  <c r="BW233" i="1"/>
  <c r="BV233" i="1"/>
  <c r="BU233" i="1"/>
  <c r="H233" i="1"/>
  <c r="CB232" i="1"/>
  <c r="CA232" i="1"/>
  <c r="BZ232" i="1"/>
  <c r="BY232" i="1"/>
  <c r="BX232" i="1"/>
  <c r="BW232" i="1"/>
  <c r="BV232" i="1"/>
  <c r="BU232" i="1"/>
  <c r="H232" i="1"/>
  <c r="CB231" i="1"/>
  <c r="CA231" i="1"/>
  <c r="BZ231" i="1"/>
  <c r="BY231" i="1"/>
  <c r="BX231" i="1"/>
  <c r="BW231" i="1"/>
  <c r="BV231" i="1"/>
  <c r="BU231" i="1"/>
  <c r="H231" i="1"/>
  <c r="CB230" i="1"/>
  <c r="CA230" i="1"/>
  <c r="BZ230" i="1"/>
  <c r="BY230" i="1"/>
  <c r="BX230" i="1"/>
  <c r="BW230" i="1"/>
  <c r="BV230" i="1"/>
  <c r="BU230" i="1"/>
  <c r="H230" i="1"/>
  <c r="CB229" i="1"/>
  <c r="CA229" i="1"/>
  <c r="BZ229" i="1"/>
  <c r="BY229" i="1"/>
  <c r="BX229" i="1"/>
  <c r="BW229" i="1"/>
  <c r="BV229" i="1"/>
  <c r="BU229" i="1"/>
  <c r="H229" i="1"/>
  <c r="CB228" i="1"/>
  <c r="CA228" i="1"/>
  <c r="BZ228" i="1"/>
  <c r="BY228" i="1"/>
  <c r="BX228" i="1"/>
  <c r="BW228" i="1"/>
  <c r="BV228" i="1"/>
  <c r="BU228" i="1"/>
  <c r="H228" i="1"/>
  <c r="CB227" i="1"/>
  <c r="CA227" i="1"/>
  <c r="BZ227" i="1"/>
  <c r="BY227" i="1"/>
  <c r="BX227" i="1"/>
  <c r="BW227" i="1"/>
  <c r="BV227" i="1"/>
  <c r="BU227" i="1"/>
  <c r="H227" i="1"/>
  <c r="CB226" i="1"/>
  <c r="CA226" i="1"/>
  <c r="BZ226" i="1"/>
  <c r="BY226" i="1"/>
  <c r="BX226" i="1"/>
  <c r="BW226" i="1"/>
  <c r="BV226" i="1"/>
  <c r="BU226" i="1"/>
  <c r="H226" i="1"/>
  <c r="CB225" i="1"/>
  <c r="CA225" i="1"/>
  <c r="BZ225" i="1"/>
  <c r="BY225" i="1"/>
  <c r="BX225" i="1"/>
  <c r="BW225" i="1"/>
  <c r="BV225" i="1"/>
  <c r="BU225" i="1"/>
  <c r="H225" i="1"/>
  <c r="CB223" i="1"/>
  <c r="CA223" i="1"/>
  <c r="BZ223" i="1"/>
  <c r="BY223" i="1"/>
  <c r="BX223" i="1"/>
  <c r="BW223" i="1"/>
  <c r="BV223" i="1"/>
  <c r="BU223" i="1"/>
  <c r="H223" i="1"/>
  <c r="CB222" i="1"/>
  <c r="CA222" i="1"/>
  <c r="BZ222" i="1"/>
  <c r="BY222" i="1"/>
  <c r="BX222" i="1"/>
  <c r="BW222" i="1"/>
  <c r="BV222" i="1"/>
  <c r="BU222" i="1"/>
  <c r="H222" i="1"/>
  <c r="CB221" i="1"/>
  <c r="CA221" i="1"/>
  <c r="BZ221" i="1"/>
  <c r="BY221" i="1"/>
  <c r="BX221" i="1"/>
  <c r="BW221" i="1"/>
  <c r="BV221" i="1"/>
  <c r="BU221" i="1"/>
  <c r="H221" i="1"/>
  <c r="CB220" i="1"/>
  <c r="CA220" i="1"/>
  <c r="BZ220" i="1"/>
  <c r="BY220" i="1"/>
  <c r="BX220" i="1"/>
  <c r="BW220" i="1"/>
  <c r="BV220" i="1"/>
  <c r="BU220" i="1"/>
  <c r="H220" i="1"/>
  <c r="CB219" i="1"/>
  <c r="CA219" i="1"/>
  <c r="BZ219" i="1"/>
  <c r="BY219" i="1"/>
  <c r="BX219" i="1"/>
  <c r="BW219" i="1"/>
  <c r="BV219" i="1"/>
  <c r="BU219" i="1"/>
  <c r="H219" i="1"/>
  <c r="CB218" i="1"/>
  <c r="CA218" i="1"/>
  <c r="BZ218" i="1"/>
  <c r="BY218" i="1"/>
  <c r="BX218" i="1"/>
  <c r="BW218" i="1"/>
  <c r="BV218" i="1"/>
  <c r="BU218" i="1"/>
  <c r="H218" i="1"/>
  <c r="CB217" i="1"/>
  <c r="CA217" i="1"/>
  <c r="BZ217" i="1"/>
  <c r="BY217" i="1"/>
  <c r="BX217" i="1"/>
  <c r="BW217" i="1"/>
  <c r="BV217" i="1"/>
  <c r="BU217" i="1"/>
  <c r="H217" i="1"/>
  <c r="CB216" i="1"/>
  <c r="CA216" i="1"/>
  <c r="BZ216" i="1"/>
  <c r="BY216" i="1"/>
  <c r="BX216" i="1"/>
  <c r="BW216" i="1"/>
  <c r="BV216" i="1"/>
  <c r="BU216" i="1"/>
  <c r="BS216" i="1"/>
  <c r="H216" i="1"/>
  <c r="CB215" i="1"/>
  <c r="CA215" i="1"/>
  <c r="BZ215" i="1"/>
  <c r="BY215" i="1"/>
  <c r="BX215" i="1"/>
  <c r="BW215" i="1"/>
  <c r="BV215" i="1"/>
  <c r="BU215" i="1"/>
  <c r="BS215" i="1"/>
  <c r="H215" i="1"/>
  <c r="CB214" i="1"/>
  <c r="CA214" i="1"/>
  <c r="BZ214" i="1"/>
  <c r="BY214" i="1"/>
  <c r="BX214" i="1"/>
  <c r="BW214" i="1"/>
  <c r="BV214" i="1"/>
  <c r="BU214" i="1"/>
  <c r="BS214" i="1"/>
  <c r="H214" i="1"/>
  <c r="CB213" i="1"/>
  <c r="CA213" i="1"/>
  <c r="BZ213" i="1"/>
  <c r="BY213" i="1"/>
  <c r="BX213" i="1"/>
  <c r="BW213" i="1"/>
  <c r="BV213" i="1"/>
  <c r="BU213" i="1"/>
  <c r="BS213" i="1"/>
  <c r="H213" i="1"/>
  <c r="CB212" i="1"/>
  <c r="CA212" i="1"/>
  <c r="BZ212" i="1"/>
  <c r="BY212" i="1"/>
  <c r="BX212" i="1"/>
  <c r="BW212" i="1"/>
  <c r="BV212" i="1"/>
  <c r="BU212" i="1"/>
  <c r="BS212" i="1"/>
  <c r="H212" i="1"/>
  <c r="CB211" i="1"/>
  <c r="CA211" i="1"/>
  <c r="BZ211" i="1"/>
  <c r="BY211" i="1"/>
  <c r="BX211" i="1"/>
  <c r="BW211" i="1"/>
  <c r="BV211" i="1"/>
  <c r="BU211" i="1"/>
  <c r="BS211" i="1"/>
  <c r="H211" i="1"/>
  <c r="CB210" i="1"/>
  <c r="CA210" i="1"/>
  <c r="BZ210" i="1"/>
  <c r="BY210" i="1"/>
  <c r="BX210" i="1"/>
  <c r="BW210" i="1"/>
  <c r="BV210" i="1"/>
  <c r="BU210" i="1"/>
  <c r="BS210" i="1"/>
  <c r="H210" i="1"/>
  <c r="CB209" i="1"/>
  <c r="CA209" i="1"/>
  <c r="BZ209" i="1"/>
  <c r="BY209" i="1"/>
  <c r="BX209" i="1"/>
  <c r="BW209" i="1"/>
  <c r="BV209" i="1"/>
  <c r="BU209" i="1"/>
  <c r="BS209" i="1"/>
  <c r="H209" i="1"/>
  <c r="CB208" i="1"/>
  <c r="CA208" i="1"/>
  <c r="BZ208" i="1"/>
  <c r="BY208" i="1"/>
  <c r="BX208" i="1"/>
  <c r="BW208" i="1"/>
  <c r="BV208" i="1"/>
  <c r="BU208" i="1"/>
  <c r="BS208" i="1"/>
  <c r="H208" i="1"/>
  <c r="CB205" i="1"/>
  <c r="CA205" i="1"/>
  <c r="BZ205" i="1"/>
  <c r="BY205" i="1"/>
  <c r="BX205" i="1"/>
  <c r="BW205" i="1"/>
  <c r="BV205" i="1"/>
  <c r="BU205" i="1"/>
  <c r="H205" i="1"/>
  <c r="CB204" i="1"/>
  <c r="CA204" i="1"/>
  <c r="BZ204" i="1"/>
  <c r="BY204" i="1"/>
  <c r="BX204" i="1"/>
  <c r="BW204" i="1"/>
  <c r="BV204" i="1"/>
  <c r="BU204" i="1"/>
  <c r="H204" i="1"/>
  <c r="CB203" i="1"/>
  <c r="CA203" i="1"/>
  <c r="BZ203" i="1"/>
  <c r="BY203" i="1"/>
  <c r="BX203" i="1"/>
  <c r="BW203" i="1"/>
  <c r="BV203" i="1"/>
  <c r="BU203" i="1"/>
  <c r="H203" i="1"/>
  <c r="CB202" i="1"/>
  <c r="CA202" i="1"/>
  <c r="BZ202" i="1"/>
  <c r="BY202" i="1"/>
  <c r="BX202" i="1"/>
  <c r="BW202" i="1"/>
  <c r="BV202" i="1"/>
  <c r="BU202" i="1"/>
  <c r="BS202" i="1"/>
  <c r="H202" i="1"/>
  <c r="CB201" i="1"/>
  <c r="CA201" i="1"/>
  <c r="BZ201" i="1"/>
  <c r="BY201" i="1"/>
  <c r="BX201" i="1"/>
  <c r="BW201" i="1"/>
  <c r="BV201" i="1"/>
  <c r="BU201" i="1"/>
  <c r="BS201" i="1"/>
  <c r="H201" i="1"/>
  <c r="CB200" i="1"/>
  <c r="CA200" i="1"/>
  <c r="BZ200" i="1"/>
  <c r="BY200" i="1"/>
  <c r="BX200" i="1"/>
  <c r="BW200" i="1"/>
  <c r="BV200" i="1"/>
  <c r="BU200" i="1"/>
  <c r="BS200" i="1"/>
  <c r="H200" i="1"/>
  <c r="CB199" i="1"/>
  <c r="CA199" i="1"/>
  <c r="BZ199" i="1"/>
  <c r="BY199" i="1"/>
  <c r="BX199" i="1"/>
  <c r="BW199" i="1"/>
  <c r="BV199" i="1"/>
  <c r="BU199" i="1"/>
  <c r="BS199" i="1"/>
  <c r="H199" i="1"/>
  <c r="CB198" i="1"/>
  <c r="CA198" i="1"/>
  <c r="BZ198" i="1"/>
  <c r="BY198" i="1"/>
  <c r="BX198" i="1"/>
  <c r="BW198" i="1"/>
  <c r="BV198" i="1"/>
  <c r="BU198" i="1"/>
  <c r="BS198" i="1"/>
  <c r="H198" i="1"/>
  <c r="CB197" i="1"/>
  <c r="CA197" i="1"/>
  <c r="BZ197" i="1"/>
  <c r="BY197" i="1"/>
  <c r="BX197" i="1"/>
  <c r="BW197" i="1"/>
  <c r="BV197" i="1"/>
  <c r="BU197" i="1"/>
  <c r="BS197" i="1"/>
  <c r="H197" i="1"/>
  <c r="CB196" i="1"/>
  <c r="CA196" i="1"/>
  <c r="BZ196" i="1"/>
  <c r="BY196" i="1"/>
  <c r="BX196" i="1"/>
  <c r="BW196" i="1"/>
  <c r="BV196" i="1"/>
  <c r="BU196" i="1"/>
  <c r="BS196" i="1"/>
  <c r="H196" i="1"/>
  <c r="CB195" i="1"/>
  <c r="CA195" i="1"/>
  <c r="BZ195" i="1"/>
  <c r="BY195" i="1"/>
  <c r="BX195" i="1"/>
  <c r="BW195" i="1"/>
  <c r="BV195" i="1"/>
  <c r="BU195" i="1"/>
  <c r="BS195" i="1"/>
  <c r="H195" i="1"/>
  <c r="CB194" i="1"/>
  <c r="CA194" i="1"/>
  <c r="BZ194" i="1"/>
  <c r="BY194" i="1"/>
  <c r="BX194" i="1"/>
  <c r="BW194" i="1"/>
  <c r="BV194" i="1"/>
  <c r="BU194" i="1"/>
  <c r="BS194" i="1"/>
  <c r="H194" i="1"/>
  <c r="CB193" i="1"/>
  <c r="CA193" i="1"/>
  <c r="BZ193" i="1"/>
  <c r="BY193" i="1"/>
  <c r="BX193" i="1"/>
  <c r="BW193" i="1"/>
  <c r="BV193" i="1"/>
  <c r="BU193" i="1"/>
  <c r="BS193" i="1"/>
  <c r="H193" i="1"/>
  <c r="CB192" i="1"/>
  <c r="CA192" i="1"/>
  <c r="BZ192" i="1"/>
  <c r="BY192" i="1"/>
  <c r="BX192" i="1"/>
  <c r="BW192" i="1"/>
  <c r="BV192" i="1"/>
  <c r="BU192" i="1"/>
  <c r="BS192" i="1"/>
  <c r="H192" i="1"/>
  <c r="CB191" i="1"/>
  <c r="CA191" i="1"/>
  <c r="BZ191" i="1"/>
  <c r="BY191" i="1"/>
  <c r="BX191" i="1"/>
  <c r="BW191" i="1"/>
  <c r="BV191" i="1"/>
  <c r="BU191" i="1"/>
  <c r="BS191" i="1"/>
  <c r="H191" i="1"/>
  <c r="CB190" i="1"/>
  <c r="CA190" i="1"/>
  <c r="BZ190" i="1"/>
  <c r="BY190" i="1"/>
  <c r="BX190" i="1"/>
  <c r="BW190" i="1"/>
  <c r="BV190" i="1"/>
  <c r="BU190" i="1"/>
  <c r="BS190" i="1"/>
  <c r="H190" i="1"/>
  <c r="CB188" i="1"/>
  <c r="CA188" i="1"/>
  <c r="BZ188" i="1"/>
  <c r="BY188" i="1"/>
  <c r="BX188" i="1"/>
  <c r="BW188" i="1"/>
  <c r="BV188" i="1"/>
  <c r="BU188" i="1"/>
  <c r="H188" i="1"/>
  <c r="CB187" i="1"/>
  <c r="CA187" i="1"/>
  <c r="BZ187" i="1"/>
  <c r="BY187" i="1"/>
  <c r="BX187" i="1"/>
  <c r="BW187" i="1"/>
  <c r="BV187" i="1"/>
  <c r="BU187" i="1"/>
  <c r="H187" i="1"/>
  <c r="CB186" i="1"/>
  <c r="CA186" i="1"/>
  <c r="BZ186" i="1"/>
  <c r="BY186" i="1"/>
  <c r="BX186" i="1"/>
  <c r="BW186" i="1"/>
  <c r="BV186" i="1"/>
  <c r="BU186" i="1"/>
  <c r="H186" i="1"/>
  <c r="CB185" i="1"/>
  <c r="CA185" i="1"/>
  <c r="BZ185" i="1"/>
  <c r="BY185" i="1"/>
  <c r="BX185" i="1"/>
  <c r="BW185" i="1"/>
  <c r="BV185" i="1"/>
  <c r="BU185" i="1"/>
  <c r="BS185" i="1"/>
  <c r="H185" i="1"/>
  <c r="CB184" i="1"/>
  <c r="CA184" i="1"/>
  <c r="BZ184" i="1"/>
  <c r="BY184" i="1"/>
  <c r="BX184" i="1"/>
  <c r="BW184" i="1"/>
  <c r="BV184" i="1"/>
  <c r="BU184" i="1"/>
  <c r="BS184" i="1"/>
  <c r="H184" i="1"/>
  <c r="CB183" i="1"/>
  <c r="CA183" i="1"/>
  <c r="BZ183" i="1"/>
  <c r="BY183" i="1"/>
  <c r="BX183" i="1"/>
  <c r="BW183" i="1"/>
  <c r="BV183" i="1"/>
  <c r="BU183" i="1"/>
  <c r="BS183" i="1"/>
  <c r="H183" i="1"/>
  <c r="CB182" i="1"/>
  <c r="CA182" i="1"/>
  <c r="BZ182" i="1"/>
  <c r="BY182" i="1"/>
  <c r="BX182" i="1"/>
  <c r="BW182" i="1"/>
  <c r="BV182" i="1"/>
  <c r="BU182" i="1"/>
  <c r="BS182" i="1"/>
  <c r="H182" i="1"/>
  <c r="CB181" i="1"/>
  <c r="CA181" i="1"/>
  <c r="BZ181" i="1"/>
  <c r="BY181" i="1"/>
  <c r="BX181" i="1"/>
  <c r="BW181" i="1"/>
  <c r="BV181" i="1"/>
  <c r="BU181" i="1"/>
  <c r="BS181" i="1"/>
  <c r="H181" i="1"/>
  <c r="CB180" i="1"/>
  <c r="CA180" i="1"/>
  <c r="BZ180" i="1"/>
  <c r="BY180" i="1"/>
  <c r="BX180" i="1"/>
  <c r="BW180" i="1"/>
  <c r="BV180" i="1"/>
  <c r="BU180" i="1"/>
  <c r="BS180" i="1"/>
  <c r="H180" i="1"/>
  <c r="CB179" i="1"/>
  <c r="CA179" i="1"/>
  <c r="BZ179" i="1"/>
  <c r="BY179" i="1"/>
  <c r="BX179" i="1"/>
  <c r="BW179" i="1"/>
  <c r="BV179" i="1"/>
  <c r="BU179" i="1"/>
  <c r="BS179" i="1"/>
  <c r="H179" i="1"/>
  <c r="CB178" i="1"/>
  <c r="CA178" i="1"/>
  <c r="BZ178" i="1"/>
  <c r="BY178" i="1"/>
  <c r="BX178" i="1"/>
  <c r="BW178" i="1"/>
  <c r="BV178" i="1"/>
  <c r="BU178" i="1"/>
  <c r="BS178" i="1"/>
  <c r="H178" i="1"/>
  <c r="CB177" i="1"/>
  <c r="CA177" i="1"/>
  <c r="BZ177" i="1"/>
  <c r="BY177" i="1"/>
  <c r="BX177" i="1"/>
  <c r="BW177" i="1"/>
  <c r="BV177" i="1"/>
  <c r="BU177" i="1"/>
  <c r="BS177" i="1"/>
  <c r="H177" i="1"/>
  <c r="CB176" i="1"/>
  <c r="CA176" i="1"/>
  <c r="BZ176" i="1"/>
  <c r="BY176" i="1"/>
  <c r="BX176" i="1"/>
  <c r="BW176" i="1"/>
  <c r="BV176" i="1"/>
  <c r="BU176" i="1"/>
  <c r="BS176" i="1"/>
  <c r="H176" i="1"/>
  <c r="CB175" i="1"/>
  <c r="CA175" i="1"/>
  <c r="BZ175" i="1"/>
  <c r="BY175" i="1"/>
  <c r="BX175" i="1"/>
  <c r="BW175" i="1"/>
  <c r="BV175" i="1"/>
  <c r="BU175" i="1"/>
  <c r="BS175" i="1"/>
  <c r="H175" i="1"/>
  <c r="CB174" i="1"/>
  <c r="CA174" i="1"/>
  <c r="BZ174" i="1"/>
  <c r="BY174" i="1"/>
  <c r="BX174" i="1"/>
  <c r="BW174" i="1"/>
  <c r="BV174" i="1"/>
  <c r="BU174" i="1"/>
  <c r="BS174" i="1"/>
  <c r="H174" i="1"/>
  <c r="CB173" i="1"/>
  <c r="CA173" i="1"/>
  <c r="BZ173" i="1"/>
  <c r="BY173" i="1"/>
  <c r="BX173" i="1"/>
  <c r="BW173" i="1"/>
  <c r="BV173" i="1"/>
  <c r="BU173" i="1"/>
  <c r="H173" i="1"/>
  <c r="CB171" i="1"/>
  <c r="CA171" i="1"/>
  <c r="BZ171" i="1"/>
  <c r="BY171" i="1"/>
  <c r="BX171" i="1"/>
  <c r="BW171" i="1"/>
  <c r="BV171" i="1"/>
  <c r="BU171" i="1"/>
  <c r="H171" i="1"/>
  <c r="CB170" i="1"/>
  <c r="CA170" i="1"/>
  <c r="BZ170" i="1"/>
  <c r="BY170" i="1"/>
  <c r="BX170" i="1"/>
  <c r="BW170" i="1"/>
  <c r="BV170" i="1"/>
  <c r="BU170" i="1"/>
  <c r="H170" i="1"/>
  <c r="CB169" i="1"/>
  <c r="CA169" i="1"/>
  <c r="BZ169" i="1"/>
  <c r="BY169" i="1"/>
  <c r="BX169" i="1"/>
  <c r="BW169" i="1"/>
  <c r="BV169" i="1"/>
  <c r="BU169" i="1"/>
  <c r="H169" i="1"/>
  <c r="CB168" i="1"/>
  <c r="CA168" i="1"/>
  <c r="BZ168" i="1"/>
  <c r="BY168" i="1"/>
  <c r="BX168" i="1"/>
  <c r="BW168" i="1"/>
  <c r="BV168" i="1"/>
  <c r="BU168" i="1"/>
  <c r="BS168" i="1"/>
  <c r="H168" i="1"/>
  <c r="CB167" i="1"/>
  <c r="CA167" i="1"/>
  <c r="BZ167" i="1"/>
  <c r="BY167" i="1"/>
  <c r="BX167" i="1"/>
  <c r="BW167" i="1"/>
  <c r="BV167" i="1"/>
  <c r="BU167" i="1"/>
  <c r="BS167" i="1"/>
  <c r="H167" i="1"/>
  <c r="CB166" i="1"/>
  <c r="CA166" i="1"/>
  <c r="BZ166" i="1"/>
  <c r="BY166" i="1"/>
  <c r="BX166" i="1"/>
  <c r="BW166" i="1"/>
  <c r="BV166" i="1"/>
  <c r="BU166" i="1"/>
  <c r="BS166" i="1"/>
  <c r="H166" i="1"/>
  <c r="CB165" i="1"/>
  <c r="CA165" i="1"/>
  <c r="BZ165" i="1"/>
  <c r="BY165" i="1"/>
  <c r="BX165" i="1"/>
  <c r="BW165" i="1"/>
  <c r="BV165" i="1"/>
  <c r="BU165" i="1"/>
  <c r="BS165" i="1"/>
  <c r="H165" i="1"/>
  <c r="CB164" i="1"/>
  <c r="CA164" i="1"/>
  <c r="BZ164" i="1"/>
  <c r="BY164" i="1"/>
  <c r="BX164" i="1"/>
  <c r="BW164" i="1"/>
  <c r="BV164" i="1"/>
  <c r="BU164" i="1"/>
  <c r="BS164" i="1"/>
  <c r="H164" i="1"/>
  <c r="CB163" i="1"/>
  <c r="CA163" i="1"/>
  <c r="BZ163" i="1"/>
  <c r="BY163" i="1"/>
  <c r="BX163" i="1"/>
  <c r="BW163" i="1"/>
  <c r="BV163" i="1"/>
  <c r="BU163" i="1"/>
  <c r="BS163" i="1"/>
  <c r="H163" i="1"/>
  <c r="CB162" i="1"/>
  <c r="CA162" i="1"/>
  <c r="BZ162" i="1"/>
  <c r="BY162" i="1"/>
  <c r="BX162" i="1"/>
  <c r="BW162" i="1"/>
  <c r="BV162" i="1"/>
  <c r="BU162" i="1"/>
  <c r="BS162" i="1"/>
  <c r="H162" i="1"/>
  <c r="CB161" i="1"/>
  <c r="CA161" i="1"/>
  <c r="BZ161" i="1"/>
  <c r="BY161" i="1"/>
  <c r="BX161" i="1"/>
  <c r="BW161" i="1"/>
  <c r="BV161" i="1"/>
  <c r="BU161" i="1"/>
  <c r="BS161" i="1"/>
  <c r="H161" i="1"/>
  <c r="CB160" i="1"/>
  <c r="CA160" i="1"/>
  <c r="BZ160" i="1"/>
  <c r="BY160" i="1"/>
  <c r="BX160" i="1"/>
  <c r="BW160" i="1"/>
  <c r="BV160" i="1"/>
  <c r="BU160" i="1"/>
  <c r="H160" i="1"/>
  <c r="CB159" i="1"/>
  <c r="CA159" i="1"/>
  <c r="BZ159" i="1"/>
  <c r="BY159" i="1"/>
  <c r="BX159" i="1"/>
  <c r="BW159" i="1"/>
  <c r="BV159" i="1"/>
  <c r="BU159" i="1"/>
  <c r="H159" i="1"/>
  <c r="CB158" i="1"/>
  <c r="CA158" i="1"/>
  <c r="BZ158" i="1"/>
  <c r="BY158" i="1"/>
  <c r="BX158" i="1"/>
  <c r="BW158" i="1"/>
  <c r="BV158" i="1"/>
  <c r="BU158" i="1"/>
  <c r="H158" i="1"/>
  <c r="CB157" i="1"/>
  <c r="CA157" i="1"/>
  <c r="BZ157" i="1"/>
  <c r="BY157" i="1"/>
  <c r="BX157" i="1"/>
  <c r="BW157" i="1"/>
  <c r="BV157" i="1"/>
  <c r="BU157" i="1"/>
  <c r="H157" i="1"/>
  <c r="CB156" i="1"/>
  <c r="CA156" i="1"/>
  <c r="BZ156" i="1"/>
  <c r="BY156" i="1"/>
  <c r="BX156" i="1"/>
  <c r="BW156" i="1"/>
  <c r="BV156" i="1"/>
  <c r="BU156" i="1"/>
  <c r="H156" i="1"/>
  <c r="CB154" i="1"/>
  <c r="CA154" i="1"/>
  <c r="BZ154" i="1"/>
  <c r="BY154" i="1"/>
  <c r="BX154" i="1"/>
  <c r="BW154" i="1"/>
  <c r="BV154" i="1"/>
  <c r="BU154" i="1"/>
  <c r="H154" i="1"/>
  <c r="CB153" i="1"/>
  <c r="CA153" i="1"/>
  <c r="BZ153" i="1"/>
  <c r="BY153" i="1"/>
  <c r="BX153" i="1"/>
  <c r="BW153" i="1"/>
  <c r="BV153" i="1"/>
  <c r="BU153" i="1"/>
  <c r="H153" i="1"/>
  <c r="CB152" i="1"/>
  <c r="CA152" i="1"/>
  <c r="BZ152" i="1"/>
  <c r="BY152" i="1"/>
  <c r="BX152" i="1"/>
  <c r="BW152" i="1"/>
  <c r="BV152" i="1"/>
  <c r="BU152" i="1"/>
  <c r="H152" i="1"/>
  <c r="CB151" i="1"/>
  <c r="CA151" i="1"/>
  <c r="BZ151" i="1"/>
  <c r="BY151" i="1"/>
  <c r="BX151" i="1"/>
  <c r="BW151" i="1"/>
  <c r="BV151" i="1"/>
  <c r="BU151" i="1"/>
  <c r="BS151" i="1"/>
  <c r="H151" i="1"/>
  <c r="CB150" i="1"/>
  <c r="CA150" i="1"/>
  <c r="BZ150" i="1"/>
  <c r="BY150" i="1"/>
  <c r="BX150" i="1"/>
  <c r="BW150" i="1"/>
  <c r="BV150" i="1"/>
  <c r="BU150" i="1"/>
  <c r="BS150" i="1"/>
  <c r="H150" i="1"/>
  <c r="CB149" i="1"/>
  <c r="CA149" i="1"/>
  <c r="BZ149" i="1"/>
  <c r="BY149" i="1"/>
  <c r="BX149" i="1"/>
  <c r="BW149" i="1"/>
  <c r="BV149" i="1"/>
  <c r="BU149" i="1"/>
  <c r="BS149" i="1"/>
  <c r="H149" i="1"/>
  <c r="CB148" i="1"/>
  <c r="CA148" i="1"/>
  <c r="BZ148" i="1"/>
  <c r="BY148" i="1"/>
  <c r="BX148" i="1"/>
  <c r="BW148" i="1"/>
  <c r="BV148" i="1"/>
  <c r="BU148" i="1"/>
  <c r="BS148" i="1"/>
  <c r="H148" i="1"/>
  <c r="CB147" i="1"/>
  <c r="CA147" i="1"/>
  <c r="BZ147" i="1"/>
  <c r="BY147" i="1"/>
  <c r="BX147" i="1"/>
  <c r="BW147" i="1"/>
  <c r="BV147" i="1"/>
  <c r="BU147" i="1"/>
  <c r="BS147" i="1"/>
  <c r="H147" i="1"/>
  <c r="CB146" i="1"/>
  <c r="CA146" i="1"/>
  <c r="BZ146" i="1"/>
  <c r="BY146" i="1"/>
  <c r="BX146" i="1"/>
  <c r="BW146" i="1"/>
  <c r="BV146" i="1"/>
  <c r="BU146" i="1"/>
  <c r="BS146" i="1"/>
  <c r="H146" i="1"/>
  <c r="CB145" i="1"/>
  <c r="CA145" i="1"/>
  <c r="BZ145" i="1"/>
  <c r="BY145" i="1"/>
  <c r="BX145" i="1"/>
  <c r="BW145" i="1"/>
  <c r="BV145" i="1"/>
  <c r="BU145" i="1"/>
  <c r="BS145" i="1"/>
  <c r="H145" i="1"/>
  <c r="CB144" i="1"/>
  <c r="CA144" i="1"/>
  <c r="BZ144" i="1"/>
  <c r="BY144" i="1"/>
  <c r="BX144" i="1"/>
  <c r="BW144" i="1"/>
  <c r="BV144" i="1"/>
  <c r="BU144" i="1"/>
  <c r="BS144" i="1"/>
  <c r="H144" i="1"/>
  <c r="CB143" i="1"/>
  <c r="CA143" i="1"/>
  <c r="BZ143" i="1"/>
  <c r="BY143" i="1"/>
  <c r="BX143" i="1"/>
  <c r="BW143" i="1"/>
  <c r="BV143" i="1"/>
  <c r="BU143" i="1"/>
  <c r="BS143" i="1"/>
  <c r="H143" i="1"/>
  <c r="CB142" i="1"/>
  <c r="CA142" i="1"/>
  <c r="BZ142" i="1"/>
  <c r="BY142" i="1"/>
  <c r="BX142" i="1"/>
  <c r="BW142" i="1"/>
  <c r="BV142" i="1"/>
  <c r="BU142" i="1"/>
  <c r="BS142" i="1"/>
  <c r="H142" i="1"/>
  <c r="CB141" i="1"/>
  <c r="CA141" i="1"/>
  <c r="BZ141" i="1"/>
  <c r="BY141" i="1"/>
  <c r="BX141" i="1"/>
  <c r="BW141" i="1"/>
  <c r="BV141" i="1"/>
  <c r="BU141" i="1"/>
  <c r="BS141" i="1"/>
  <c r="H141" i="1"/>
  <c r="CB140" i="1"/>
  <c r="CA140" i="1"/>
  <c r="BZ140" i="1"/>
  <c r="BY140" i="1"/>
  <c r="BX140" i="1"/>
  <c r="BW140" i="1"/>
  <c r="BV140" i="1"/>
  <c r="BU140" i="1"/>
  <c r="BS140" i="1"/>
  <c r="H140" i="1"/>
  <c r="CB139" i="1"/>
  <c r="CA139" i="1"/>
  <c r="BZ139" i="1"/>
  <c r="BY139" i="1"/>
  <c r="BX139" i="1"/>
  <c r="BW139" i="1"/>
  <c r="BV139" i="1"/>
  <c r="BU139" i="1"/>
  <c r="BS139" i="1"/>
  <c r="H139" i="1"/>
  <c r="CB136" i="1"/>
  <c r="CA136" i="1"/>
  <c r="BZ136" i="1"/>
  <c r="BY136" i="1"/>
  <c r="BX136" i="1"/>
  <c r="BW136" i="1"/>
  <c r="BV136" i="1"/>
  <c r="BU136" i="1"/>
  <c r="H136" i="1"/>
  <c r="CB135" i="1"/>
  <c r="CA135" i="1"/>
  <c r="BZ135" i="1"/>
  <c r="BY135" i="1"/>
  <c r="BX135" i="1"/>
  <c r="BW135" i="1"/>
  <c r="BV135" i="1"/>
  <c r="BU135" i="1"/>
  <c r="H135" i="1"/>
  <c r="CB134" i="1"/>
  <c r="CA134" i="1"/>
  <c r="BZ134" i="1"/>
  <c r="BY134" i="1"/>
  <c r="BX134" i="1"/>
  <c r="BW134" i="1"/>
  <c r="BV134" i="1"/>
  <c r="BU134" i="1"/>
  <c r="H134" i="1"/>
  <c r="CB133" i="1"/>
  <c r="CA133" i="1"/>
  <c r="BZ133" i="1"/>
  <c r="BY133" i="1"/>
  <c r="BX133" i="1"/>
  <c r="BW133" i="1"/>
  <c r="BV133" i="1"/>
  <c r="BU133" i="1"/>
  <c r="H133" i="1"/>
  <c r="CB132" i="1"/>
  <c r="CA132" i="1"/>
  <c r="BZ132" i="1"/>
  <c r="BY132" i="1"/>
  <c r="BX132" i="1"/>
  <c r="BW132" i="1"/>
  <c r="BV132" i="1"/>
  <c r="BU132" i="1"/>
  <c r="H132" i="1"/>
  <c r="CB131" i="1"/>
  <c r="CA131" i="1"/>
  <c r="BZ131" i="1"/>
  <c r="BY131" i="1"/>
  <c r="BX131" i="1"/>
  <c r="BW131" i="1"/>
  <c r="BV131" i="1"/>
  <c r="BU131" i="1"/>
  <c r="H131" i="1"/>
  <c r="CB130" i="1"/>
  <c r="CA130" i="1"/>
  <c r="BZ130" i="1"/>
  <c r="BY130" i="1"/>
  <c r="BX130" i="1"/>
  <c r="BW130" i="1"/>
  <c r="BV130" i="1"/>
  <c r="BU130" i="1"/>
  <c r="H130" i="1"/>
  <c r="CB129" i="1"/>
  <c r="CA129" i="1"/>
  <c r="BZ129" i="1"/>
  <c r="BY129" i="1"/>
  <c r="BX129" i="1"/>
  <c r="BW129" i="1"/>
  <c r="BV129" i="1"/>
  <c r="BU129" i="1"/>
  <c r="H129" i="1"/>
  <c r="CB128" i="1"/>
  <c r="CA128" i="1"/>
  <c r="BZ128" i="1"/>
  <c r="BY128" i="1"/>
  <c r="BX128" i="1"/>
  <c r="BW128" i="1"/>
  <c r="BV128" i="1"/>
  <c r="BU128" i="1"/>
  <c r="H128" i="1"/>
  <c r="CB127" i="1"/>
  <c r="CA127" i="1"/>
  <c r="BZ127" i="1"/>
  <c r="BY127" i="1"/>
  <c r="BX127" i="1"/>
  <c r="BW127" i="1"/>
  <c r="BV127" i="1"/>
  <c r="BU127" i="1"/>
  <c r="H127" i="1"/>
  <c r="CB126" i="1"/>
  <c r="CA126" i="1"/>
  <c r="BZ126" i="1"/>
  <c r="BY126" i="1"/>
  <c r="BX126" i="1"/>
  <c r="BW126" i="1"/>
  <c r="BV126" i="1"/>
  <c r="BU126" i="1"/>
  <c r="H126" i="1"/>
  <c r="CB125" i="1"/>
  <c r="CA125" i="1"/>
  <c r="BZ125" i="1"/>
  <c r="BY125" i="1"/>
  <c r="BX125" i="1"/>
  <c r="BW125" i="1"/>
  <c r="BV125" i="1"/>
  <c r="BU125" i="1"/>
  <c r="H125" i="1"/>
  <c r="CB124" i="1"/>
  <c r="CA124" i="1"/>
  <c r="BZ124" i="1"/>
  <c r="BY124" i="1"/>
  <c r="BX124" i="1"/>
  <c r="BW124" i="1"/>
  <c r="BV124" i="1"/>
  <c r="BU124" i="1"/>
  <c r="H124" i="1"/>
  <c r="CB123" i="1"/>
  <c r="CA123" i="1"/>
  <c r="BZ123" i="1"/>
  <c r="BY123" i="1"/>
  <c r="BX123" i="1"/>
  <c r="BW123" i="1"/>
  <c r="BV123" i="1"/>
  <c r="BU123" i="1"/>
  <c r="H123" i="1"/>
  <c r="CB122" i="1"/>
  <c r="CA122" i="1"/>
  <c r="BZ122" i="1"/>
  <c r="BY122" i="1"/>
  <c r="BX122" i="1"/>
  <c r="BW122" i="1"/>
  <c r="BV122" i="1"/>
  <c r="BU122" i="1"/>
  <c r="H122" i="1"/>
  <c r="CB121" i="1"/>
  <c r="CA121" i="1"/>
  <c r="BZ121" i="1"/>
  <c r="BY121" i="1"/>
  <c r="BX121" i="1"/>
  <c r="BW121" i="1"/>
  <c r="BV121" i="1"/>
  <c r="BU121" i="1"/>
  <c r="H121" i="1"/>
  <c r="CB118" i="1"/>
  <c r="CA118" i="1"/>
  <c r="BZ118" i="1"/>
  <c r="BY118" i="1"/>
  <c r="BX118" i="1"/>
  <c r="BW118" i="1"/>
  <c r="BV118" i="1"/>
  <c r="BU118" i="1"/>
  <c r="H118" i="1"/>
  <c r="CB117" i="1"/>
  <c r="CA117" i="1"/>
  <c r="BZ117" i="1"/>
  <c r="BY117" i="1"/>
  <c r="BX117" i="1"/>
  <c r="BW117" i="1"/>
  <c r="BV117" i="1"/>
  <c r="BU117" i="1"/>
  <c r="H117" i="1"/>
  <c r="CB116" i="1"/>
  <c r="CA116" i="1"/>
  <c r="BZ116" i="1"/>
  <c r="BY116" i="1"/>
  <c r="BX116" i="1"/>
  <c r="BW116" i="1"/>
  <c r="BV116" i="1"/>
  <c r="BU116" i="1"/>
  <c r="H116" i="1"/>
  <c r="CB115" i="1"/>
  <c r="CA115" i="1"/>
  <c r="BZ115" i="1"/>
  <c r="BY115" i="1"/>
  <c r="BX115" i="1"/>
  <c r="BW115" i="1"/>
  <c r="BV115" i="1"/>
  <c r="BU115" i="1"/>
  <c r="H115" i="1"/>
  <c r="CB114" i="1"/>
  <c r="CA114" i="1"/>
  <c r="BZ114" i="1"/>
  <c r="BY114" i="1"/>
  <c r="BX114" i="1"/>
  <c r="BW114" i="1"/>
  <c r="BV114" i="1"/>
  <c r="BU114" i="1"/>
  <c r="H114" i="1"/>
  <c r="CB113" i="1"/>
  <c r="CA113" i="1"/>
  <c r="BZ113" i="1"/>
  <c r="BY113" i="1"/>
  <c r="BX113" i="1"/>
  <c r="BW113" i="1"/>
  <c r="BV113" i="1"/>
  <c r="BU113" i="1"/>
  <c r="H113" i="1"/>
  <c r="CB112" i="1"/>
  <c r="CA112" i="1"/>
  <c r="BZ112" i="1"/>
  <c r="BY112" i="1"/>
  <c r="BX112" i="1"/>
  <c r="BW112" i="1"/>
  <c r="BV112" i="1"/>
  <c r="BU112" i="1"/>
  <c r="H112" i="1"/>
  <c r="CB111" i="1"/>
  <c r="CA111" i="1"/>
  <c r="BZ111" i="1"/>
  <c r="BY111" i="1"/>
  <c r="BX111" i="1"/>
  <c r="BW111" i="1"/>
  <c r="BV111" i="1"/>
  <c r="BU111" i="1"/>
  <c r="H111" i="1"/>
  <c r="CB110" i="1"/>
  <c r="CA110" i="1"/>
  <c r="BZ110" i="1"/>
  <c r="BY110" i="1"/>
  <c r="BX110" i="1"/>
  <c r="BW110" i="1"/>
  <c r="BV110" i="1"/>
  <c r="BU110" i="1"/>
  <c r="H110" i="1"/>
  <c r="CB109" i="1"/>
  <c r="CA109" i="1"/>
  <c r="BZ109" i="1"/>
  <c r="BY109" i="1"/>
  <c r="BX109" i="1"/>
  <c r="BW109" i="1"/>
  <c r="BV109" i="1"/>
  <c r="BU109" i="1"/>
  <c r="H109" i="1"/>
  <c r="CB108" i="1"/>
  <c r="CA108" i="1"/>
  <c r="BZ108" i="1"/>
  <c r="BY108" i="1"/>
  <c r="BX108" i="1"/>
  <c r="BW108" i="1"/>
  <c r="BV108" i="1"/>
  <c r="BU108" i="1"/>
  <c r="H108" i="1"/>
  <c r="CB107" i="1"/>
  <c r="CA107" i="1"/>
  <c r="BZ107" i="1"/>
  <c r="BY107" i="1"/>
  <c r="BX107" i="1"/>
  <c r="BW107" i="1"/>
  <c r="BV107" i="1"/>
  <c r="BU107" i="1"/>
  <c r="H107" i="1"/>
  <c r="CB106" i="1"/>
  <c r="CA106" i="1"/>
  <c r="BZ106" i="1"/>
  <c r="BY106" i="1"/>
  <c r="BX106" i="1"/>
  <c r="BW106" i="1"/>
  <c r="BV106" i="1"/>
  <c r="BU106" i="1"/>
  <c r="H106" i="1"/>
  <c r="CB105" i="1"/>
  <c r="CA105" i="1"/>
  <c r="BZ105" i="1"/>
  <c r="BY105" i="1"/>
  <c r="BX105" i="1"/>
  <c r="BW105" i="1"/>
  <c r="BV105" i="1"/>
  <c r="BU105" i="1"/>
  <c r="H105" i="1"/>
  <c r="CB104" i="1"/>
  <c r="CA104" i="1"/>
  <c r="BZ104" i="1"/>
  <c r="BY104" i="1"/>
  <c r="BX104" i="1"/>
  <c r="BW104" i="1"/>
  <c r="BV104" i="1"/>
  <c r="BU104" i="1"/>
  <c r="H104" i="1"/>
  <c r="CB101" i="1"/>
  <c r="CA101" i="1"/>
  <c r="BZ101" i="1"/>
  <c r="BY101" i="1"/>
  <c r="BX101" i="1"/>
  <c r="BW101" i="1"/>
  <c r="BV101" i="1"/>
  <c r="BU101" i="1"/>
  <c r="H101" i="1"/>
  <c r="CB100" i="1"/>
  <c r="CA100" i="1"/>
  <c r="BZ100" i="1"/>
  <c r="BY100" i="1"/>
  <c r="BX100" i="1"/>
  <c r="BW100" i="1"/>
  <c r="BV100" i="1"/>
  <c r="BU100" i="1"/>
  <c r="H100" i="1"/>
  <c r="CB99" i="1"/>
  <c r="CA99" i="1"/>
  <c r="BZ99" i="1"/>
  <c r="BY99" i="1"/>
  <c r="BX99" i="1"/>
  <c r="BW99" i="1"/>
  <c r="BV99" i="1"/>
  <c r="BU99" i="1"/>
  <c r="H99" i="1"/>
  <c r="CB98" i="1"/>
  <c r="CA98" i="1"/>
  <c r="BZ98" i="1"/>
  <c r="BY98" i="1"/>
  <c r="BX98" i="1"/>
  <c r="BW98" i="1"/>
  <c r="BV98" i="1"/>
  <c r="BU98" i="1"/>
  <c r="H98" i="1"/>
  <c r="CB97" i="1"/>
  <c r="CA97" i="1"/>
  <c r="BZ97" i="1"/>
  <c r="BY97" i="1"/>
  <c r="BX97" i="1"/>
  <c r="BW97" i="1"/>
  <c r="BV97" i="1"/>
  <c r="BU97" i="1"/>
  <c r="H97" i="1"/>
  <c r="CB96" i="1"/>
  <c r="CA96" i="1"/>
  <c r="BZ96" i="1"/>
  <c r="BY96" i="1"/>
  <c r="BX96" i="1"/>
  <c r="BW96" i="1"/>
  <c r="BV96" i="1"/>
  <c r="BU96" i="1"/>
  <c r="H96" i="1"/>
  <c r="CB95" i="1"/>
  <c r="CA95" i="1"/>
  <c r="BZ95" i="1"/>
  <c r="BY95" i="1"/>
  <c r="BX95" i="1"/>
  <c r="BW95" i="1"/>
  <c r="BV95" i="1"/>
  <c r="BU95" i="1"/>
  <c r="H95" i="1"/>
  <c r="CB94" i="1"/>
  <c r="CA94" i="1"/>
  <c r="BZ94" i="1"/>
  <c r="BY94" i="1"/>
  <c r="BX94" i="1"/>
  <c r="BW94" i="1"/>
  <c r="BV94" i="1"/>
  <c r="BU94" i="1"/>
  <c r="H94" i="1"/>
  <c r="CB93" i="1"/>
  <c r="CA93" i="1"/>
  <c r="BZ93" i="1"/>
  <c r="BY93" i="1"/>
  <c r="BX93" i="1"/>
  <c r="BW93" i="1"/>
  <c r="BV93" i="1"/>
  <c r="BU93" i="1"/>
  <c r="H93" i="1"/>
  <c r="CB92" i="1"/>
  <c r="CA92" i="1"/>
  <c r="BZ92" i="1"/>
  <c r="BY92" i="1"/>
  <c r="BX92" i="1"/>
  <c r="BW92" i="1"/>
  <c r="BV92" i="1"/>
  <c r="BU92" i="1"/>
  <c r="H92" i="1"/>
  <c r="CB91" i="1"/>
  <c r="CA91" i="1"/>
  <c r="BZ91" i="1"/>
  <c r="BY91" i="1"/>
  <c r="BX91" i="1"/>
  <c r="BW91" i="1"/>
  <c r="BV91" i="1"/>
  <c r="BU91" i="1"/>
  <c r="H91" i="1"/>
  <c r="CB90" i="1"/>
  <c r="CA90" i="1"/>
  <c r="BZ90" i="1"/>
  <c r="BY90" i="1"/>
  <c r="BX90" i="1"/>
  <c r="BW90" i="1"/>
  <c r="BV90" i="1"/>
  <c r="BU90" i="1"/>
  <c r="H90" i="1"/>
  <c r="CB89" i="1"/>
  <c r="CA89" i="1"/>
  <c r="BZ89" i="1"/>
  <c r="BY89" i="1"/>
  <c r="BX89" i="1"/>
  <c r="BW89" i="1"/>
  <c r="BV89" i="1"/>
  <c r="BU89" i="1"/>
  <c r="H89" i="1"/>
  <c r="CB88" i="1"/>
  <c r="CA88" i="1"/>
  <c r="BZ88" i="1"/>
  <c r="BY88" i="1"/>
  <c r="BX88" i="1"/>
  <c r="BW88" i="1"/>
  <c r="BV88" i="1"/>
  <c r="BU88" i="1"/>
  <c r="H88" i="1"/>
  <c r="CB87" i="1"/>
  <c r="CA87" i="1"/>
  <c r="BZ87" i="1"/>
  <c r="BY87" i="1"/>
  <c r="BX87" i="1"/>
  <c r="BW87" i="1"/>
  <c r="BV87" i="1"/>
  <c r="BU87" i="1"/>
  <c r="H87" i="1"/>
  <c r="CB84" i="1"/>
  <c r="CA84" i="1"/>
  <c r="BZ84" i="1"/>
  <c r="BY84" i="1"/>
  <c r="BX84" i="1"/>
  <c r="BW84" i="1"/>
  <c r="BV84" i="1"/>
  <c r="BU84" i="1"/>
  <c r="H84" i="1"/>
  <c r="CB83" i="1"/>
  <c r="CA83" i="1"/>
  <c r="BZ83" i="1"/>
  <c r="BY83" i="1"/>
  <c r="BX83" i="1"/>
  <c r="BW83" i="1"/>
  <c r="BV83" i="1"/>
  <c r="BU83" i="1"/>
  <c r="H83" i="1"/>
  <c r="CB82" i="1"/>
  <c r="CA82" i="1"/>
  <c r="BZ82" i="1"/>
  <c r="BY82" i="1"/>
  <c r="BX82" i="1"/>
  <c r="BW82" i="1"/>
  <c r="BV82" i="1"/>
  <c r="BU82" i="1"/>
  <c r="H82" i="1"/>
  <c r="CB81" i="1"/>
  <c r="CA81" i="1"/>
  <c r="BZ81" i="1"/>
  <c r="BY81" i="1"/>
  <c r="BX81" i="1"/>
  <c r="BW81" i="1"/>
  <c r="BV81" i="1"/>
  <c r="BU81" i="1"/>
  <c r="H81" i="1"/>
  <c r="CB80" i="1"/>
  <c r="CA80" i="1"/>
  <c r="BZ80" i="1"/>
  <c r="BY80" i="1"/>
  <c r="BX80" i="1"/>
  <c r="BW80" i="1"/>
  <c r="BV80" i="1"/>
  <c r="BU80" i="1"/>
  <c r="H80" i="1"/>
  <c r="CB79" i="1"/>
  <c r="CA79" i="1"/>
  <c r="BZ79" i="1"/>
  <c r="BY79" i="1"/>
  <c r="BX79" i="1"/>
  <c r="BW79" i="1"/>
  <c r="BV79" i="1"/>
  <c r="BU79" i="1"/>
  <c r="H79" i="1"/>
  <c r="CB78" i="1"/>
  <c r="CA78" i="1"/>
  <c r="BZ78" i="1"/>
  <c r="BY78" i="1"/>
  <c r="BX78" i="1"/>
  <c r="BW78" i="1"/>
  <c r="BV78" i="1"/>
  <c r="BU78" i="1"/>
  <c r="H78" i="1"/>
  <c r="CB77" i="1"/>
  <c r="CA77" i="1"/>
  <c r="BZ77" i="1"/>
  <c r="BY77" i="1"/>
  <c r="BX77" i="1"/>
  <c r="BW77" i="1"/>
  <c r="BV77" i="1"/>
  <c r="BU77" i="1"/>
  <c r="H77" i="1"/>
  <c r="CB76" i="1"/>
  <c r="CA76" i="1"/>
  <c r="BZ76" i="1"/>
  <c r="BY76" i="1"/>
  <c r="BX76" i="1"/>
  <c r="BW76" i="1"/>
  <c r="BV76" i="1"/>
  <c r="BU76" i="1"/>
  <c r="H76" i="1"/>
  <c r="CB75" i="1"/>
  <c r="CA75" i="1"/>
  <c r="BZ75" i="1"/>
  <c r="BY75" i="1"/>
  <c r="BX75" i="1"/>
  <c r="BW75" i="1"/>
  <c r="BV75" i="1"/>
  <c r="BU75" i="1"/>
  <c r="H75" i="1"/>
  <c r="CB74" i="1"/>
  <c r="CA74" i="1"/>
  <c r="BZ74" i="1"/>
  <c r="BY74" i="1"/>
  <c r="BX74" i="1"/>
  <c r="BW74" i="1"/>
  <c r="BV74" i="1"/>
  <c r="BU74" i="1"/>
  <c r="H74" i="1"/>
  <c r="CB73" i="1"/>
  <c r="CA73" i="1"/>
  <c r="BZ73" i="1"/>
  <c r="BY73" i="1"/>
  <c r="BX73" i="1"/>
  <c r="BW73" i="1"/>
  <c r="BV73" i="1"/>
  <c r="BU73" i="1"/>
  <c r="H73" i="1"/>
  <c r="CB72" i="1"/>
  <c r="CA72" i="1"/>
  <c r="BZ72" i="1"/>
  <c r="BY72" i="1"/>
  <c r="BX72" i="1"/>
  <c r="BW72" i="1"/>
  <c r="BV72" i="1"/>
  <c r="BU72" i="1"/>
  <c r="H72" i="1"/>
  <c r="CB71" i="1"/>
  <c r="CA71" i="1"/>
  <c r="BZ71" i="1"/>
  <c r="BY71" i="1"/>
  <c r="BX71" i="1"/>
  <c r="BW71" i="1"/>
  <c r="BV71" i="1"/>
  <c r="BU71" i="1"/>
  <c r="H71" i="1"/>
  <c r="CB70" i="1"/>
  <c r="CA70" i="1"/>
  <c r="BZ70" i="1"/>
  <c r="BY70" i="1"/>
  <c r="BX70" i="1"/>
  <c r="BW70" i="1"/>
  <c r="BV70" i="1"/>
  <c r="BU70" i="1"/>
  <c r="H70" i="1"/>
  <c r="CB69" i="1"/>
  <c r="CA69" i="1"/>
  <c r="BZ69" i="1"/>
  <c r="BY69" i="1"/>
  <c r="BX69" i="1"/>
  <c r="BW69" i="1"/>
  <c r="BV69" i="1"/>
  <c r="BU69" i="1"/>
  <c r="BS68" i="1"/>
  <c r="CB67" i="1"/>
  <c r="CA67" i="1"/>
  <c r="BZ67" i="1"/>
  <c r="BY67" i="1"/>
  <c r="BX67" i="1"/>
  <c r="BW67" i="1"/>
  <c r="BV67" i="1"/>
  <c r="BU67" i="1"/>
  <c r="BS67" i="1"/>
  <c r="H67" i="1"/>
  <c r="CB66" i="1"/>
  <c r="CA66" i="1"/>
  <c r="BZ66" i="1"/>
  <c r="BY66" i="1"/>
  <c r="BX66" i="1"/>
  <c r="BW66" i="1"/>
  <c r="BV66" i="1"/>
  <c r="BU66" i="1"/>
  <c r="BS66" i="1"/>
  <c r="H66" i="1"/>
  <c r="CB65" i="1"/>
  <c r="CA65" i="1"/>
  <c r="BZ65" i="1"/>
  <c r="BY65" i="1"/>
  <c r="BX65" i="1"/>
  <c r="BW65" i="1"/>
  <c r="BV65" i="1"/>
  <c r="BU65" i="1"/>
  <c r="BS65" i="1"/>
  <c r="H65" i="1"/>
  <c r="CB64" i="1"/>
  <c r="CA64" i="1"/>
  <c r="BZ64" i="1"/>
  <c r="BY64" i="1"/>
  <c r="BX64" i="1"/>
  <c r="BW64" i="1"/>
  <c r="BV64" i="1"/>
  <c r="BU64" i="1"/>
  <c r="BS64" i="1"/>
  <c r="H64" i="1"/>
  <c r="CB63" i="1"/>
  <c r="CA63" i="1"/>
  <c r="BZ63" i="1"/>
  <c r="BY63" i="1"/>
  <c r="BX63" i="1"/>
  <c r="BW63" i="1"/>
  <c r="BV63" i="1"/>
  <c r="BU63" i="1"/>
  <c r="BS63" i="1"/>
  <c r="H63" i="1"/>
  <c r="CB62" i="1"/>
  <c r="CA62" i="1"/>
  <c r="BZ62" i="1"/>
  <c r="BY62" i="1"/>
  <c r="BX62" i="1"/>
  <c r="BW62" i="1"/>
  <c r="BV62" i="1"/>
  <c r="BU62" i="1"/>
  <c r="BS62" i="1"/>
  <c r="H62" i="1"/>
  <c r="CB61" i="1"/>
  <c r="CA61" i="1"/>
  <c r="BZ61" i="1"/>
  <c r="BY61" i="1"/>
  <c r="BX61" i="1"/>
  <c r="BW61" i="1"/>
  <c r="BV61" i="1"/>
  <c r="BU61" i="1"/>
  <c r="BS61" i="1"/>
  <c r="H61" i="1"/>
  <c r="CB60" i="1"/>
  <c r="CA60" i="1"/>
  <c r="BZ60" i="1"/>
  <c r="BY60" i="1"/>
  <c r="BX60" i="1"/>
  <c r="BW60" i="1"/>
  <c r="BV60" i="1"/>
  <c r="BU60" i="1"/>
  <c r="BS60" i="1"/>
  <c r="H60" i="1"/>
  <c r="CB59" i="1"/>
  <c r="CA59" i="1"/>
  <c r="BZ59" i="1"/>
  <c r="BY59" i="1"/>
  <c r="BX59" i="1"/>
  <c r="BW59" i="1"/>
  <c r="BV59" i="1"/>
  <c r="BU59" i="1"/>
  <c r="BS59" i="1"/>
  <c r="H59" i="1"/>
  <c r="CB58" i="1"/>
  <c r="CA58" i="1"/>
  <c r="BZ58" i="1"/>
  <c r="BY58" i="1"/>
  <c r="BX58" i="1"/>
  <c r="BW58" i="1"/>
  <c r="BV58" i="1"/>
  <c r="BU58" i="1"/>
  <c r="BS58" i="1"/>
  <c r="H58" i="1"/>
  <c r="CB57" i="1"/>
  <c r="CA57" i="1"/>
  <c r="BZ57" i="1"/>
  <c r="BY57" i="1"/>
  <c r="BX57" i="1"/>
  <c r="BW57" i="1"/>
  <c r="BV57" i="1"/>
  <c r="BU57" i="1"/>
  <c r="BS57" i="1"/>
  <c r="H57" i="1"/>
  <c r="CB56" i="1"/>
  <c r="CA56" i="1"/>
  <c r="BZ56" i="1"/>
  <c r="BY56" i="1"/>
  <c r="BX56" i="1"/>
  <c r="BW56" i="1"/>
  <c r="BV56" i="1"/>
  <c r="BU56" i="1"/>
  <c r="BS56" i="1"/>
  <c r="H56" i="1"/>
  <c r="CB55" i="1"/>
  <c r="CA55" i="1"/>
  <c r="BZ55" i="1"/>
  <c r="BY55" i="1"/>
  <c r="BX55" i="1"/>
  <c r="BW55" i="1"/>
  <c r="BV55" i="1"/>
  <c r="BU55" i="1"/>
  <c r="BS55" i="1"/>
  <c r="H55" i="1"/>
  <c r="CB54" i="1"/>
  <c r="CA54" i="1"/>
  <c r="BZ54" i="1"/>
  <c r="BY54" i="1"/>
  <c r="BX54" i="1"/>
  <c r="BW54" i="1"/>
  <c r="BV54" i="1"/>
  <c r="BU54" i="1"/>
  <c r="BS54" i="1"/>
  <c r="H54" i="1"/>
  <c r="CB53" i="1"/>
  <c r="CA53" i="1"/>
  <c r="BZ53" i="1"/>
  <c r="BY53" i="1"/>
  <c r="BX53" i="1"/>
  <c r="BW53" i="1"/>
  <c r="BV53" i="1"/>
  <c r="BU53" i="1"/>
  <c r="BS53" i="1"/>
  <c r="H53" i="1"/>
  <c r="CB50" i="1"/>
  <c r="CA50" i="1"/>
  <c r="BZ50" i="1"/>
  <c r="BY50" i="1"/>
  <c r="BX50" i="1"/>
  <c r="BW50" i="1"/>
  <c r="BV50" i="1"/>
  <c r="BU50" i="1"/>
  <c r="H50" i="1"/>
  <c r="CB49" i="1"/>
  <c r="CA49" i="1"/>
  <c r="BZ49" i="1"/>
  <c r="BY49" i="1"/>
  <c r="BX49" i="1"/>
  <c r="BW49" i="1"/>
  <c r="BV49" i="1"/>
  <c r="BU49" i="1"/>
  <c r="H49" i="1"/>
  <c r="CB48" i="1"/>
  <c r="CA48" i="1"/>
  <c r="BZ48" i="1"/>
  <c r="BY48" i="1"/>
  <c r="BX48" i="1"/>
  <c r="BW48" i="1"/>
  <c r="BV48" i="1"/>
  <c r="BU48" i="1"/>
  <c r="H48" i="1"/>
  <c r="CB47" i="1"/>
  <c r="CA47" i="1"/>
  <c r="BZ47" i="1"/>
  <c r="BY47" i="1"/>
  <c r="BX47" i="1"/>
  <c r="BW47" i="1"/>
  <c r="BV47" i="1"/>
  <c r="BU47" i="1"/>
  <c r="H47" i="1"/>
  <c r="CB46" i="1"/>
  <c r="CA46" i="1"/>
  <c r="BZ46" i="1"/>
  <c r="BY46" i="1"/>
  <c r="BX46" i="1"/>
  <c r="BW46" i="1"/>
  <c r="BV46" i="1"/>
  <c r="BU46" i="1"/>
  <c r="H46" i="1"/>
  <c r="CB45" i="1"/>
  <c r="CA45" i="1"/>
  <c r="BZ45" i="1"/>
  <c r="BY45" i="1"/>
  <c r="BX45" i="1"/>
  <c r="BW45" i="1"/>
  <c r="BV45" i="1"/>
  <c r="BU45" i="1"/>
  <c r="H45" i="1"/>
  <c r="CB44" i="1"/>
  <c r="CA44" i="1"/>
  <c r="BZ44" i="1"/>
  <c r="BY44" i="1"/>
  <c r="BX44" i="1"/>
  <c r="BW44" i="1"/>
  <c r="BV44" i="1"/>
  <c r="BU44" i="1"/>
  <c r="H44" i="1"/>
  <c r="CB43" i="1"/>
  <c r="CA43" i="1"/>
  <c r="BZ43" i="1"/>
  <c r="BY43" i="1"/>
  <c r="BX43" i="1"/>
  <c r="BW43" i="1"/>
  <c r="BV43" i="1"/>
  <c r="BU43" i="1"/>
  <c r="H43" i="1"/>
  <c r="CB42" i="1"/>
  <c r="CA42" i="1"/>
  <c r="BZ42" i="1"/>
  <c r="BY42" i="1"/>
  <c r="BX42" i="1"/>
  <c r="BW42" i="1"/>
  <c r="BV42" i="1"/>
  <c r="BU42" i="1"/>
  <c r="H42" i="1"/>
  <c r="CB41" i="1"/>
  <c r="CA41" i="1"/>
  <c r="BZ41" i="1"/>
  <c r="BY41" i="1"/>
  <c r="BX41" i="1"/>
  <c r="BW41" i="1"/>
  <c r="BV41" i="1"/>
  <c r="BU41" i="1"/>
  <c r="H41" i="1"/>
  <c r="CB40" i="1"/>
  <c r="CA40" i="1"/>
  <c r="BZ40" i="1"/>
  <c r="BY40" i="1"/>
  <c r="BX40" i="1"/>
  <c r="BW40" i="1"/>
  <c r="BV40" i="1"/>
  <c r="BU40" i="1"/>
  <c r="H40" i="1"/>
  <c r="CB39" i="1"/>
  <c r="CA39" i="1"/>
  <c r="BZ39" i="1"/>
  <c r="BY39" i="1"/>
  <c r="BX39" i="1"/>
  <c r="BW39" i="1"/>
  <c r="BV39" i="1"/>
  <c r="BU39" i="1"/>
  <c r="H39" i="1"/>
  <c r="CB38" i="1"/>
  <c r="CA38" i="1"/>
  <c r="BZ38" i="1"/>
  <c r="BY38" i="1"/>
  <c r="BX38" i="1"/>
  <c r="BW38" i="1"/>
  <c r="BV38" i="1"/>
  <c r="BU38" i="1"/>
  <c r="H38" i="1"/>
  <c r="CB37" i="1"/>
  <c r="CA37" i="1"/>
  <c r="BZ37" i="1"/>
  <c r="BY37" i="1"/>
  <c r="BX37" i="1"/>
  <c r="BW37" i="1"/>
  <c r="BV37" i="1"/>
  <c r="BU37" i="1"/>
  <c r="H37" i="1"/>
  <c r="CB36" i="1"/>
  <c r="CA36" i="1"/>
  <c r="BZ36" i="1"/>
  <c r="BY36" i="1"/>
  <c r="BX36" i="1"/>
  <c r="BW36" i="1"/>
  <c r="BV36" i="1"/>
  <c r="BU36" i="1"/>
  <c r="H36" i="1"/>
  <c r="CB34" i="1"/>
  <c r="CA34" i="1"/>
  <c r="BZ34" i="1"/>
  <c r="BY34" i="1"/>
  <c r="BX34" i="1"/>
  <c r="BW34" i="1"/>
  <c r="BV34" i="1"/>
  <c r="BU34" i="1"/>
  <c r="BS34" i="1"/>
  <c r="H34" i="1"/>
  <c r="CB33" i="1"/>
  <c r="CA33" i="1"/>
  <c r="BZ33" i="1"/>
  <c r="BY33" i="1"/>
  <c r="BX33" i="1"/>
  <c r="BW33" i="1"/>
  <c r="BV33" i="1"/>
  <c r="BU33" i="1"/>
  <c r="BS33" i="1"/>
  <c r="H33" i="1"/>
  <c r="CB32" i="1"/>
  <c r="CA32" i="1"/>
  <c r="BZ32" i="1"/>
  <c r="BY32" i="1"/>
  <c r="BX32" i="1"/>
  <c r="BW32" i="1"/>
  <c r="BV32" i="1"/>
  <c r="BU32" i="1"/>
  <c r="BS32" i="1"/>
  <c r="H32" i="1"/>
  <c r="CB31" i="1"/>
  <c r="CA31" i="1"/>
  <c r="BZ31" i="1"/>
  <c r="BY31" i="1"/>
  <c r="BX31" i="1"/>
  <c r="BW31" i="1"/>
  <c r="BV31" i="1"/>
  <c r="BU31" i="1"/>
  <c r="BS31" i="1"/>
  <c r="H31" i="1"/>
  <c r="CB30" i="1"/>
  <c r="CA30" i="1"/>
  <c r="BZ30" i="1"/>
  <c r="BY30" i="1"/>
  <c r="BX30" i="1"/>
  <c r="BW30" i="1"/>
  <c r="BV30" i="1"/>
  <c r="BU30" i="1"/>
  <c r="BS30" i="1"/>
  <c r="H30" i="1"/>
  <c r="CB29" i="1"/>
  <c r="CA29" i="1"/>
  <c r="BZ29" i="1"/>
  <c r="BY29" i="1"/>
  <c r="BX29" i="1"/>
  <c r="BW29" i="1"/>
  <c r="BV29" i="1"/>
  <c r="BU29" i="1"/>
  <c r="BS29" i="1"/>
  <c r="H29" i="1"/>
  <c r="CB28" i="1"/>
  <c r="CA28" i="1"/>
  <c r="BZ28" i="1"/>
  <c r="BY28" i="1"/>
  <c r="BX28" i="1"/>
  <c r="BW28" i="1"/>
  <c r="BV28" i="1"/>
  <c r="BU28" i="1"/>
  <c r="BS28" i="1"/>
  <c r="H28" i="1"/>
  <c r="CB27" i="1"/>
  <c r="CA27" i="1"/>
  <c r="BZ27" i="1"/>
  <c r="BY27" i="1"/>
  <c r="BX27" i="1"/>
  <c r="BW27" i="1"/>
  <c r="BV27" i="1"/>
  <c r="BU27" i="1"/>
  <c r="BS27" i="1"/>
  <c r="H27" i="1"/>
  <c r="CB26" i="1"/>
  <c r="CA26" i="1"/>
  <c r="BZ26" i="1"/>
  <c r="BY26" i="1"/>
  <c r="BX26" i="1"/>
  <c r="BW26" i="1"/>
  <c r="BV26" i="1"/>
  <c r="BU26" i="1"/>
  <c r="BS26" i="1"/>
  <c r="H26" i="1"/>
  <c r="CB25" i="1"/>
  <c r="CA25" i="1"/>
  <c r="BZ25" i="1"/>
  <c r="BY25" i="1"/>
  <c r="BX25" i="1"/>
  <c r="BW25" i="1"/>
  <c r="BV25" i="1"/>
  <c r="BU25" i="1"/>
  <c r="BS25" i="1"/>
  <c r="H25" i="1"/>
  <c r="CB24" i="1"/>
  <c r="CA24" i="1"/>
  <c r="BZ24" i="1"/>
  <c r="BY24" i="1"/>
  <c r="BX24" i="1"/>
  <c r="BW24" i="1"/>
  <c r="BV24" i="1"/>
  <c r="BU24" i="1"/>
  <c r="BS24" i="1"/>
  <c r="H24" i="1"/>
  <c r="CB23" i="1"/>
  <c r="CA23" i="1"/>
  <c r="BZ23" i="1"/>
  <c r="BY23" i="1"/>
  <c r="BX23" i="1"/>
  <c r="BW23" i="1"/>
  <c r="BV23" i="1"/>
  <c r="BU23" i="1"/>
  <c r="BS23" i="1"/>
  <c r="H23" i="1"/>
  <c r="CB22" i="1"/>
  <c r="CA22" i="1"/>
  <c r="BZ22" i="1"/>
  <c r="BY22" i="1"/>
  <c r="BX22" i="1"/>
  <c r="BW22" i="1"/>
  <c r="BV22" i="1"/>
  <c r="BU22" i="1"/>
  <c r="H22" i="1"/>
  <c r="CB21" i="1"/>
  <c r="CA21" i="1"/>
  <c r="BZ21" i="1"/>
  <c r="BY21" i="1"/>
  <c r="BX21" i="1"/>
  <c r="BW21" i="1"/>
  <c r="BV21" i="1"/>
  <c r="BU21" i="1"/>
  <c r="H21" i="1"/>
  <c r="CB20" i="1"/>
  <c r="CA20" i="1"/>
  <c r="BZ20" i="1"/>
  <c r="BY20" i="1"/>
  <c r="BX20" i="1"/>
  <c r="BW20" i="1"/>
  <c r="BV20" i="1"/>
  <c r="BU20" i="1"/>
  <c r="H20" i="1"/>
  <c r="CB19" i="1"/>
  <c r="CA19" i="1"/>
  <c r="BZ19" i="1"/>
  <c r="BY19" i="1"/>
  <c r="BX19" i="1"/>
  <c r="BW19" i="1"/>
  <c r="BV19" i="1"/>
  <c r="BU19" i="1"/>
  <c r="H19" i="1"/>
  <c r="CB17" i="1"/>
  <c r="CA17" i="1"/>
  <c r="BZ17" i="1"/>
  <c r="BY17" i="1"/>
  <c r="BX17" i="1"/>
  <c r="BW17" i="1"/>
  <c r="BV17" i="1"/>
  <c r="BU17" i="1"/>
  <c r="BS17" i="1"/>
  <c r="H17" i="1"/>
  <c r="CB16" i="1"/>
  <c r="CA16" i="1"/>
  <c r="BZ16" i="1"/>
  <c r="BY16" i="1"/>
  <c r="BX16" i="1"/>
  <c r="BW16" i="1"/>
  <c r="BV16" i="1"/>
  <c r="BU16" i="1"/>
  <c r="BS16" i="1"/>
  <c r="H16" i="1"/>
  <c r="CB15" i="1"/>
  <c r="CA15" i="1"/>
  <c r="BZ15" i="1"/>
  <c r="BY15" i="1"/>
  <c r="BX15" i="1"/>
  <c r="BW15" i="1"/>
  <c r="BV15" i="1"/>
  <c r="BU15" i="1"/>
  <c r="BS15" i="1"/>
  <c r="H15" i="1"/>
  <c r="CB14" i="1"/>
  <c r="CA14" i="1"/>
  <c r="BZ14" i="1"/>
  <c r="BY14" i="1"/>
  <c r="BX14" i="1"/>
  <c r="BW14" i="1"/>
  <c r="BV14" i="1"/>
  <c r="BU14" i="1"/>
  <c r="BS14" i="1"/>
  <c r="H14" i="1"/>
  <c r="CB13" i="1"/>
  <c r="CA13" i="1"/>
  <c r="BZ13" i="1"/>
  <c r="BY13" i="1"/>
  <c r="BX13" i="1"/>
  <c r="BW13" i="1"/>
  <c r="BV13" i="1"/>
  <c r="BU13" i="1"/>
  <c r="BS13" i="1"/>
  <c r="H13" i="1"/>
  <c r="CB12" i="1"/>
  <c r="CA12" i="1"/>
  <c r="BZ12" i="1"/>
  <c r="BY12" i="1"/>
  <c r="BX12" i="1"/>
  <c r="BW12" i="1"/>
  <c r="BV12" i="1"/>
  <c r="BU12" i="1"/>
  <c r="BS12" i="1"/>
  <c r="H12" i="1"/>
  <c r="CB11" i="1"/>
  <c r="CA11" i="1"/>
  <c r="BZ11" i="1"/>
  <c r="BY11" i="1"/>
  <c r="BX11" i="1"/>
  <c r="BW11" i="1"/>
  <c r="BV11" i="1"/>
  <c r="BU11" i="1"/>
  <c r="BS11" i="1"/>
  <c r="H11" i="1"/>
  <c r="CB10" i="1"/>
  <c r="CA10" i="1"/>
  <c r="BZ10" i="1"/>
  <c r="BY10" i="1"/>
  <c r="BX10" i="1"/>
  <c r="BW10" i="1"/>
  <c r="BV10" i="1"/>
  <c r="BU10" i="1"/>
  <c r="BS10" i="1"/>
  <c r="H10" i="1"/>
  <c r="CB9" i="1"/>
  <c r="CA9" i="1"/>
  <c r="BZ9" i="1"/>
  <c r="BY9" i="1"/>
  <c r="BX9" i="1"/>
  <c r="BW9" i="1"/>
  <c r="BV9" i="1"/>
  <c r="BU9" i="1"/>
  <c r="BS9" i="1"/>
  <c r="H9" i="1"/>
  <c r="CB8" i="1"/>
  <c r="CA8" i="1"/>
  <c r="BZ8" i="1"/>
  <c r="BY8" i="1"/>
  <c r="BX8" i="1"/>
  <c r="BW8" i="1"/>
  <c r="BV8" i="1"/>
  <c r="BU8" i="1"/>
  <c r="BS8" i="1"/>
  <c r="H8" i="1"/>
  <c r="CB7" i="1"/>
  <c r="CA7" i="1"/>
  <c r="BZ7" i="1"/>
  <c r="BY7" i="1"/>
  <c r="BX7" i="1"/>
  <c r="BW7" i="1"/>
  <c r="BV7" i="1"/>
  <c r="BU7" i="1"/>
  <c r="BS7" i="1"/>
  <c r="H7" i="1"/>
  <c r="CB6" i="1"/>
  <c r="CA6" i="1"/>
  <c r="BZ6" i="1"/>
  <c r="BY6" i="1"/>
  <c r="BX6" i="1"/>
  <c r="BW6" i="1"/>
  <c r="BV6" i="1"/>
  <c r="BU6" i="1"/>
  <c r="BS6" i="1"/>
  <c r="H6" i="1"/>
  <c r="CB5" i="1"/>
  <c r="CA5" i="1"/>
  <c r="BZ5" i="1"/>
  <c r="BY5" i="1"/>
  <c r="BX5" i="1"/>
  <c r="BW5" i="1"/>
  <c r="BV5" i="1"/>
  <c r="BU5" i="1"/>
  <c r="BS5" i="1"/>
  <c r="H5" i="1"/>
  <c r="CB4" i="1"/>
  <c r="CA4" i="1"/>
  <c r="BZ4" i="1"/>
  <c r="BY4" i="1"/>
  <c r="BX4" i="1"/>
  <c r="BW4" i="1"/>
  <c r="BV4" i="1"/>
  <c r="BU4" i="1"/>
  <c r="BS4" i="1"/>
  <c r="H4" i="1"/>
  <c r="CB3" i="1"/>
  <c r="CA3" i="1"/>
  <c r="BZ3" i="1"/>
  <c r="BY3" i="1"/>
  <c r="BX3" i="1"/>
  <c r="BW3" i="1"/>
  <c r="BV3" i="1"/>
  <c r="BU3" i="1"/>
  <c r="BS3" i="1"/>
  <c r="H3" i="1"/>
  <c r="CB2" i="1"/>
  <c r="CA2" i="1"/>
  <c r="BZ2" i="1"/>
  <c r="BY2" i="1"/>
  <c r="BX2" i="1"/>
  <c r="BW2" i="1"/>
  <c r="BV2" i="1"/>
  <c r="BU2" i="1"/>
  <c r="BS2"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tc={2254073A-9FF4-834F-8673-E6F009141A5E}</author>
    <author>tc={70E01F3F-8D32-41E8-A54B-8A00D665ED59}</author>
    <author/>
  </authors>
  <commentList>
    <comment ref="G207" authorId="0" shapeId="0" xr:uid="{2254073A-9FF4-834F-8673-E6F009141A5E}">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Preliminary.</t>
        </r>
      </text>
    </comment>
    <comment ref="G293" authorId="1" shapeId="0" xr:uid="{70E01F3F-8D32-41E8-A54B-8A00D665ED59}">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preliminary</t>
        </r>
      </text>
    </comment>
    <comment ref="BU340" authorId="2" shapeId="0" xr:uid="{00000000-0006-0000-0000-000003000000}">
      <text>
        <r>
          <rPr>
            <sz val="12"/>
            <color theme="1"/>
            <rFont val="Calibri"/>
            <family val="2"/>
            <scheme val="minor"/>
          </rPr>
          <t>======
ID#AAAARy4LoCg
    (2021-06-09 23:57:53)
more specific?
	-Catherine Heiger</t>
        </r>
      </text>
    </comment>
    <comment ref="BU341" authorId="2" shapeId="0" xr:uid="{00000000-0006-0000-0000-000001000000}">
      <text>
        <r>
          <rPr>
            <sz val="12"/>
            <color theme="1"/>
            <rFont val="Calibri"/>
            <family val="2"/>
            <scheme val="minor"/>
          </rPr>
          <t>======
ID#AAAARy4LoAE
    (2021-06-09 23:57:53)
more specific?
	-Catherine Heiger</t>
        </r>
      </text>
    </comment>
    <comment ref="BU342" authorId="2" shapeId="0" xr:uid="{00000000-0006-0000-0000-000002000000}">
      <text>
        <r>
          <rPr>
            <sz val="12"/>
            <color theme="1"/>
            <rFont val="Calibri"/>
            <family val="2"/>
            <scheme val="minor"/>
          </rPr>
          <t>======
ID#AAAARy4LoDU
    (2021-06-09 23:57:53)
more specific?
	-Catherine Heiger</t>
        </r>
      </text>
    </comment>
  </commentList>
  <extLst>
    <ext xmlns:r="http://schemas.openxmlformats.org/officeDocument/2006/relationships" uri="GoogleSheetsCustomDataVersion1">
      <go:sheetsCustomData xmlns:go="http://customooxmlschemas.google.com/" r:id="rId1" roundtripDataSignature="AMtx7miWAp4TI77rlOv+xor5iByImC8WT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87" authorId="0" shapeId="0" xr:uid="{00000000-0006-0000-0100-000002000000}">
      <text>
        <r>
          <rPr>
            <sz val="12"/>
            <color theme="1"/>
            <rFont val="Calibri"/>
            <family val="2"/>
            <scheme val="minor"/>
          </rPr>
          <t>======
ID#AAAARy4LoDY
Catherine Heiger    (2021-06-23 19:34:18)
confirm this w BD</t>
        </r>
      </text>
    </comment>
    <comment ref="C126" authorId="0" shapeId="0" xr:uid="{00000000-0006-0000-0100-000001000000}">
      <text>
        <r>
          <rPr>
            <sz val="12"/>
            <color theme="1"/>
            <rFont val="Calibri"/>
            <family val="2"/>
            <scheme val="minor"/>
          </rPr>
          <t>======
ID#AAAARy4LoC8
Catherine Heiger    (2021-07-12 06:41:11)
only spanish texts</t>
        </r>
      </text>
    </comment>
    <comment ref="S140" authorId="0" shapeId="0" xr:uid="{00000000-0006-0000-0100-000003000000}">
      <text>
        <r>
          <rPr>
            <sz val="12"/>
            <color theme="1"/>
            <rFont val="Calibri"/>
            <family val="2"/>
            <scheme val="minor"/>
          </rPr>
          <t>======
ID#AAAARy4Ln_o
Catherine Heiger    (2021-06-14 05:24:17)
clarify</t>
        </r>
      </text>
    </comment>
  </commentList>
  <extLst>
    <ext xmlns:r="http://schemas.openxmlformats.org/officeDocument/2006/relationships" uri="GoogleSheetsCustomDataVersion1">
      <go:sheetsCustomData xmlns:go="http://customooxmlschemas.google.com/" r:id="rId1" roundtripDataSignature="AMtx7mhz1fc1INsxldn/qt1pE/oqF+S1dg=="/>
    </ext>
  </extLst>
</comments>
</file>

<file path=xl/sharedStrings.xml><?xml version="1.0" encoding="utf-8"?>
<sst xmlns="http://schemas.openxmlformats.org/spreadsheetml/2006/main" count="6276" uniqueCount="786">
  <si>
    <t>© 2021, last update March 2023; Sarah Bauerle and Sophie Meunier</t>
  </si>
  <si>
    <t xml:space="preserve">Terms of use - </t>
  </si>
  <si>
    <t>This dataset is being provided through an academic license that is restricted to Academic Use, which means use (i) by an individual employed by (or, with respect to academic institutions, enrolled in a course of study at) an accredited academic institution, organized and operated exclusively for the purpose of education or research, (ii) at the location of such academic institution, and (iii) solely for purposes directly related to teaching, training, degree-granting programs, and research and development that are part of the instructional functions of the institution. Without limiting the foregoing, Academic Licenses may not be used for commercial, professional or productive purposes, for commercial training or any other for-profit purposes. The dataset may not be shared with other persons without the written permission of the copyright holder.</t>
  </si>
  <si>
    <t>Country</t>
  </si>
  <si>
    <t>ISO3N</t>
  </si>
  <si>
    <t>OECD</t>
  </si>
  <si>
    <t>EU/EEA</t>
  </si>
  <si>
    <t>Five Eyes</t>
  </si>
  <si>
    <t>Year When Mechanism Established</t>
  </si>
  <si>
    <t>year</t>
  </si>
  <si>
    <t>New Law This Year</t>
  </si>
  <si>
    <t>Number of Law Changes</t>
  </si>
  <si>
    <t>Number of Mechanisms</t>
  </si>
  <si>
    <t>Coverage</t>
  </si>
  <si>
    <t>Notification Requirements</t>
  </si>
  <si>
    <t>preapproval</t>
  </si>
  <si>
    <t>formal call in power</t>
  </si>
  <si>
    <t>Greenfield covered</t>
  </si>
  <si>
    <t>Real Estate Covered</t>
  </si>
  <si>
    <t>Time Frame</t>
  </si>
  <si>
    <t>Threshold</t>
  </si>
  <si>
    <t>Review of increased ownership</t>
  </si>
  <si>
    <t>Filing Fees</t>
  </si>
  <si>
    <t>Mitigation</t>
  </si>
  <si>
    <t>Fines</t>
  </si>
  <si>
    <t>National Security/Public Order Test</t>
  </si>
  <si>
    <t>Net Benefit Test</t>
  </si>
  <si>
    <t>Competition Test</t>
  </si>
  <si>
    <t>Inter-agency review</t>
  </si>
  <si>
    <t>Lead Authority</t>
  </si>
  <si>
    <t>Tiered Levels of Authority</t>
  </si>
  <si>
    <t>Local representation</t>
  </si>
  <si>
    <t>Enhanced review of Foreign Gov't Control</t>
  </si>
  <si>
    <t>Co-location</t>
  </si>
  <si>
    <t>Screening for dual-use items tied to export control list</t>
  </si>
  <si>
    <t>EU vs. Non-EU Differences</t>
  </si>
  <si>
    <t>Temporary COVID-19 Legislation</t>
  </si>
  <si>
    <t>Artificial Intelligence and Machine Learning</t>
  </si>
  <si>
    <t>Data Analytics Technology</t>
  </si>
  <si>
    <t>Quantum Information and Sensing Technology</t>
  </si>
  <si>
    <t>Logistics Technology</t>
  </si>
  <si>
    <t>Additive Manufacturing</t>
  </si>
  <si>
    <t>Robotics</t>
  </si>
  <si>
    <t>Brain-Computer Interfaces</t>
  </si>
  <si>
    <t>Hypersonics</t>
  </si>
  <si>
    <t>Advanced Materials</t>
  </si>
  <si>
    <t>Advanced Surveillance Technologies</t>
  </si>
  <si>
    <t>Cyber Security</t>
  </si>
  <si>
    <t>Defense Technologies</t>
  </si>
  <si>
    <t>Total Sectors</t>
  </si>
  <si>
    <t>Australia</t>
  </si>
  <si>
    <t>Cross sectoral</t>
  </si>
  <si>
    <t>mandatory for some transactions</t>
  </si>
  <si>
    <t>130 days</t>
  </si>
  <si>
    <t>Foreign Investment Review Board</t>
  </si>
  <si>
    <t>0</t>
  </si>
  <si>
    <t>1</t>
  </si>
  <si>
    <t>2</t>
  </si>
  <si>
    <t>30 days</t>
  </si>
  <si>
    <t>Mixed</t>
  </si>
  <si>
    <t>180 days</t>
  </si>
  <si>
    <t>220 days</t>
  </si>
  <si>
    <t>Austria</t>
  </si>
  <si>
    <t>Sectoral</t>
  </si>
  <si>
    <t>mandatory</t>
  </si>
  <si>
    <t>60 days</t>
  </si>
  <si>
    <t>The Federal Minister of Economy, Family and Youth</t>
  </si>
  <si>
    <t>90 days</t>
  </si>
  <si>
    <t>Federal Ministry for Digital and Economic Affairs</t>
  </si>
  <si>
    <t>Belgium</t>
  </si>
  <si>
    <t>2011</t>
  </si>
  <si>
    <t>2012</t>
  </si>
  <si>
    <t>2013</t>
  </si>
  <si>
    <t>2014</t>
  </si>
  <si>
    <t>2015</t>
  </si>
  <si>
    <t>2016</t>
  </si>
  <si>
    <t>2017</t>
  </si>
  <si>
    <t>2018</t>
  </si>
  <si>
    <t>2019</t>
  </si>
  <si>
    <t>2020</t>
  </si>
  <si>
    <t>2021</t>
  </si>
  <si>
    <t>Draft form</t>
  </si>
  <si>
    <t>Yes</t>
  </si>
  <si>
    <t>10% and &gt; EUR 100M/year or 25%</t>
  </si>
  <si>
    <t>Interfederal Screening Committee</t>
  </si>
  <si>
    <t>Canada</t>
  </si>
  <si>
    <t>2007</t>
  </si>
  <si>
    <t>45 days</t>
  </si>
  <si>
    <t>C$5M</t>
  </si>
  <si>
    <t>Innovation, Science and Economic Development Canada</t>
  </si>
  <si>
    <t>2008</t>
  </si>
  <si>
    <t>2009</t>
  </si>
  <si>
    <t>110 days</t>
  </si>
  <si>
    <t>2010</t>
  </si>
  <si>
    <t>135 days</t>
  </si>
  <si>
    <t>75 days</t>
  </si>
  <si>
    <t>Chile</t>
  </si>
  <si>
    <t>Colombia</t>
  </si>
  <si>
    <t>No</t>
  </si>
  <si>
    <t>Costa Rica</t>
  </si>
  <si>
    <t>Czech Republic</t>
  </si>
  <si>
    <t>120 days</t>
  </si>
  <si>
    <t>Ministry of Industry and Trade</t>
  </si>
  <si>
    <t>Denmark</t>
  </si>
  <si>
    <t>Ministry of Justice</t>
  </si>
  <si>
    <t>Danish Business Authority</t>
  </si>
  <si>
    <t>125 days</t>
  </si>
  <si>
    <t>Estonia</t>
  </si>
  <si>
    <t>10 Hectares</t>
  </si>
  <si>
    <t>Local government council</t>
  </si>
  <si>
    <t>Foreign Investment Committee</t>
  </si>
  <si>
    <t>Finland</t>
  </si>
  <si>
    <t>Individual ministries</t>
  </si>
  <si>
    <t>Threshold Note: 10% for real estate; 10%, 33.3%, 50% of votes for all other businesses</t>
  </si>
  <si>
    <t>mandatory for defense and dual use. Voluntary for others, those focus is on critical infrastructure (includes agriculture). Concept is "entity subject to screening" a) a defence industry enterprise;
b) a company that produces or supplies critical products or services related to the statutory duties of Finnish authorities essential to the security of society;
c) an organisation or business undertaking that is considered, when assessed as a whole, critical in terms of securing functions vital to society on the basis of their field, business or commitments</t>
  </si>
  <si>
    <t>France</t>
  </si>
  <si>
    <t>Ministry of Economy (“MINEFI”)</t>
  </si>
  <si>
    <t>Non-EU members or state-controlled entities only: Media (20%), finance, space, mining, transportation infrastructure</t>
  </si>
  <si>
    <t> Ministry of the Economy and Finance</t>
  </si>
  <si>
    <t>mandatory for most transactions</t>
  </si>
  <si>
    <t>105 days</t>
  </si>
  <si>
    <t>MULTICOM4</t>
  </si>
  <si>
    <t>Germany</t>
  </si>
  <si>
    <t>none</t>
  </si>
  <si>
    <t>Ministry of Economic Affairs and Energy (BMWi)</t>
  </si>
  <si>
    <t>Ministry of Economics and Technology</t>
  </si>
  <si>
    <t>Greece</t>
  </si>
  <si>
    <t>Hungary</t>
  </si>
  <si>
    <t>Minister of the Interior</t>
  </si>
  <si>
    <t>Minister of Innovation and Technology; Minister of the Interior</t>
  </si>
  <si>
    <t>Minister of Industry and Technology; Cabinet Office of the Prime Minister</t>
  </si>
  <si>
    <t>Iceland</t>
  </si>
  <si>
    <t>Ireland</t>
  </si>
  <si>
    <t>Draft Form</t>
  </si>
  <si>
    <t>Passed but not implemented</t>
  </si>
  <si>
    <t>Minister for Enterprise, Trade and Employment</t>
  </si>
  <si>
    <t>Israel</t>
  </si>
  <si>
    <t>Mandatory for real estate transactions</t>
  </si>
  <si>
    <t>Individual Ministries</t>
  </si>
  <si>
    <t>Secretary Cabinet</t>
  </si>
  <si>
    <t>Italy</t>
  </si>
  <si>
    <t>380</t>
  </si>
  <si>
    <t>25 days</t>
  </si>
  <si>
    <t>Council of Ministers</t>
  </si>
  <si>
    <t>3%</t>
  </si>
  <si>
    <t>3</t>
  </si>
  <si>
    <t>20 days</t>
  </si>
  <si>
    <t>65 days</t>
  </si>
  <si>
    <t>Japan</t>
  </si>
  <si>
    <t>Ministry of Finance</t>
  </si>
  <si>
    <t>150 days</t>
  </si>
  <si>
    <t>mandatory for some transactions/assets</t>
  </si>
  <si>
    <t>Latvia</t>
  </si>
  <si>
    <t>Cabinet</t>
  </si>
  <si>
    <t>Lithuania</t>
  </si>
  <si>
    <t>Commission for Coordination of Protection of Objects of Importance to Ensuring National Security</t>
  </si>
  <si>
    <t>Luxembourg</t>
  </si>
  <si>
    <t>Ministry of Economy</t>
  </si>
  <si>
    <t>Mexico</t>
  </si>
  <si>
    <t>49% or MXN 19.55B</t>
  </si>
  <si>
    <t>National Foreign Investment Commission</t>
  </si>
  <si>
    <t>Netherlands</t>
  </si>
  <si>
    <t>Ministry of Economic Affairs and Climate Policy</t>
  </si>
  <si>
    <t> </t>
  </si>
  <si>
    <t>New Zealand</t>
  </si>
  <si>
    <t>25% or NZD 100M</t>
  </si>
  <si>
    <t>Overseas Investment Office</t>
  </si>
  <si>
    <t>70 days</t>
  </si>
  <si>
    <t>245 days</t>
  </si>
  <si>
    <t>Norway</t>
  </si>
  <si>
    <t>King of Council</t>
  </si>
  <si>
    <t>Poland</t>
  </si>
  <si>
    <t>20% and EUR 10M</t>
  </si>
  <si>
    <t>Portugal</t>
  </si>
  <si>
    <t>Republic of Korea</t>
  </si>
  <si>
    <t>100M KRW and 10%</t>
  </si>
  <si>
    <t>Slovak Republic</t>
  </si>
  <si>
    <t>Slovenia</t>
  </si>
  <si>
    <t>FDI Commission</t>
  </si>
  <si>
    <t>730 days</t>
  </si>
  <si>
    <t>Expert Group</t>
  </si>
  <si>
    <t>Spain</t>
  </si>
  <si>
    <t>Foreign Investment Board</t>
  </si>
  <si>
    <t>4</t>
  </si>
  <si>
    <t>10% or 1M EUR</t>
  </si>
  <si>
    <t>Sweden</t>
  </si>
  <si>
    <t>205 days</t>
  </si>
  <si>
    <t>Inspectorate of Strategic Products </t>
  </si>
  <si>
    <t>Switzerland</t>
  </si>
  <si>
    <t>Turkey</t>
  </si>
  <si>
    <t>Asset</t>
  </si>
  <si>
    <t>United Kingdom</t>
  </si>
  <si>
    <t>224 days</t>
  </si>
  <si>
    <t>GBP 70M or 25%</t>
  </si>
  <si>
    <t>Department for Business, Energy, and Industrial Strategy (BEIS)</t>
  </si>
  <si>
    <t>GBP 1M or 25%</t>
  </si>
  <si>
    <t>United States</t>
  </si>
  <si>
    <t>Committee on Foreign Investment in the United States (CFIUS)</t>
  </si>
  <si>
    <t>Year Signed</t>
  </si>
  <si>
    <t>Year Effective</t>
  </si>
  <si>
    <t>Export Controls Tied to Critical Technology</t>
  </si>
  <si>
    <t>Defense Production</t>
  </si>
  <si>
    <t>Energy Infrastructure (electricity/gas/coal production and distribution)</t>
  </si>
  <si>
    <t>Water Infrastructure</t>
  </si>
  <si>
    <t>Transportation Infrastructure</t>
  </si>
  <si>
    <t>Telecommunications Infrastructure</t>
  </si>
  <si>
    <t>Healthcare infrastructure</t>
  </si>
  <si>
    <t>Education and training</t>
  </si>
  <si>
    <t>Agriculture/food security</t>
  </si>
  <si>
    <t>Finance</t>
  </si>
  <si>
    <t>Media</t>
  </si>
  <si>
    <t>Research Institutions</t>
  </si>
  <si>
    <t>Sensitive Personal Data</t>
  </si>
  <si>
    <t xml:space="preserve">Controlled dual-use </t>
  </si>
  <si>
    <t>Biotechology</t>
  </si>
  <si>
    <t>Logistics technology</t>
  </si>
  <si>
    <t>Microprocessor technology</t>
  </si>
  <si>
    <t>Advanced computing technology</t>
  </si>
  <si>
    <t>Data Analytics technology</t>
  </si>
  <si>
    <t>Quantum information and sensing technology</t>
  </si>
  <si>
    <t>Brain-computer interfaces</t>
  </si>
  <si>
    <t>Advanced surveillance technologies</t>
  </si>
  <si>
    <t>Cyber security</t>
  </si>
  <si>
    <t>energy storage</t>
  </si>
  <si>
    <t>civil nuclear</t>
  </si>
  <si>
    <t>gambling</t>
  </si>
  <si>
    <t>mineral resources</t>
  </si>
  <si>
    <t>Tourism</t>
  </si>
  <si>
    <t>Space</t>
  </si>
  <si>
    <t>Critical Supplies</t>
  </si>
  <si>
    <t>Total sectors</t>
  </si>
  <si>
    <t xml:space="preserve">Australia </t>
  </si>
  <si>
    <t>1975</t>
  </si>
  <si>
    <t>1976</t>
  </si>
  <si>
    <t>Foreign Acquisitions and Takeovers Act 1975</t>
  </si>
  <si>
    <t>Foreign Acquisitions and Takeovers Amendment Act 2010</t>
  </si>
  <si>
    <t>Foreign Acquisitions and Takeovers Regulation 2015</t>
  </si>
  <si>
    <t>Foreign investment review board</t>
  </si>
  <si>
    <t>Foreign Acquisitions and Takeovers Fees Imposition Act 2015</t>
  </si>
  <si>
    <t>Telecommunications and Other Legislation Amendment Act</t>
  </si>
  <si>
    <t>Security of Critical Infrastructure Act</t>
  </si>
  <si>
    <t>Foreign Acquisitions and Takeovers Amendment (Threshold Test) Regulations 2020</t>
  </si>
  <si>
    <t>Foreign Investment Reform (Protecting Australia's National Security) Act 2020</t>
  </si>
  <si>
    <t>Security Legislation Amendment (Critical Infrastructure) Act 2021</t>
  </si>
  <si>
    <t>2022</t>
  </si>
  <si>
    <t>Foreign Acquisitions and Takeovers Fees Imposition Amendment (Fee Doubling) Regulations 2022</t>
  </si>
  <si>
    <t>Foreign Trade Act 2011</t>
  </si>
  <si>
    <t xml:space="preserve">mandatory  </t>
  </si>
  <si>
    <t>Amendment to the Foreign Trade Act 2011</t>
  </si>
  <si>
    <t xml:space="preserve">mandatory   </t>
  </si>
  <si>
    <t>Investment Control Act to replace the Foreign Trade Act 2011</t>
  </si>
  <si>
    <t>2023</t>
  </si>
  <si>
    <t>Cooperation Agreement</t>
  </si>
  <si>
    <t>1985</t>
  </si>
  <si>
    <t>Foreign Investment Review Act</t>
  </si>
  <si>
    <t>1991</t>
  </si>
  <si>
    <t>Insurance Companies Act, Bank Act, Broadcasting Act</t>
  </si>
  <si>
    <t>1993</t>
  </si>
  <si>
    <t>Telecommunications Act</t>
  </si>
  <si>
    <t>1996</t>
  </si>
  <si>
    <t>Transportation Act</t>
  </si>
  <si>
    <t xml:space="preserve">2009 </t>
  </si>
  <si>
    <t>Investment Canada Regulations</t>
  </si>
  <si>
    <t>National Security Review of Investments Regulations</t>
  </si>
  <si>
    <t>Regulations Amending the National Security Review of Investments Regulations</t>
  </si>
  <si>
    <t>Time Limits and Other Periods Act (COVID-19) (Time Limits Act)</t>
  </si>
  <si>
    <t>Investment Canada Act; Amendment to ICA</t>
  </si>
  <si>
    <t>Prohibition on the Purchase of Residential Property by Non-Canadians Act</t>
  </si>
  <si>
    <t>No. 34/2021 Foreign Direct Investments Screening Act</t>
  </si>
  <si>
    <t>1937</t>
  </si>
  <si>
    <t>Act No. 139 of 7 May 1937 on Control of Manufacture of Military Equipment etc</t>
  </si>
  <si>
    <t>1990</t>
  </si>
  <si>
    <t>Law No. 400 of 13 June 1990</t>
  </si>
  <si>
    <t>Act on War Material</t>
  </si>
  <si>
    <r>
      <rPr>
        <sz val="10"/>
        <color theme="1"/>
        <rFont val="Times New Roman"/>
        <family val="1"/>
      </rPr>
      <t>Danish Investment Screening Act (</t>
    </r>
    <r>
      <rPr>
        <u/>
        <sz val="10"/>
        <color rgb="FF1155CC"/>
        <rFont val="Times New Roman"/>
        <family val="1"/>
      </rPr>
      <t>Act no. 842 of 10 May 2021</t>
    </r>
    <r>
      <rPr>
        <sz val="10"/>
        <color theme="1"/>
        <rFont val="Times New Roman"/>
        <family val="1"/>
      </rPr>
      <t>)</t>
    </r>
  </si>
  <si>
    <t>Danish Investment Screening Act (Act no. 843 of 10 july 2023)</t>
  </si>
  <si>
    <t>Restrictions on Acquisition of Immovables Act of 2012</t>
  </si>
  <si>
    <t>Foreign Investment Reliability Assessment Act 639 SE</t>
  </si>
  <si>
    <t>1939</t>
  </si>
  <si>
    <t>219/1939</t>
  </si>
  <si>
    <t>No information besides sectoral coverage for defense production</t>
  </si>
  <si>
    <t>225/1939</t>
  </si>
  <si>
    <t>1942</t>
  </si>
  <si>
    <t>884/1942</t>
  </si>
  <si>
    <t>1992</t>
  </si>
  <si>
    <t>Act on the Follow Up of Foreign Acquisitions</t>
  </si>
  <si>
    <t xml:space="preserve">33.3% + employment, turnover, and balance sheet thresholds </t>
  </si>
  <si>
    <t>Act on the Screening of Foreign Corporate Acquisitions</t>
  </si>
  <si>
    <t>mandatory for defense</t>
  </si>
  <si>
    <t xml:space="preserve">Act on transfers of real estate property requiring permission </t>
  </si>
  <si>
    <t>Amendment to Act on the Screening of Foreign Corporate Acquisitions</t>
  </si>
  <si>
    <t>2004</t>
  </si>
  <si>
    <t>2005</t>
  </si>
  <si>
    <t>Decree No. 2005-1739</t>
  </si>
  <si>
    <t>Code monétaire et financier Amendment</t>
  </si>
  <si>
    <t>amendment to Code monétaire et financier (decret Montebourg)</t>
  </si>
  <si>
    <t>Decree n°2019-1590</t>
  </si>
  <si>
    <t>Text no. 22 of the French Official Journal no. 0105 dated 30 April 2020.</t>
  </si>
  <si>
    <t>Order of September 10, 2021 relating to foreign investments in France</t>
  </si>
  <si>
    <t>Publication of the guidelines relating to the control of foreign investments in France</t>
  </si>
  <si>
    <t>Extension in 2023 of the measure temporarily lowering the threshold triggering the IEF control in French companies listed on a regulated market</t>
  </si>
  <si>
    <t>2024</t>
  </si>
  <si>
    <t>Decree No 2023-1293</t>
  </si>
  <si>
    <t>Order Dated 28 December 2023</t>
  </si>
  <si>
    <t>Foreign Trade and Payments Act</t>
  </si>
  <si>
    <t>Law on the protection against threats for the security of  the Federal Republic of Germany that are transmitted through the dissemination of high-quality earth data generated from space of 23 November 2007</t>
  </si>
  <si>
    <t>31 days</t>
  </si>
  <si>
    <t>Foreign Trade and Payments Act/AWV</t>
  </si>
  <si>
    <t>Amendment to Foreign Trade and Payments Act/AWV</t>
  </si>
  <si>
    <t>AWV amendment</t>
  </si>
  <si>
    <t>Act LVII of 2018 on Controlling Foreign Investments Violating Hungary’s Security Interests</t>
  </si>
  <si>
    <t>25%; 10% for public limited companies</t>
  </si>
  <si>
    <t>Chapter 85 of Act LVIII of 2020</t>
  </si>
  <si>
    <t>25%; 10% when EUR 1M</t>
  </si>
  <si>
    <t>Minister of Innovation and Technology</t>
  </si>
  <si>
    <t>Government Decree No. 182/2022 (V. 24.)</t>
  </si>
  <si>
    <t>Minister of Industry and Technology</t>
  </si>
  <si>
    <t>The Screening of Third Country Transactions Act 2023 (the "STCT Act")</t>
  </si>
  <si>
    <t>Creation and Implementation of the Advisory Committee on Foreign Investment through a ministerial order</t>
  </si>
  <si>
    <t>Resolution B\41 by the Ministerial Committee on National Security Affairs (State Security Cabinet)</t>
  </si>
  <si>
    <t>Decree Law 21</t>
  </si>
  <si>
    <t>Presidential Decree 35/2014 (February), Presidential Decree 85/2014 (March), Ministerial Decree 108/2014 (June)</t>
  </si>
  <si>
    <t>Law of 4 December 2017</t>
  </si>
  <si>
    <t>Decree law No. 22/2019</t>
  </si>
  <si>
    <t>Decree-Law 8 April 2020, n. 23</t>
  </si>
  <si>
    <t>Law of 18 December 2020, n. 176</t>
  </si>
  <si>
    <t>Decree-Law 30 December 2021, n. 228</t>
  </si>
  <si>
    <t>Decree-Law No. 50 of May 17, 2022</t>
  </si>
  <si>
    <t>Decree No. 133</t>
  </si>
  <si>
    <t>1980</t>
  </si>
  <si>
    <t xml:space="preserve">Order on Inward Direct Investment </t>
  </si>
  <si>
    <t>Amendment to Order on Inward Direct Investment, Amendment to Cabinet Order No261 of 1979</t>
  </si>
  <si>
    <t>Amendment to Order on Inward Direct Investment, Amendment to Cabinet Order 261 of 1980</t>
  </si>
  <si>
    <t>COVID-19 related ammendments</t>
  </si>
  <si>
    <t>Amendments to the Regulatory Notices adding the Core Business Sectors of the Foreign Exchange and Foreign Trade Act to Secure the Stable Supply of Critical Minerals</t>
  </si>
  <si>
    <t>Act on Review and Regulation of the use of Real Estate Surrounding Important Facilities and on Remote Territorial Islands</t>
  </si>
  <si>
    <t>Sex</t>
  </si>
  <si>
    <t>Regulation No. 606</t>
  </si>
  <si>
    <t>Law on Enterprises and Facilities of Strategic Importance to National Security</t>
  </si>
  <si>
    <t>Amendment to Law on the Protection of Objects of Importance to Ensuring National Security</t>
  </si>
  <si>
    <t>Law on the Protection of Objects of Importance to Ensuring National Security</t>
  </si>
  <si>
    <t>FDI Screening Law</t>
  </si>
  <si>
    <t xml:space="preserve">Foreign Investment Law </t>
  </si>
  <si>
    <t>1998</t>
  </si>
  <si>
    <t>Electricity Act</t>
  </si>
  <si>
    <t>2000</t>
  </si>
  <si>
    <t>Gas Act</t>
  </si>
  <si>
    <t>Act on Undesirable Control in the Telecommunication Sector</t>
  </si>
  <si>
    <t>Mining Act</t>
  </si>
  <si>
    <t>Implementation Act on Foreign Direct Investment</t>
  </si>
  <si>
    <t>Investment Screening Office</t>
  </si>
  <si>
    <t>Decree on the Scope of Sensitive Technologies</t>
  </si>
  <si>
    <t>10% / 20% / 25%</t>
  </si>
  <si>
    <t>1964</t>
  </si>
  <si>
    <t xml:space="preserve">Overseas Take-overs Regulations </t>
  </si>
  <si>
    <t>2006</t>
  </si>
  <si>
    <t>Overseas Investment Regulations Amendment</t>
  </si>
  <si>
    <t>Overseas Investment Act Amendment</t>
  </si>
  <si>
    <t>Overseas Investment Regulations of 20005, amended</t>
  </si>
  <si>
    <t>Overseas Investment Amendment Bill (Urgent Measures) 2020</t>
  </si>
  <si>
    <t>Overseas Investment Amendment Bill (No 3) 2021</t>
  </si>
  <si>
    <t>Overseas Investment (Forestry) Amendment Act 2022</t>
  </si>
  <si>
    <t>2018 National Security Act</t>
  </si>
  <si>
    <t>1920</t>
  </si>
  <si>
    <t>Minister of Internal Affairs</t>
  </si>
  <si>
    <t>1992 Broadcasting Act</t>
  </si>
  <si>
    <t>National Broadcasting Council</t>
  </si>
  <si>
    <t>2002</t>
  </si>
  <si>
    <t>Aviation Law of 3 July 2002</t>
  </si>
  <si>
    <t>Act on control of certain investments of 24 July 2015</t>
  </si>
  <si>
    <t>Decree 020 poz 1086</t>
  </si>
  <si>
    <t>Act Amending the Law on Goods and Services Tax and Certain Other Laws</t>
  </si>
  <si>
    <t xml:space="preserve">Portugal </t>
  </si>
  <si>
    <t>Decree-Law no. 138/2014</t>
  </si>
  <si>
    <t>Foreign Investment Promotion Act, Defence Acquisition Programme Act</t>
  </si>
  <si>
    <t>amendment to Foreign Investment Promotion Act</t>
  </si>
  <si>
    <t>Special Measures for Strengthening and Protecting Competitiveness of National High-Tech Strategic Industries</t>
  </si>
  <si>
    <t>Amendment to Critical Infrastructure Act</t>
  </si>
  <si>
    <t>Act No. 497/2022 Coll. on Screening of Foreign Direct Investments</t>
  </si>
  <si>
    <t>Act Determining the Intervention Measures to Mitigate and Remedy the Consequences of the COVID-19 Epidemic (the ‘Act’) on 29 May 2020</t>
  </si>
  <si>
    <t>Slovenia’s Investment Promotion Act</t>
  </si>
  <si>
    <t>1978</t>
  </si>
  <si>
    <t xml:space="preserve">Real Decreto 698/1975-1978 </t>
  </si>
  <si>
    <t>No information besides sectoral coverage for real estate</t>
  </si>
  <si>
    <t>1986</t>
  </si>
  <si>
    <t xml:space="preserve">Real Decreto Legislativo 1303/1986 </t>
  </si>
  <si>
    <t>No information besides sectoral coverage for mining</t>
  </si>
  <si>
    <t>Real Decreto 137/1993</t>
  </si>
  <si>
    <t>No information besides sectoral coverage for defense</t>
  </si>
  <si>
    <t>1999</t>
  </si>
  <si>
    <t>Real Decreto 664--Sobre inversiones exteriores</t>
  </si>
  <si>
    <t>Ley 15/2007--de Defensa de la competencia of 4 July 2007</t>
  </si>
  <si>
    <t xml:space="preserve">mandatory </t>
  </si>
  <si>
    <t>Ministry of Economic Affairs and Digital Transformation</t>
  </si>
  <si>
    <t>Law of 5 June 2013</t>
  </si>
  <si>
    <t>Regulation (EU) 2019/452</t>
  </si>
  <si>
    <t>Real Decreto-Ley 8/2020 (updates 1999)</t>
  </si>
  <si>
    <t>34/2020</t>
  </si>
  <si>
    <t>Royal Decree-Law No.20/2022</t>
  </si>
  <si>
    <t xml:space="preserve">3 months </t>
  </si>
  <si>
    <t>10% or 5M EUR</t>
  </si>
  <si>
    <t>FDI Act</t>
  </si>
  <si>
    <t>Kanun N°2565</t>
  </si>
  <si>
    <t>Enterprise Act 2002</t>
  </si>
  <si>
    <t>Enterprise Act 2002 Amendment</t>
  </si>
  <si>
    <t>National Security and Investment Law</t>
  </si>
  <si>
    <t>FINSA</t>
  </si>
  <si>
    <t>FIRRMA</t>
  </si>
  <si>
    <t>Exec. Order No. 13,913, 85 Fed. Reg. 19643 (Apr. 8, 2020).</t>
  </si>
  <si>
    <t>Executive Order 14083 “Ensuring Robust Consideration of Evolving National Security Risks by the Committee on Foreign Investment in the United States”</t>
  </si>
  <si>
    <t>CFIUS Enforcement and Penalty Guidelines</t>
  </si>
  <si>
    <t>New Law</t>
  </si>
  <si>
    <t>New Amendment</t>
  </si>
  <si>
    <t>New EO</t>
  </si>
  <si>
    <t xml:space="preserve">Implementation year </t>
  </si>
  <si>
    <t>Superceded</t>
  </si>
  <si>
    <t>short explanation</t>
  </si>
  <si>
    <t>Name/notes</t>
  </si>
  <si>
    <t>establishes national security related screening</t>
  </si>
  <si>
    <t xml:space="preserve">Foreign Acquisitions and Takeovers Act 1975 </t>
  </si>
  <si>
    <t>lowered threshold for review</t>
  </si>
  <si>
    <t>lowered thresholds</t>
  </si>
  <si>
    <t>required filing fees</t>
  </si>
  <si>
    <t>fee streamlining</t>
  </si>
  <si>
    <t>Foreign Acquisitions and Takeovers Fees Imposition Amendment (Fee Streamlining and Other Measures) Act 2017</t>
  </si>
  <si>
    <t>vacancy fees</t>
  </si>
  <si>
    <t xml:space="preserve">Foreign Acquisitions and Takeovers Fees Imposition Amendment (Vacancy Fees) Act 2017 </t>
  </si>
  <si>
    <t>established sectoral mechanism for telecom</t>
  </si>
  <si>
    <t>established sectoral mechanism for critical infrastructure</t>
  </si>
  <si>
    <t>near-new dwelling interests</t>
  </si>
  <si>
    <t xml:space="preserve">Foreign Acquisitions and Takeovers Fees Imposition Amendment (Near-new Dwelling Interests) Act 2019 </t>
  </si>
  <si>
    <t>Foreign Acquisitions and Takeovers Fees Imposition Amendment 2020</t>
  </si>
  <si>
    <t>lowered monetary thresholds to zero</t>
  </si>
  <si>
    <r>
      <rPr>
        <sz val="11"/>
        <color rgb="FF4472C4"/>
        <rFont val="Times New Roman"/>
        <family val="1"/>
      </rPr>
      <t xml:space="preserve">Foreign Acquisitions and Takeovers Amendment 2020; </t>
    </r>
    <r>
      <rPr>
        <u/>
        <sz val="11"/>
        <color rgb="FF1155CC"/>
        <rFont val="Times New Roman"/>
        <family val="1"/>
      </rPr>
      <t>https://firb.gov.au/sites/firb.gov.au/files/guidance-notes/GN_53_COVID_20200904.pdf</t>
    </r>
  </si>
  <si>
    <t>increases critical infrastructure to 11 sectors; call-in power; mandatory notification; any business over $2B = critical infrastructure asset</t>
  </si>
  <si>
    <t xml:space="preserve">increased timeline and added greenfield </t>
  </si>
  <si>
    <t>increases threshold for media sector</t>
  </si>
  <si>
    <t>Foreign Acquisitions and Takeovers Amendment Regulations 2022</t>
  </si>
  <si>
    <t>Requires annual reports for critical infrastructure assets and special reporting for cybersecurity incidents</t>
  </si>
  <si>
    <t>Security Legislation Amendment (Critical Infrastructure Protection) Act 2022 (SLACIP Act)</t>
  </si>
  <si>
    <t>doubles foreign investment application fees and penalties</t>
  </si>
  <si>
    <t>extends timelines</t>
  </si>
  <si>
    <t>establishes interagency review board, changes thresholds, and adds sectors; replaced 2011</t>
  </si>
  <si>
    <t xml:space="preserve"> Investment Control Act</t>
  </si>
  <si>
    <t>established investment screening mechanism</t>
  </si>
  <si>
    <t>establishes net benefit based review</t>
  </si>
  <si>
    <t>Investment Canada Act</t>
  </si>
  <si>
    <t xml:space="preserve">adds finance and media sectors and enhanced review of foreign govt control </t>
  </si>
  <si>
    <t>adds telecom sector</t>
  </si>
  <si>
    <t>adds transportation sector</t>
  </si>
  <si>
    <t xml:space="preserve">Canada </t>
  </si>
  <si>
    <t>Investment Canada Act Ammendments</t>
  </si>
  <si>
    <t>enhanced review of foreign government control</t>
  </si>
  <si>
    <t>Extends timelines</t>
  </si>
  <si>
    <t>Decreases timelines</t>
  </si>
  <si>
    <t>provides an option for non-Canadian investors to obtain pre-implementation regulatory certainty</t>
  </si>
  <si>
    <t>prohibits the purchase of residential property by foreigners for a period of 2 years</t>
  </si>
  <si>
    <t>Foreign Direct Investments Screening Act; No 34/2021</t>
  </si>
  <si>
    <t>defense production restricted to Danish nationals</t>
  </si>
  <si>
    <t>authorizes foreign participation. threshold note: 20% foreigners on board or 40% foreign ownership</t>
  </si>
  <si>
    <t>Law No.400 of 13 June 1990</t>
  </si>
  <si>
    <t>consolidated the previous law</t>
  </si>
  <si>
    <t xml:space="preserve">Act on war Material </t>
  </si>
  <si>
    <t>mandatory notification for certain sectors, lowered thresholds, expanded call-in power for investors outside EU/EFTA; threshold note: 10% for critical sectors, 25% for others; greenfield 1 if investment is in sensitive sector, if investment is where Danish business is subsidiary, or if investment &gt; 10M EUR after 3 years</t>
  </si>
  <si>
    <t>Danish Investment Screening Act (Act no. 842 of 10 May 2021)</t>
  </si>
  <si>
    <t>time frame change</t>
  </si>
  <si>
    <t>establishes review mechanism</t>
  </si>
  <si>
    <t>real estate restrictions</t>
  </si>
  <si>
    <t>production of defense equipment restrictions</t>
  </si>
  <si>
    <t>established cross sectoral mechanism</t>
  </si>
  <si>
    <t>Act on the Follow-up of Foreign Acquisitions</t>
  </si>
  <si>
    <t xml:space="preserve">Finland </t>
  </si>
  <si>
    <t>replaced cross sectoral mechanism</t>
  </si>
  <si>
    <t>sectoral, real estate</t>
  </si>
  <si>
    <t>changed penalty practices</t>
  </si>
  <si>
    <t>add sectors</t>
  </si>
  <si>
    <t>introduces fines, removes gambling as concern</t>
  </si>
  <si>
    <t xml:space="preserve">2012 Decree </t>
  </si>
  <si>
    <t>adds biotech, decreases threshold to 25%</t>
  </si>
  <si>
    <t>temporarily reduces threshold to 10%</t>
  </si>
  <si>
    <t>extends emergency 10% threshold to Dec 2022; adds renewable energy as critical infrastructure sector; 25%; 10% for listed companies</t>
  </si>
  <si>
    <t>guidelines enhancing transparency of FDI screening regime</t>
  </si>
  <si>
    <t>extended temporary measure lowering FDI screening threshold</t>
  </si>
  <si>
    <t>extends list of sensitive sectors, clarifies subsidaries, lowers voting threshold</t>
  </si>
  <si>
    <t>clarifies 10% threshold, simplifies intra-group restructurings, and provides an online platform</t>
  </si>
  <si>
    <t>Order Dated 28 December 2023 amending Article r151-3 of the French Monetary and Financial Code</t>
  </si>
  <si>
    <t>Sectoral for defense production</t>
  </si>
  <si>
    <t>sectoral review for space</t>
  </si>
  <si>
    <t>established cross sectoral</t>
  </si>
  <si>
    <t xml:space="preserve"> </t>
  </si>
  <si>
    <t>added prior approval, review of increased ownership, more sectors</t>
  </si>
  <si>
    <t>Foreign Trade and Payments Ordinance</t>
  </si>
  <si>
    <t>added sectors, changed thresholds</t>
  </si>
  <si>
    <t>AWV amendments</t>
  </si>
  <si>
    <t>review of border land real estate</t>
  </si>
  <si>
    <t>Law 1892/1990</t>
  </si>
  <si>
    <t>specifies real estate of concern; establishes local representation</t>
  </si>
  <si>
    <t>Law 3978/2011</t>
  </si>
  <si>
    <t>establishes lead authority</t>
  </si>
  <si>
    <t>Law on the Organisation and Operation of the Ministry of Foreign Affairs, No. 4781/2021</t>
  </si>
  <si>
    <t xml:space="preserve">Hungary </t>
  </si>
  <si>
    <t>Government Decree 246/2018 (XII. 17.) on the Implementation of Act LVII of 2018 on Controlling Foreign Investments Violating Hungary’s Security Interests</t>
  </si>
  <si>
    <t>temporary COVID regs</t>
  </si>
  <si>
    <t>The Decree</t>
  </si>
  <si>
    <t>changes lead authority</t>
  </si>
  <si>
    <t>pre-emption provision for solar power projects; does not affect coding</t>
  </si>
  <si>
    <t>Government Decree No. 566/2023 (XII. 14)</t>
  </si>
  <si>
    <t>establishes foreign investment screening regime</t>
  </si>
  <si>
    <r>
      <rPr>
        <u/>
        <sz val="11"/>
        <color rgb="FF0563C1"/>
        <rFont val="Times New Roman"/>
        <family val="1"/>
      </rPr>
      <t xml:space="preserve">Creation of the Advisory Committee on Foreing Investment through a ministerial order: </t>
    </r>
    <r>
      <rPr>
        <u/>
        <sz val="11"/>
        <color rgb="FF1155CC"/>
        <rFont val="Times New Roman"/>
        <family val="1"/>
      </rPr>
      <t>https://www.gov.il/he/departments/news/spoke_national_security301019</t>
    </r>
  </si>
  <si>
    <t>lowered thresholds of foreign ownership for review</t>
  </si>
  <si>
    <t>Decree Law 21/2012</t>
  </si>
  <si>
    <t>establishes coverage and procedures for defense and national security sector</t>
  </si>
  <si>
    <t>Presidential Decree 35/2014 (February)</t>
  </si>
  <si>
    <t>defines critical infrastructure assets of importance (energy, transport, communications)</t>
  </si>
  <si>
    <t>Presidential Decree 85/2014 (March)</t>
  </si>
  <si>
    <t>defines activties of strategic imporance for national defense and security</t>
  </si>
  <si>
    <t>Ministerial Decree 108/2014 (June)</t>
  </si>
  <si>
    <t>establishes organizatioanl and procedural aspects of inter-ministerial coordination committee</t>
  </si>
  <si>
    <t>Ministerial Decree of 6 August 2014</t>
  </si>
  <si>
    <t xml:space="preserve">establishes process for notifiaction </t>
  </si>
  <si>
    <t>Decree of the Secretary Generalof 18 February 2015</t>
  </si>
  <si>
    <t xml:space="preserve">Italy </t>
  </si>
  <si>
    <t>added advanced technology (data processes, financial infrastructure, AI, robotics, semiconductors, dual-use, and space/nuclar tech) and increased fines for failure to notify</t>
  </si>
  <si>
    <t>law of 4 December 2017</t>
  </si>
  <si>
    <t>added components and contracts related to 5g to scope</t>
  </si>
  <si>
    <t>extends timelines and broadens prohibition authority</t>
  </si>
  <si>
    <t>Decree Law No. 64/2019 (not converted to law within 6 months, so lapsed Sept 10, 2019)</t>
  </si>
  <si>
    <t>Law of 20 May 2019, Decree Law No 64 July, Decree Law 21 September 2019</t>
  </si>
  <si>
    <t xml:space="preserve">add sectors (financial, credit, insurance, and sectors in EU FDI screening reg); temporarily reduces thresholds </t>
  </si>
  <si>
    <t>Liquidity Decree Law Decree No. 23 of 8 April 2020</t>
  </si>
  <si>
    <t>listed assets in certain sectors; extended temporary COVID measures to June 30, 2021</t>
  </si>
  <si>
    <t>Law of 18 December 2020, no. 176</t>
  </si>
  <si>
    <t>extends emergency measures</t>
  </si>
  <si>
    <t>expanded investment screening mechanism to cover concessions for the "cultivation of geothermal resources"</t>
  </si>
  <si>
    <t>introduced pre-filing procedure for transactions in strategic sectors</t>
  </si>
  <si>
    <t>outward investment</t>
  </si>
  <si>
    <t>Foreign Investment Law of 1950 (Law No 163)</t>
  </si>
  <si>
    <t>Foreign Exchange and Foreign Trade Act</t>
  </si>
  <si>
    <t>Cabinet Order 261 of 1980, Order on Inward Direct Investment</t>
  </si>
  <si>
    <t>Amendments to Cabinet Order 261 of 1980, Order on Inward Direct Investment</t>
  </si>
  <si>
    <t>added/deleted ministries for inter-agency review</t>
  </si>
  <si>
    <t>Foreign Exchange and Foreign Trade Act Amendment of Act No. 38 of 2017</t>
  </si>
  <si>
    <t>real estate, new sectors</t>
  </si>
  <si>
    <t>required pre-notification for the sale or purchase of real estate in select areas</t>
  </si>
  <si>
    <t>requires permits for business</t>
  </si>
  <si>
    <t>restrictions on defense</t>
  </si>
  <si>
    <t>Investment Law</t>
  </si>
  <si>
    <t>specific assets</t>
  </si>
  <si>
    <t>Amendment to Investment Law</t>
  </si>
  <si>
    <t>Review mechanism</t>
  </si>
  <si>
    <t>adds sectors, lowers threshold, decreases timeframe</t>
  </si>
  <si>
    <t xml:space="preserve">Resolution concerning the establishment of a list of economic activities regarded as part of economic sectors of strategic importance to ensuring national security
</t>
  </si>
  <si>
    <t>established ISM</t>
  </si>
  <si>
    <t>FDI Screening law</t>
  </si>
  <si>
    <t>Foreign Investment Law amendment</t>
  </si>
  <si>
    <t xml:space="preserve">Mexico </t>
  </si>
  <si>
    <t xml:space="preserve">Meixco </t>
  </si>
  <si>
    <t>Electricity Act 1998 (article 86f)</t>
  </si>
  <si>
    <t>Amendment to Gas Act, Amendment to Electricity Act 1998 (article 86f)</t>
  </si>
  <si>
    <t>Amendment to Electricity Act 1998 (article 86f)</t>
  </si>
  <si>
    <t>sectoral coverage for telecom</t>
  </si>
  <si>
    <t>Mining Act, Act on Undesirable Control in the Telecommunication Sector, Amendment to Gas Act, Amendment to Electricity Act 1998 (article 86f), Implementation Act on Foreign Direct Investment</t>
  </si>
  <si>
    <t>sectoral mechanism</t>
  </si>
  <si>
    <t>ISA</t>
  </si>
  <si>
    <t>Overseas Take-over Regulations 1964</t>
  </si>
  <si>
    <t>Overseas Investment Act 1973, Overseas Investment Regulations 1973</t>
  </si>
  <si>
    <t>Overseas Investment Regulations 1995</t>
  </si>
  <si>
    <t>Overseas Investment Act 2005, Overseas Investment Regulations 2005</t>
  </si>
  <si>
    <t>clarified net benefits test specifics</t>
  </si>
  <si>
    <t>Overseas Investment Act Amendment (https://www.treasury.govt.nz/sites/default/files/2010-12/oi-cp-roiarrb.pdf)</t>
  </si>
  <si>
    <t>enhanced review of foreign govt control</t>
  </si>
  <si>
    <t>Overseas Investment Act Amendment (https://www.legislation.govt.nz/regulation/public/2013/0004/latest/DLM4219454.html)</t>
  </si>
  <si>
    <t>requirement to have a director or general partner who lives in New Zealand; new media and entertainment rules</t>
  </si>
  <si>
    <t>Overseas Investment Act Amendment, New Zealand Screen Production Grant Amendments</t>
  </si>
  <si>
    <t>includes residential land into sensitive land category</t>
  </si>
  <si>
    <t>Overseas Investment Act Amendment (https://www.treasury.govt.nz/publications/information-release/residential-land-changes-overseas-investment-amendment-bill#:~:text=On%2014%20December%202017%20the%20Government%20introduced%20a,%22sensitive%20land%22%20for%20the%20purposes%20of%20the%20Act.)</t>
  </si>
  <si>
    <t>review of increased ownership, special fines and residency rules for real estate transactions</t>
  </si>
  <si>
    <t>Overseas Investment Act Amendment (https://www.baylawoffice.co.nz/legal-resources-overseas-investment-amendment-act-2018.html)</t>
  </si>
  <si>
    <t>COVID-19 related ammendments, Overseas Investment Amendments</t>
  </si>
  <si>
    <t>Overseas Investment Amendment</t>
  </si>
  <si>
    <t>more stringent test for foreign investors gaining access to forestry land</t>
  </si>
  <si>
    <t>established screening mechanism</t>
  </si>
  <si>
    <r>
      <rPr>
        <u/>
        <sz val="11"/>
        <color rgb="FF000000"/>
        <rFont val="Times New Roman"/>
        <family val="1"/>
      </rPr>
      <t xml:space="preserve">Poland's law on related to acquisiton by foreigners of real estate under </t>
    </r>
    <r>
      <rPr>
        <u/>
        <sz val="11"/>
        <color rgb="FF1155CC"/>
        <rFont val="Times New Roman"/>
        <family val="1"/>
      </rPr>
      <t>Act on the Acquistition of real estate by foreigners of 24 March 1920</t>
    </r>
  </si>
  <si>
    <t>added space sector</t>
  </si>
  <si>
    <t>expanded number of sectors</t>
  </si>
  <si>
    <r>
      <rPr>
        <u/>
        <sz val="11"/>
        <color rgb="FF1155CC"/>
        <rFont val="Times New Roman"/>
        <family val="1"/>
      </rPr>
      <t>Act on control of certain investments of 24 July 2015</t>
    </r>
    <r>
      <rPr>
        <sz val="11"/>
        <color rgb="FF000000"/>
        <rFont val="Times New Roman"/>
        <family val="1"/>
      </rPr>
      <t>; amended multiple times, but don't yet have list of amendments</t>
    </r>
  </si>
  <si>
    <t>Amendment of the Act on control of certain investments of 24 July 2015</t>
  </si>
  <si>
    <t>modified time frame and thresholds; expanded number of sectors</t>
  </si>
  <si>
    <r>
      <rPr>
        <u/>
        <sz val="11"/>
        <color rgb="FF1155CC"/>
        <rFont val="Times New Roman"/>
        <family val="1"/>
      </rPr>
      <t>Decree 020 poz 1086</t>
    </r>
    <r>
      <rPr>
        <sz val="11"/>
        <color rgb="FF000000"/>
        <rFont val="Times New Roman"/>
        <family val="1"/>
      </rPr>
      <t>; A foreign acquisition from non-EEA countries requires prior clearance from the President of the Polish Competition Authority, if it targets a company generating turnover exceeding EUR 10 million that either: 1) is a publicly listed company, 2) controls assets classified as critical infrastructure, 3) develops or maintains software crucial for vital processes (e.g. utilities systems, financial transactions, food distribution, transport and logistics, health care systems); 4) conducts business in one of 21 specific industries, including energy, gas and oil production, storage, distribution and transportation; manufacture of chemicals, pharmaceuticals and medical instruments, telecommunication and food processing. This measure will be in force for a period of 2 years.</t>
    </r>
  </si>
  <si>
    <t>extended covid foreign direct investment regime for three years</t>
  </si>
  <si>
    <t>established sectoral mechanism</t>
  </si>
  <si>
    <t>amendment to the Critical Infrastructure Act</t>
  </si>
  <si>
    <t>established full FDI regime</t>
  </si>
  <si>
    <t>replaced temporary ISM and established permament cross sectoral ISM</t>
  </si>
  <si>
    <t>Investment Promotion Act (ZSInv)</t>
  </si>
  <si>
    <t>added real estate sector</t>
  </si>
  <si>
    <t>added mining sector</t>
  </si>
  <si>
    <t>added defense sector</t>
  </si>
  <si>
    <t xml:space="preserve">Real Decreto 137/1993 </t>
  </si>
  <si>
    <t>2003</t>
  </si>
  <si>
    <t>19/2003</t>
  </si>
  <si>
    <t>updated cross sectoral</t>
  </si>
  <si>
    <t>added energy sector</t>
  </si>
  <si>
    <t xml:space="preserve">Law of 5 June 2013 </t>
  </si>
  <si>
    <t>Amendments to Law 19/2003</t>
  </si>
  <si>
    <t>expanded investment screening mechanism to include the acquisition of assets and extended the suspension of the liberalization regime for two years</t>
  </si>
  <si>
    <t>South Korea</t>
  </si>
  <si>
    <t>Foreign Capital Inducement Act Law N°1802 of 3 August 1966</t>
  </si>
  <si>
    <t>Law N°3691 of 1983</t>
  </si>
  <si>
    <t>Foreign Investment Promotion Act</t>
  </si>
  <si>
    <t>Defence Aquisition Programme Act (prior government approval in defence)</t>
  </si>
  <si>
    <t>amendment to Foreign Investment Promotion Act to make more procedurally clear</t>
  </si>
  <si>
    <t>new lead authority</t>
  </si>
  <si>
    <t>added sector</t>
  </si>
  <si>
    <t>Act on the Prevention of Divulgence and Protection of Industrial Technology</t>
  </si>
  <si>
    <t>Act on the Prevention of Divulgence and Proteciton of Industrial Technology</t>
  </si>
  <si>
    <t>Amendment of the Act on the Prevention of Divulgence of and Protection of Industrial Technology</t>
  </si>
  <si>
    <r>
      <rPr>
        <sz val="11"/>
        <color theme="1"/>
        <rFont val="Times New Roman"/>
        <family val="1"/>
      </rPr>
      <t xml:space="preserve">Implementation of the 2019 Amendment; </t>
    </r>
    <r>
      <rPr>
        <u/>
        <sz val="11"/>
        <color rgb="FF1155CC"/>
        <rFont val="Times New Roman"/>
        <family val="1"/>
      </rPr>
      <t>Enforcement Decree of the Foreign Investment Promotion Act</t>
    </r>
  </si>
  <si>
    <t>regulate technologies of national strategic importance</t>
  </si>
  <si>
    <t>Special Measures Act on Strengthening and Protecting Competitiveness of National High-Tech Strategic Industry</t>
  </si>
  <si>
    <t>reintroduces ISM</t>
  </si>
  <si>
    <t>Kanun No 2565</t>
  </si>
  <si>
    <t>clarified sectoral regime</t>
  </si>
  <si>
    <t>added sectors and changed thresholds</t>
  </si>
  <si>
    <t xml:space="preserve">added sectors </t>
  </si>
  <si>
    <t>established cross sectoral regime and added sectors</t>
  </si>
  <si>
    <t>National Security and Investment Act</t>
  </si>
  <si>
    <t>USA</t>
  </si>
  <si>
    <t>established CFIUS</t>
  </si>
  <si>
    <t>President Gerald Ford's Executive Order 11858 in 1975</t>
  </si>
  <si>
    <t>gave President powers to investigate, suspend, or prohibit acquisitions on national security grounds</t>
  </si>
  <si>
    <t>Exon-Florio amendment to DPA</t>
  </si>
  <si>
    <t>“Byrd amendment” to DPA</t>
  </si>
  <si>
    <t>changed CFIUS member make up and added critifcal infrastructure concerns; gave Congress more oversight powers</t>
  </si>
  <si>
    <t xml:space="preserve">added notification regime, longer timeline, increased ownership review, and filing fees; lowered 10% threshold to include transactions regarding material nonpublic technical information
</t>
  </si>
  <si>
    <t>FIRRMA (Pilot program 2018, Full implementation 2020)</t>
  </si>
  <si>
    <t>added telecom sectoral coverage</t>
  </si>
  <si>
    <t>strengthens investment screening mechanism</t>
  </si>
  <si>
    <t>guidelines on how CFIUS will assess violations of the laws and regulations</t>
  </si>
  <si>
    <t>New Regulatory Implementation</t>
  </si>
  <si>
    <t>total_new_mech</t>
  </si>
  <si>
    <t>Energy Infrastructure</t>
  </si>
  <si>
    <t>Healthcare Infrastructure</t>
  </si>
  <si>
    <t>Education and Training</t>
  </si>
  <si>
    <t>Agriculture/Food Security</t>
  </si>
  <si>
    <t>Controlled Dual-Use</t>
  </si>
  <si>
    <t>Microprocessor Technology</t>
  </si>
  <si>
    <t>Advanced Computing Technology</t>
  </si>
  <si>
    <t>Energy Storage</t>
  </si>
  <si>
    <t>Civil Nuclear</t>
  </si>
  <si>
    <t>Gambling</t>
  </si>
  <si>
    <t>Mineral Resources</t>
  </si>
  <si>
    <t>Defense</t>
  </si>
  <si>
    <t>Physical/Conventional Critical Infrastructure</t>
  </si>
  <si>
    <t>Next Gen Critical Infrastructure</t>
  </si>
  <si>
    <t xml:space="preserve">Critical Technologies and Dual Use </t>
  </si>
  <si>
    <t xml:space="preserve">Non-tradeable Services </t>
  </si>
  <si>
    <t>Access to Personal Sensitive Data</t>
  </si>
  <si>
    <t> Ministry of the Economy and Finance (MULTICOM 4)</t>
  </si>
  <si>
    <t>No</t>
    <phoneticPr fontId="9" type="noConversion"/>
  </si>
  <si>
    <t>Regulation</t>
    <phoneticPr fontId="9" type="noConversion"/>
  </si>
  <si>
    <t xml:space="preserve">Country </t>
    <phoneticPr fontId="9" type="noConversion"/>
  </si>
  <si>
    <r>
      <rPr>
        <sz val="10"/>
        <color theme="1"/>
        <rFont val="Times New Roman"/>
        <family val="1"/>
      </rPr>
      <t xml:space="preserve">Poland's law on related to acquisition by foreigners of real estate under </t>
    </r>
    <r>
      <rPr>
        <u/>
        <sz val="10"/>
        <color theme="1"/>
        <rFont val="Times New Roman"/>
        <family val="1"/>
      </rPr>
      <t>Act on the Acquistition of real estate by foreigners of 24 March 1920</t>
    </r>
    <phoneticPr fontId="9" type="noConversion"/>
  </si>
  <si>
    <t>File_Status</t>
  </si>
  <si>
    <t>Australia_Foreign Acquisitions and Takeovers Act 1975.pdf</t>
  </si>
  <si>
    <t>Australia_Foreign Acquisitions and Takeovers Amendment Act 2010.pdf</t>
  </si>
  <si>
    <t>Australia_Foreign Acquisitions and Takeovers Regulation 2015.pdf</t>
  </si>
  <si>
    <t>Australia_Foreign Acquisitions and Takeovers Fees Imposition Act 2015.pdf</t>
  </si>
  <si>
    <t>Australia_Telecommunications and Other Legislation Amendment Act.pdf</t>
  </si>
  <si>
    <t>Australia_Security of Critical Infrastructure Act.pdf</t>
  </si>
  <si>
    <t>Australia_Foreign Acquisitions and Takeovers Amendment (Threshold Test) Regulations 2020.pdf</t>
  </si>
  <si>
    <t>Australia_Foreign Investment Reform (Protecting Australia’s National Security) Act 2020.pdf</t>
  </si>
  <si>
    <t>Australia_Security Legislation Amendment (Critical Infrastructure) Act 2021.pdf</t>
  </si>
  <si>
    <t>Australia_Foreign Acquisitions and Takeovers Fees Imposition Amendment (Fee Doubling) Regulations 2022.pdf</t>
  </si>
  <si>
    <t>Austria_Foreign Trade Act 2011.pdf</t>
  </si>
  <si>
    <t>Belgium_Cooperation Agreement.pdf</t>
  </si>
  <si>
    <t>Canada_Foreign Investment Review Act.pdf</t>
  </si>
  <si>
    <t>Canada_Insurance Companies Act, Bank Act, Broadcasting Act.pdf</t>
  </si>
  <si>
    <t>Canada_Telecommunications Act.pdf</t>
  </si>
  <si>
    <t>Canada_Transportation Act.pdf</t>
  </si>
  <si>
    <t>Canada_Investment Canada Regulations.pdf</t>
  </si>
  <si>
    <t>Canada_National Security Review of Investments Regulations.pdf</t>
  </si>
  <si>
    <t>Canada_Time Limits and Other Periods Act (COVID-19) (Time Limits Act).pdf</t>
  </si>
  <si>
    <t>Canada_Investment Canada Act.pdf</t>
  </si>
  <si>
    <t>Canada_Prohibition on the Purchase of Residential Property by Non-Canadians Act.pdf</t>
  </si>
  <si>
    <t>Czech Republic_No. 34 2021 Foreign Direct Investments Screening Act.pdf</t>
  </si>
  <si>
    <t>Denmark_Act No. 139 of 7 May 1937 on Control of Manufacture of Military Equipment etc.pdf</t>
  </si>
  <si>
    <t>Denmark_Law No. 400 of 13 June 1990.pdf</t>
  </si>
  <si>
    <t>Denmark_Act on War Material.pdf</t>
  </si>
  <si>
    <t>Denmark_Danish Investment Screening Act (Act no. 842 of 10 May 2021).pdf</t>
  </si>
  <si>
    <t>Denmark_Danish Investment Screening Act (Act no. 843 of 10 july 2023).pdf</t>
  </si>
  <si>
    <t>Denmark_Restrictions on Acquisition of Immovables Act of 2012.pdf</t>
  </si>
  <si>
    <t>Estonia_Foreign Investment Reliability Assessment Act 639 SE.pdf</t>
  </si>
  <si>
    <t>not found - 战前法律(1939)无法查到</t>
  </si>
  <si>
    <t>not found - 战前法律(1942)无法查到</t>
  </si>
  <si>
    <t>Finland_Act on the Follow Up of Foreign Acquisitions.html</t>
  </si>
  <si>
    <t>Finland_Amendment to Act on the Screening of Foreign Corporate Acquisitions.html</t>
  </si>
  <si>
    <t>Finland_Act on transfers of real estate property requiring permission.html</t>
  </si>
  <si>
    <t>France_Decree No. 2005-1739.html</t>
  </si>
  <si>
    <t>France_Code monétaire et financier Amendment.html</t>
  </si>
  <si>
    <t>France_amendment to Code monétaire et financier (decret Montebourg)_No.43 Signed2014.html</t>
  </si>
  <si>
    <t>France_amendment to Code monétaire et financier (decret Montebourg)_No.44 Signed2018.html</t>
  </si>
  <si>
    <t>France_Decree n°2019-1590.html</t>
  </si>
  <si>
    <t>France_Text no. 22 of the French Official Journal no. 0105 dated 30 April 2020.html</t>
  </si>
  <si>
    <t>France_Order of September 10, 2021 relating to foreign investments in France.html</t>
  </si>
  <si>
    <t>France_Publication of the guidelines relating to the control of foreign investments in France.pdf</t>
  </si>
  <si>
    <t>France_Extension in 2023 of the measure temporarily lowering the threshold triggering the IEF control.html</t>
  </si>
  <si>
    <t>France_Decree No 2023-1293.html</t>
  </si>
  <si>
    <t>France_Order Dated 28 December 2023.html</t>
  </si>
  <si>
    <t>Germany_Amendment to Foreign Trade and Payments ActAWV_No.57 Signed2018.pdf</t>
  </si>
  <si>
    <t>Germany_Law on the protection against threats for the security of the Federal Republic of Germany.pdf</t>
  </si>
  <si>
    <t>Germany_Foreign Trade and Payments Act_No.54 Signed2009.pdf</t>
  </si>
  <si>
    <t>Germany_Amendment to Foreign Trade and Payments ActAWV_No.56 Signed2017.pdf</t>
  </si>
  <si>
    <t>Germany_AWV amendment_No.58 Signed2020.pdf</t>
  </si>
  <si>
    <t>Hungary_Act LVII of 2018 on Controlling Foreign Investments Violating Hungary’s Security Interests.pdf</t>
  </si>
  <si>
    <t>Hungary_Chapter 85 of Act LVIII of 2020.pdf</t>
  </si>
  <si>
    <t>Hungary_Government Decree No. 182 2022 (V. 24.).pdf</t>
  </si>
  <si>
    <t>Ireland_The Screening of Third Country Transactions Act 2023 (the STCT Act).html</t>
  </si>
  <si>
    <t>Israel_Creation and Implementation of the Advisory Committee on Foreign Investment.html</t>
  </si>
  <si>
    <t>Israel_Resolution B 41 by the Ministerial Committee on National Security Affairs (State Security Cabinet).html</t>
  </si>
  <si>
    <t>Italy_Decree Law 21.html</t>
  </si>
  <si>
    <t>Italy_Presidential Decree 35 2014_No.66 Signed2014 February.html</t>
  </si>
  <si>
    <t>Italy_Law of 4 December 2017.html</t>
  </si>
  <si>
    <t>Italy_Decree law No. 22 2019.html</t>
  </si>
  <si>
    <t>Italy_Decree-Law 8 April 2020, n. 23.html</t>
  </si>
  <si>
    <t>Italy_Law of 18 December 2020, n. 176.html</t>
  </si>
  <si>
    <t>Italy_Decree-Law 30 December 2021, n. 228.html</t>
  </si>
  <si>
    <t>Italy_Decree-Law No. 50 of May 17, 2022.html</t>
  </si>
  <si>
    <t>Italy_Decree No. 133.pdf</t>
  </si>
  <si>
    <t>Japan_Amendment to Order on Inward Direct Investment, Amendment to Cabinet Order 261 of 1980_2009.pdf</t>
  </si>
  <si>
    <t>Japan_Amendment to Order on Inward Direct Investment, Amendment to Cabinet Order 261 of 1980_1992.pdf</t>
  </si>
  <si>
    <t>Japan_COVID-19 related amendments.pdf</t>
  </si>
  <si>
    <t>Japan_Amendments to the Regulatory Notices adding the Core Business Sectors of the Foreign Exchange and Foreign Trade Act to Secure the Stable Supply of Critical Minerals.pdf</t>
  </si>
  <si>
    <t>Japan_Act on Review and Regulation of the use of Real Estate Surrounding Important Facilities.pdf</t>
  </si>
  <si>
    <t>Latvia_Regulation No. 606.pdf</t>
  </si>
  <si>
    <t>Lithuania_Law on Enterprises and Facilities of Strategic Importance to National Security.html</t>
  </si>
  <si>
    <t>Lithuania_Amendment to Law on the Protection of Objects of Importance to Ensuring National Security.html</t>
  </si>
  <si>
    <t>Luxembourg_FDI Screening Law.pdf</t>
  </si>
  <si>
    <t>Mexico_Foreign Investment Law.pdf</t>
  </si>
  <si>
    <t>Netherlands_Electricity Act.pdf</t>
  </si>
  <si>
    <t>Netherlands_Gas Act.pdf</t>
  </si>
  <si>
    <t>Netherlands_Act on Undesirable Control in the Telecommunication Sector.pdf</t>
  </si>
  <si>
    <t>Netherlands_Mining Act.pdf</t>
  </si>
  <si>
    <t>Netherlands_Implementation Act on Foreign Direct Investment.pdf</t>
  </si>
  <si>
    <t>Netherlands_Decree on the Scope of Sensitive Technologies.pdf</t>
  </si>
  <si>
    <t>New Zealand_Overseas Take-overs Regulations.pdf</t>
  </si>
  <si>
    <t>New Zealand_Overseas Investment Regulations Amendmen.pdf</t>
  </si>
  <si>
    <t>New Zealand_Overseas Investment Act Amendment.pdf</t>
  </si>
  <si>
    <t>New Zealand_Overseas Investment Regulations of 20005, amended.pdf</t>
  </si>
  <si>
    <t>New Zealand_Overseas Investment Amendment Bill (Urgent Measures) 2020.pdf</t>
  </si>
  <si>
    <t>New Zealand_Overseas Investment Amendment Bill (No 3) 2021.pdf</t>
  </si>
  <si>
    <t>New Zealand_Overseas Investment (Forestry) Amendment Act 2022.pdf</t>
  </si>
  <si>
    <t>Norway_2018 National Security Act.pdf</t>
  </si>
  <si>
    <t>Poland_Poland's law on related to acquisition by foreigners of real estate.pdf</t>
    <phoneticPr fontId="33" type="noConversion"/>
  </si>
  <si>
    <t>Poland_1992 Broadcasting Act.pdf</t>
  </si>
  <si>
    <t>Poland_Aviation Law of 3 July 2002.pdf</t>
  </si>
  <si>
    <t>Poland_Act on control of certain investments of 24 July 2015.pdf</t>
  </si>
  <si>
    <t>Poland_Decree 020 poz 1086.pdf</t>
  </si>
  <si>
    <t>Poland_Act Amending the Law on Goods and Services Tax and Certain Other Laws.pdf</t>
  </si>
  <si>
    <t>Portugal_Decree-Law no. 138 2014.pdf</t>
  </si>
  <si>
    <t>Republic of Korea_Foreign Investment Promotion Act.pdf</t>
  </si>
  <si>
    <t>Republic of Korea_Special Measures for Strengthening and Protecting Competitiveness of National High-Tech Strategic Industries.pdf</t>
  </si>
  <si>
    <t>Slovak Republic_Amendment to Critical Infrastructure Act.pdf</t>
  </si>
  <si>
    <t>Slovak Republic_Act No. 497 2022 Coll. on Screening of Foreign Direct Investments.pdf</t>
  </si>
  <si>
    <t>Slovenia_Act Determining the Intervention Measures to Mitigate and Remedy the Consequences of the COVID-19 Epidemic (the ‘Act’) on 29 May 2020.pdf</t>
  </si>
  <si>
    <t>Slovenia_(2023)Slovenia’s Investment Promotion Act.pdf</t>
  </si>
  <si>
    <t>Spain_Real Decreto 698 1978.pdf</t>
  </si>
  <si>
    <t>Spain_Real Decreto Legislativo 1303 1986 .pdf</t>
  </si>
  <si>
    <t>Spain_Real Decreto 137 1993.pdf</t>
  </si>
  <si>
    <t>Spain_Real Decreto 664--Sobre inversiones exteriores.pdf</t>
  </si>
  <si>
    <t>Spain_Ley 15 2007--de Defensa de la competencia of 4 July 2007.pdf</t>
  </si>
  <si>
    <t>Spain_Law of 5 June 2013.pdf</t>
  </si>
  <si>
    <t>EU(Spain)_Regulation (EU) 2019 452.pdf</t>
  </si>
  <si>
    <t>Spain_Real Decreto-Ley 8 2020 (updates 1999).pdf</t>
  </si>
  <si>
    <t>Spain_11 2020.pdf</t>
  </si>
  <si>
    <t>Spain_34 2020.pdf</t>
  </si>
  <si>
    <t>Spain_Royal Decree-Law No.20 2022.pdf</t>
  </si>
  <si>
    <t>Sweden_FDI Act.html</t>
  </si>
  <si>
    <t>Turkey_Kanun N°2565.html</t>
  </si>
  <si>
    <t>United Kingdom_Enterprise Act 2002.pdf</t>
  </si>
  <si>
    <t>Unied Kingdom_National Security and Investment Law.pdf</t>
  </si>
  <si>
    <t>United States_FINSA.pdf</t>
  </si>
  <si>
    <t>United States_FIRRMA.pdf</t>
  </si>
  <si>
    <t>United States_Exec. Order No. 13,913, 85 Fed. Reg. 19643 (Apr. 8, 2020)..pdf</t>
  </si>
  <si>
    <t>United States_Executive Order 14083 “Ensuring Robust Consideration of Evolving National Security Risks by the Committee on Foreign Investment in the United States”.pdf</t>
  </si>
  <si>
    <t>United States_CFIUS Enforcement and Penalty Guidelines.pdf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</si>
</sst>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yyyy"/>
  </numFmts>
  <fonts count="35" x14ac:knownFonts="1">
    <font>
      <sz val="12"/>
      <color theme="1"/>
      <name val="Calibri"/>
      <scheme val="minor"/>
    </font>
    <font>
      <sz val="12"/>
      <color theme="1"/>
      <name val="Calibri"/>
      <family val="2"/>
      <scheme val="minor"/>
    </font>
    <font>
      <sz val="10"/>
      <color theme="1"/>
      <name val="Times New Roman"/>
      <family val="1"/>
    </font>
    <font>
      <u/>
      <sz val="10"/>
      <color theme="1"/>
      <name val="Times New Roman"/>
      <family val="1"/>
    </font>
    <font>
      <sz val="10"/>
      <color rgb="FF000000"/>
      <name val="Times New Roman"/>
      <family val="1"/>
    </font>
    <font>
      <sz val="10"/>
      <color theme="1"/>
      <name val="Arial"/>
      <family val="2"/>
    </font>
    <font>
      <sz val="12"/>
      <color theme="1"/>
      <name val="Calibri"/>
      <family val="2"/>
    </font>
    <font>
      <sz val="10"/>
      <color theme="1"/>
      <name val="Georgia"/>
      <family val="1"/>
    </font>
    <font>
      <u/>
      <sz val="12"/>
      <color theme="10"/>
      <name val="Calibri"/>
      <family val="2"/>
      <scheme val="minor"/>
    </font>
    <font>
      <sz val="8"/>
      <name val="Calibri"/>
      <family val="2"/>
      <scheme val="minor"/>
    </font>
    <font>
      <b/>
      <u/>
      <sz val="12"/>
      <color rgb="FF000000"/>
      <name val="Arial"/>
      <family val="2"/>
    </font>
    <font>
      <sz val="10"/>
      <color rgb="FFFF0000"/>
      <name val="Times New Roman"/>
      <family val="1"/>
    </font>
    <font>
      <sz val="11"/>
      <color rgb="FF000000"/>
      <name val="Arial"/>
      <family val="2"/>
    </font>
    <font>
      <b/>
      <sz val="10"/>
      <color theme="1"/>
      <name val="Times New Roman"/>
      <family val="1"/>
    </font>
    <font>
      <u/>
      <sz val="10"/>
      <color rgb="FF1155CC"/>
      <name val="Times New Roman"/>
      <family val="1"/>
    </font>
    <font>
      <sz val="12"/>
      <color theme="1"/>
      <name val="Times New Roman"/>
      <family val="1"/>
    </font>
    <font>
      <sz val="11"/>
      <color rgb="FF000000"/>
      <name val="Times New Roman"/>
      <family val="1"/>
    </font>
    <font>
      <u/>
      <sz val="10"/>
      <color rgb="FF000000"/>
      <name val="Times New Roman"/>
      <family val="1"/>
    </font>
    <font>
      <b/>
      <sz val="10"/>
      <color rgb="FF000000"/>
      <name val="Times New Roman"/>
      <family val="1"/>
    </font>
    <font>
      <sz val="12"/>
      <color rgb="FF212529"/>
      <name val="Times New Roman"/>
      <family val="1"/>
    </font>
    <font>
      <sz val="11"/>
      <color theme="1"/>
      <name val="Times New Roman"/>
      <family val="1"/>
    </font>
    <font>
      <sz val="11"/>
      <color theme="4"/>
      <name val="Times New Roman"/>
      <family val="1"/>
    </font>
    <font>
      <u/>
      <sz val="11"/>
      <color rgb="FF000000"/>
      <name val="Times New Roman"/>
      <family val="1"/>
    </font>
    <font>
      <u/>
      <sz val="11"/>
      <color rgb="FF4472C4"/>
      <name val="Times New Roman"/>
      <family val="1"/>
    </font>
    <font>
      <sz val="11"/>
      <color rgb="FF4472C4"/>
      <name val="Times New Roman"/>
      <family val="1"/>
    </font>
    <font>
      <u/>
      <sz val="11"/>
      <color rgb="FF1155CC"/>
      <name val="Times New Roman"/>
      <family val="1"/>
    </font>
    <font>
      <u/>
      <sz val="12"/>
      <color theme="10"/>
      <name val="Times New Roman"/>
      <family val="1"/>
    </font>
    <font>
      <u/>
      <sz val="11"/>
      <color theme="10"/>
      <name val="Times New Roman"/>
      <family val="1"/>
    </font>
    <font>
      <u/>
      <sz val="11"/>
      <color rgb="FF0000FF"/>
      <name val="Times New Roman"/>
      <family val="1"/>
    </font>
    <font>
      <u/>
      <sz val="11"/>
      <color rgb="FF0563C1"/>
      <name val="Times New Roman"/>
      <family val="1"/>
    </font>
    <font>
      <sz val="12"/>
      <color rgb="FF000000"/>
      <name val="Times New Roman"/>
      <family val="1"/>
    </font>
    <font>
      <sz val="11"/>
      <color rgb="FF1E3351"/>
      <name val="Times New Roman"/>
      <family val="1"/>
    </font>
    <font>
      <u/>
      <sz val="11"/>
      <color theme="1"/>
      <name val="Times New Roman"/>
      <family val="1"/>
    </font>
    <font>
      <sz val="9"/>
      <name val="Calibri"/>
      <family val="3"/>
      <charset val="134"/>
      <scheme val="minor"/>
    </font>
    <font>
      <b/>
      <sz val="11"/>
      <color theme="1"/>
      <name val="Calibri"/>
      <family val="2"/>
      <scheme val="minor"/>
    </font>
  </fonts>
  <fills count="6">
    <fill>
      <patternFill patternType="none"/>
    </fill>
    <fill>
      <patternFill patternType="gray125"/>
    </fill>
    <fill>
      <patternFill patternType="solid">
        <fgColor rgb="FFA5A5A5"/>
        <bgColor rgb="FFA5A5A5"/>
      </patternFill>
    </fill>
    <fill>
      <patternFill patternType="solid">
        <fgColor rgb="FFFFFFFF"/>
        <bgColor rgb="FFFFFFFF"/>
      </patternFill>
    </fill>
    <fill>
      <patternFill patternType="solid">
        <fgColor rgb="FFFFFF00"/>
        <bgColor indexed="64"/>
      </patternFill>
    </fill>
    <fill>
      <patternFill patternType="solid">
        <fgColor rgb="FFFFFF00"/>
        <bgColor rgb="FF000000"/>
      </patternFill>
    </fill>
  </fills>
  <borders count="5">
    <border>
      <left/>
      <right/>
      <top/>
      <bottom/>
      <diagonal/>
    </border>
    <border>
      <left/>
      <right style="thin">
        <color rgb="FFC0C0C0"/>
      </right>
      <top style="thin">
        <color rgb="FFC0C0C0"/>
      </top>
      <bottom/>
      <diagonal/>
    </border>
    <border>
      <left/>
      <right/>
      <top/>
      <bottom style="thin">
        <color rgb="FF000000"/>
      </bottom>
      <diagonal/>
    </border>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111">
    <xf numFmtId="0" fontId="0" fillId="0" borderId="0" xfId="0"/>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left"/>
    </xf>
    <xf numFmtId="1" fontId="2" fillId="0" borderId="1" xfId="0" applyNumberFormat="1" applyFont="1" applyBorder="1" applyAlignment="1">
      <alignment horizontal="right" vertical="top" wrapText="1"/>
    </xf>
    <xf numFmtId="1" fontId="2" fillId="0" borderId="0" xfId="0" applyNumberFormat="1" applyFont="1" applyAlignment="1">
      <alignment horizontal="right" vertical="top" wrapText="1"/>
    </xf>
    <xf numFmtId="0" fontId="2" fillId="0" borderId="0" xfId="0" applyFont="1" applyAlignment="1">
      <alignment horizontal="right"/>
    </xf>
    <xf numFmtId="49" fontId="2" fillId="0" borderId="0" xfId="0" applyNumberFormat="1" applyFont="1" applyAlignment="1">
      <alignment horizontal="left"/>
    </xf>
    <xf numFmtId="0" fontId="2" fillId="0" borderId="0" xfId="0" applyFont="1"/>
    <xf numFmtId="9" fontId="2" fillId="0" borderId="0" xfId="0" applyNumberFormat="1" applyFont="1" applyAlignment="1">
      <alignment horizontal="right"/>
    </xf>
    <xf numFmtId="1" fontId="2" fillId="0" borderId="0" xfId="0" applyNumberFormat="1" applyFont="1" applyAlignment="1">
      <alignment horizontal="right"/>
    </xf>
    <xf numFmtId="0" fontId="3" fillId="0" borderId="0" xfId="0" applyFont="1"/>
    <xf numFmtId="10" fontId="2" fillId="0" borderId="0" xfId="0" applyNumberFormat="1" applyFont="1" applyAlignment="1">
      <alignment horizontal="right"/>
    </xf>
    <xf numFmtId="49" fontId="2" fillId="0" borderId="0" xfId="0" applyNumberFormat="1" applyFont="1"/>
    <xf numFmtId="49" fontId="2" fillId="0" borderId="0" xfId="0" applyNumberFormat="1" applyFont="1" applyAlignment="1">
      <alignment horizontal="right"/>
    </xf>
    <xf numFmtId="9" fontId="4" fillId="0" borderId="0" xfId="0" applyNumberFormat="1" applyFont="1" applyAlignment="1">
      <alignment horizontal="right"/>
    </xf>
    <xf numFmtId="0" fontId="4" fillId="0" borderId="0" xfId="0" applyFont="1"/>
    <xf numFmtId="0" fontId="5" fillId="0" borderId="0" xfId="0" applyFont="1" applyAlignment="1">
      <alignment horizontal="left"/>
    </xf>
    <xf numFmtId="0" fontId="6" fillId="0" borderId="0" xfId="0" applyFont="1"/>
    <xf numFmtId="0" fontId="7" fillId="0" borderId="0" xfId="0" applyFont="1"/>
    <xf numFmtId="0" fontId="7" fillId="4" borderId="0" xfId="0" applyFont="1" applyFill="1"/>
    <xf numFmtId="0" fontId="2" fillId="4" borderId="0" xfId="0" applyFont="1" applyFill="1" applyAlignment="1">
      <alignment horizontal="left"/>
    </xf>
    <xf numFmtId="49" fontId="2" fillId="4" borderId="0" xfId="0" applyNumberFormat="1" applyFont="1" applyFill="1" applyAlignment="1">
      <alignment horizontal="left"/>
    </xf>
    <xf numFmtId="0" fontId="2" fillId="4" borderId="0" xfId="0" applyFont="1" applyFill="1"/>
    <xf numFmtId="0" fontId="2" fillId="4" borderId="0" xfId="0" applyFont="1" applyFill="1" applyAlignment="1">
      <alignment horizontal="right"/>
    </xf>
    <xf numFmtId="9" fontId="2" fillId="4" borderId="0" xfId="0" applyNumberFormat="1" applyFont="1" applyFill="1" applyAlignment="1">
      <alignment horizontal="right"/>
    </xf>
    <xf numFmtId="49" fontId="2" fillId="4" borderId="0" xfId="0" applyNumberFormat="1" applyFont="1" applyFill="1" applyAlignment="1">
      <alignment horizontal="right"/>
    </xf>
    <xf numFmtId="0" fontId="10" fillId="0" borderId="0" xfId="0" applyFont="1"/>
    <xf numFmtId="0" fontId="1" fillId="0" borderId="0" xfId="0" applyFont="1"/>
    <xf numFmtId="0" fontId="1" fillId="0" borderId="0" xfId="0" applyFont="1" applyAlignment="1">
      <alignment wrapText="1"/>
    </xf>
    <xf numFmtId="1" fontId="2" fillId="4" borderId="0" xfId="0" applyNumberFormat="1" applyFont="1" applyFill="1" applyAlignment="1">
      <alignment horizontal="right"/>
    </xf>
    <xf numFmtId="1" fontId="2" fillId="4" borderId="0" xfId="0" applyNumberFormat="1" applyFont="1" applyFill="1" applyAlignment="1">
      <alignment horizontal="right" vertical="top" wrapText="1"/>
    </xf>
    <xf numFmtId="0" fontId="2" fillId="4" borderId="0" xfId="0" applyFont="1" applyFill="1" applyAlignment="1">
      <alignment horizontal="right" vertical="center"/>
    </xf>
    <xf numFmtId="0" fontId="0" fillId="4" borderId="0" xfId="0" applyFill="1"/>
    <xf numFmtId="1" fontId="2" fillId="4" borderId="1" xfId="0" applyNumberFormat="1" applyFont="1" applyFill="1" applyBorder="1" applyAlignment="1">
      <alignment horizontal="right" vertical="top" wrapText="1"/>
    </xf>
    <xf numFmtId="1" fontId="2" fillId="0" borderId="0" xfId="0" applyNumberFormat="1" applyFont="1" applyAlignment="1">
      <alignment horizontal="left" vertical="center"/>
    </xf>
    <xf numFmtId="0" fontId="2" fillId="0" borderId="0" xfId="0" applyFont="1" applyAlignment="1">
      <alignment horizontal="left" vertical="center"/>
    </xf>
    <xf numFmtId="0" fontId="12" fillId="0" borderId="0" xfId="0" applyFont="1"/>
    <xf numFmtId="0" fontId="4" fillId="5" borderId="0" xfId="0" applyFont="1" applyFill="1"/>
    <xf numFmtId="0" fontId="7" fillId="0" borderId="0" xfId="0" applyFont="1" applyAlignment="1">
      <alignment horizontal="right"/>
    </xf>
    <xf numFmtId="0" fontId="7" fillId="0" borderId="3" xfId="0" applyFont="1" applyBorder="1"/>
    <xf numFmtId="0" fontId="0" fillId="0" borderId="3" xfId="0" applyBorder="1"/>
    <xf numFmtId="0" fontId="4" fillId="0" borderId="3" xfId="0" applyFont="1" applyBorder="1" applyAlignment="1">
      <alignment horizontal="left"/>
    </xf>
    <xf numFmtId="1" fontId="4" fillId="0" borderId="3" xfId="0" applyNumberFormat="1" applyFont="1" applyBorder="1" applyAlignment="1">
      <alignment horizontal="right"/>
    </xf>
    <xf numFmtId="1" fontId="4" fillId="0" borderId="3" xfId="0" applyNumberFormat="1" applyFont="1" applyBorder="1" applyAlignment="1">
      <alignment horizontal="right" vertical="top" wrapText="1"/>
    </xf>
    <xf numFmtId="49" fontId="4" fillId="0" borderId="3" xfId="0" applyNumberFormat="1" applyFont="1" applyBorder="1" applyAlignment="1">
      <alignment horizontal="left"/>
    </xf>
    <xf numFmtId="0" fontId="4" fillId="0" borderId="3" xfId="0" applyFont="1" applyBorder="1"/>
    <xf numFmtId="0" fontId="4" fillId="0" borderId="3" xfId="0" applyFont="1" applyBorder="1" applyAlignment="1">
      <alignment horizontal="right"/>
    </xf>
    <xf numFmtId="0" fontId="4" fillId="0" borderId="3" xfId="0" applyFont="1" applyBorder="1" applyAlignment="1">
      <alignment horizontal="right" vertical="center"/>
    </xf>
    <xf numFmtId="0" fontId="4" fillId="4" borderId="0" xfId="0" applyFont="1" applyFill="1"/>
    <xf numFmtId="0" fontId="4" fillId="4" borderId="0" xfId="0" applyFont="1" applyFill="1" applyAlignment="1">
      <alignment wrapText="1"/>
    </xf>
    <xf numFmtId="9" fontId="4" fillId="4" borderId="0" xfId="0" applyNumberFormat="1" applyFont="1" applyFill="1"/>
    <xf numFmtId="0" fontId="4" fillId="0" borderId="0" xfId="0" applyFont="1" applyAlignment="1">
      <alignment wrapText="1"/>
    </xf>
    <xf numFmtId="0" fontId="4" fillId="5" borderId="0" xfId="0" applyFont="1" applyFill="1" applyAlignment="1">
      <alignment wrapText="1"/>
    </xf>
    <xf numFmtId="2" fontId="2" fillId="0" borderId="0" xfId="0" applyNumberFormat="1" applyFont="1" applyAlignment="1">
      <alignment horizontal="right"/>
    </xf>
    <xf numFmtId="2" fontId="2" fillId="4" borderId="0" xfId="0" applyNumberFormat="1" applyFont="1" applyFill="1" applyAlignment="1">
      <alignment horizontal="right"/>
    </xf>
    <xf numFmtId="2" fontId="4" fillId="0" borderId="3" xfId="0" applyNumberFormat="1" applyFont="1" applyBorder="1" applyAlignment="1">
      <alignment horizontal="right"/>
    </xf>
    <xf numFmtId="2" fontId="4" fillId="5" borderId="0" xfId="0" applyNumberFormat="1" applyFont="1" applyFill="1" applyAlignment="1">
      <alignment horizontal="right"/>
    </xf>
    <xf numFmtId="2" fontId="11" fillId="0" borderId="0" xfId="0" applyNumberFormat="1" applyFont="1" applyAlignment="1">
      <alignment horizontal="right"/>
    </xf>
    <xf numFmtId="1" fontId="4" fillId="0" borderId="0" xfId="0" applyNumberFormat="1" applyFont="1" applyAlignment="1">
      <alignment horizontal="right"/>
    </xf>
    <xf numFmtId="1" fontId="4" fillId="4" borderId="0" xfId="0" applyNumberFormat="1" applyFont="1" applyFill="1" applyAlignment="1">
      <alignment horizontal="right"/>
    </xf>
    <xf numFmtId="0" fontId="13" fillId="0" borderId="2" xfId="0" applyFont="1" applyBorder="1" applyAlignment="1">
      <alignment horizontal="left" vertical="center"/>
    </xf>
    <xf numFmtId="0" fontId="13" fillId="0" borderId="2" xfId="0" applyFont="1" applyBorder="1" applyAlignment="1">
      <alignment horizontal="center" vertical="center"/>
    </xf>
    <xf numFmtId="0" fontId="13" fillId="0" borderId="2" xfId="0" applyFont="1" applyBorder="1" applyAlignment="1">
      <alignment horizontal="right" vertical="center"/>
    </xf>
    <xf numFmtId="0" fontId="13" fillId="0" borderId="0" xfId="0" applyFont="1" applyAlignment="1">
      <alignment horizontal="left" vertical="center"/>
    </xf>
    <xf numFmtId="0" fontId="13" fillId="0" borderId="0" xfId="0" applyFont="1" applyAlignment="1">
      <alignment horizontal="left"/>
    </xf>
    <xf numFmtId="0" fontId="13" fillId="4" borderId="0" xfId="0" applyFont="1" applyFill="1" applyAlignment="1">
      <alignment horizontal="left"/>
    </xf>
    <xf numFmtId="0" fontId="15" fillId="0" borderId="0" xfId="0" applyFont="1" applyAlignment="1">
      <alignment horizontal="right"/>
    </xf>
    <xf numFmtId="0" fontId="15" fillId="0" borderId="0" xfId="0" applyFont="1"/>
    <xf numFmtId="0" fontId="16" fillId="0" borderId="0" xfId="0" applyFont="1"/>
    <xf numFmtId="0" fontId="16" fillId="4" borderId="0" xfId="0" applyFont="1" applyFill="1"/>
    <xf numFmtId="0" fontId="17" fillId="0" borderId="0" xfId="0" applyFont="1" applyAlignment="1">
      <alignment horizontal="left"/>
    </xf>
    <xf numFmtId="0" fontId="18" fillId="5" borderId="0" xfId="0" applyFont="1" applyFill="1"/>
    <xf numFmtId="0" fontId="19" fillId="4" borderId="0" xfId="0" applyFont="1" applyFill="1"/>
    <xf numFmtId="0" fontId="20" fillId="0" borderId="0" xfId="0" applyFont="1"/>
    <xf numFmtId="0" fontId="21" fillId="0" borderId="0" xfId="0" applyFont="1" applyAlignment="1">
      <alignment wrapText="1"/>
    </xf>
    <xf numFmtId="0" fontId="22" fillId="0" borderId="0" xfId="0" applyFont="1"/>
    <xf numFmtId="0" fontId="23" fillId="0" borderId="0" xfId="0" applyFont="1" applyAlignment="1">
      <alignment wrapText="1"/>
    </xf>
    <xf numFmtId="0" fontId="20" fillId="0" borderId="0" xfId="0" applyFont="1" applyAlignment="1">
      <alignment horizontal="left"/>
    </xf>
    <xf numFmtId="0" fontId="25" fillId="0" borderId="0" xfId="0" applyFont="1" applyAlignment="1">
      <alignment horizontal="left"/>
    </xf>
    <xf numFmtId="0" fontId="25" fillId="0" borderId="0" xfId="0" applyFont="1"/>
    <xf numFmtId="0" fontId="20" fillId="4" borderId="0" xfId="0" applyFont="1" applyFill="1"/>
    <xf numFmtId="0" fontId="15" fillId="4" borderId="0" xfId="0" applyFont="1" applyFill="1"/>
    <xf numFmtId="0" fontId="20" fillId="0" borderId="0" xfId="0" applyFont="1" applyAlignment="1">
      <alignment horizontal="right"/>
    </xf>
    <xf numFmtId="0" fontId="26" fillId="0" borderId="0" xfId="1" applyFont="1" applyFill="1"/>
    <xf numFmtId="0" fontId="27" fillId="4" borderId="0" xfId="1" applyFont="1" applyFill="1"/>
    <xf numFmtId="0" fontId="24" fillId="0" borderId="0" xfId="0" applyFont="1" applyAlignment="1">
      <alignment wrapText="1"/>
    </xf>
    <xf numFmtId="0" fontId="22" fillId="0" borderId="0" xfId="0" applyFont="1" applyAlignment="1">
      <alignment horizontal="left"/>
    </xf>
    <xf numFmtId="0" fontId="22" fillId="4" borderId="0" xfId="0" applyFont="1" applyFill="1" applyAlignment="1">
      <alignment horizontal="left"/>
    </xf>
    <xf numFmtId="0" fontId="20" fillId="4" borderId="0" xfId="0" applyFont="1" applyFill="1" applyAlignment="1">
      <alignment horizontal="left"/>
    </xf>
    <xf numFmtId="0" fontId="26" fillId="4" borderId="0" xfId="1" applyFont="1" applyFill="1"/>
    <xf numFmtId="0" fontId="28" fillId="0" borderId="0" xfId="0" applyFont="1"/>
    <xf numFmtId="0" fontId="15" fillId="2" borderId="3" xfId="0" applyFont="1" applyFill="1" applyBorder="1"/>
    <xf numFmtId="0" fontId="15" fillId="0" borderId="3" xfId="0" applyFont="1" applyBorder="1"/>
    <xf numFmtId="9" fontId="15" fillId="0" borderId="0" xfId="0" applyNumberFormat="1" applyFont="1"/>
    <xf numFmtId="0" fontId="30" fillId="4" borderId="0" xfId="0" applyFont="1" applyFill="1"/>
    <xf numFmtId="0" fontId="16" fillId="5" borderId="0" xfId="0" applyFont="1" applyFill="1"/>
    <xf numFmtId="0" fontId="30" fillId="5" borderId="0" xfId="0" applyFont="1" applyFill="1"/>
    <xf numFmtId="0" fontId="31" fillId="3" borderId="3" xfId="0" applyFont="1" applyFill="1" applyBorder="1"/>
    <xf numFmtId="0" fontId="32" fillId="0" borderId="0" xfId="0" applyFont="1"/>
    <xf numFmtId="0" fontId="16" fillId="3" borderId="3" xfId="0" applyFont="1" applyFill="1" applyBorder="1" applyAlignment="1">
      <alignment horizontal="left"/>
    </xf>
    <xf numFmtId="176" fontId="20" fillId="0" borderId="0" xfId="0" applyNumberFormat="1" applyFont="1" applyAlignment="1">
      <alignment horizontal="left"/>
    </xf>
    <xf numFmtId="0" fontId="20" fillId="0" borderId="3" xfId="0" applyFont="1" applyBorder="1"/>
    <xf numFmtId="9" fontId="4" fillId="5" borderId="0" xfId="0" applyNumberFormat="1" applyFont="1" applyFill="1"/>
    <xf numFmtId="0" fontId="3" fillId="0" borderId="0" xfId="0" applyFont="1" applyAlignment="1">
      <alignment horizontal="left"/>
    </xf>
    <xf numFmtId="0" fontId="3" fillId="4" borderId="0" xfId="0" applyFont="1" applyFill="1" applyAlignment="1">
      <alignment horizontal="left"/>
    </xf>
    <xf numFmtId="9" fontId="2" fillId="0" borderId="0" xfId="0" applyNumberFormat="1" applyFont="1" applyAlignment="1">
      <alignment horizontal="left"/>
    </xf>
    <xf numFmtId="0" fontId="2" fillId="0" borderId="0" xfId="0" applyFont="1" applyAlignment="1">
      <alignment horizontal="left" wrapText="1"/>
    </xf>
    <xf numFmtId="176" fontId="2" fillId="0" borderId="0" xfId="0" applyNumberFormat="1" applyFont="1" applyAlignment="1">
      <alignment horizontal="left"/>
    </xf>
    <xf numFmtId="0" fontId="2" fillId="0" borderId="3" xfId="0" applyFont="1" applyBorder="1"/>
    <xf numFmtId="0" fontId="34" fillId="0" borderId="4" xfId="0" applyFont="1" applyBorder="1" applyAlignment="1">
      <alignment horizontal="center" vertical="top"/>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Couloubaritsis, Gabriella" id="{639D6591-E49B-5747-995D-94E00D21459C}" userId="S::gcouloub@iu.edu::35ffa9fc-2d01-4dca-96ed-b7fe990801a5" providerId="AD"/>
  <person displayName="Bauerle Danzman, Sarah" id="{E910BF00-D3EF-8F42-AC98-ED2A3B4767A2}" userId="S::sbauerle@iu.edu::f1984c2f-618d-43bf-818c-9b10d7f85377"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07" dT="2024-02-12T15:56:52.12" personId="{E910BF00-D3EF-8F42-AC98-ED2A3B4767A2}" id="{2254073A-9FF4-834F-8673-E6F009141A5E}">
    <text>Preliminary.</text>
  </threadedComment>
  <threadedComment ref="G293" dT="2024-02-12T16:24:45.45" personId="{639D6591-E49B-5747-995D-94E00D21459C}" id="{70E01F3F-8D32-41E8-A54B-8A00D665ED59}">
    <text>preliminary</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hyperlink" Target="http://isap.sejm.gov.pl/isap.nsf/DocDetails.xsp?id=WDU19200310178" TargetMode="External"/><Relationship Id="rId2" Type="http://schemas.openxmlformats.org/officeDocument/2006/relationships/hyperlink" Target="https://wetten.overheid.nl/BWBR0044449/2020-12-04" TargetMode="External"/><Relationship Id="rId1" Type="http://schemas.openxmlformats.org/officeDocument/2006/relationships/hyperlink" Target="https://assets.ctfassets.net/kunz2thx8mib/12NNUnRR36F4tb239ipRlp/d938e94df980165ae561e5c792d8fdf1/Act_on_screening_of_certain_foreign_direct_investments__etc._in_Denmark__the_Investment_Screening_Act_.pdf"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finlex.fi/fi/laki/smur/1992/19921612" TargetMode="External"/><Relationship Id="rId13" Type="http://schemas.openxmlformats.org/officeDocument/2006/relationships/hyperlink" Target="http://orka.sejm.gov.pl/proc7.nsf/ustawy/3454_u.htm" TargetMode="External"/><Relationship Id="rId18" Type="http://schemas.openxmlformats.org/officeDocument/2006/relationships/hyperlink" Target="https://laws-lois.justice.gc.ca/eng/acts/P-25.2/page-1.html" TargetMode="External"/><Relationship Id="rId3" Type="http://schemas.openxmlformats.org/officeDocument/2006/relationships/hyperlink" Target="https://www.legislation.gov.au/Details/F2022L00465/Explanatory%20Statement/Text" TargetMode="External"/><Relationship Id="rId21" Type="http://schemas.openxmlformats.org/officeDocument/2006/relationships/printerSettings" Target="../printerSettings/printerSettings3.bin"/><Relationship Id="rId7" Type="http://schemas.openxmlformats.org/officeDocument/2006/relationships/hyperlink" Target="https://assets.ctfassets.net/kunz2thx8mib/12NNUnRR36F4tb239ipRlp/d938e94df980165ae561e5c792d8fdf1/Act_on_screening_of_certain_foreign_direct_investments__etc._in_Denmark__the_Investment_Screening_Act_.pdf" TargetMode="External"/><Relationship Id="rId12" Type="http://schemas.openxmlformats.org/officeDocument/2006/relationships/hyperlink" Target="http://isap.sejm.gov.pl/isap.nsf/DocDetails.xsp?id=WDU19200310178" TargetMode="External"/><Relationship Id="rId17" Type="http://schemas.openxmlformats.org/officeDocument/2006/relationships/hyperlink" Target="https://en.wikipedia.org/wiki/Gerald_Ford" TargetMode="External"/><Relationship Id="rId2" Type="http://schemas.openxmlformats.org/officeDocument/2006/relationships/hyperlink" Target="https://firb.gov.au/sites/firb.gov.au/files/guidance-notes/GN_53_COVID_20200904.pdf" TargetMode="External"/><Relationship Id="rId16" Type="http://schemas.openxmlformats.org/officeDocument/2006/relationships/hyperlink" Target="https://mevzuat.tbmm.gov.tr/mevzuat/faces/kanunmaddeleri;jsessionid=f1skVbNr5euv78L7vIFud8nqpAlh4X1HeNkomfLIKXNxqTx9XE8g!1402391570?pkanunlarno=41842&amp;pkanunnumarasi=2565" TargetMode="External"/><Relationship Id="rId20" Type="http://schemas.openxmlformats.org/officeDocument/2006/relationships/hyperlink" Target="https://www.jonesday.com/en/insights/2023/11/ireland-introduces-foreign-investment-screening-regime" TargetMode="External"/><Relationship Id="rId1" Type="http://schemas.openxmlformats.org/officeDocument/2006/relationships/hyperlink" Target="https://www.legislation.gov.au/Details/C2017C00216" TargetMode="External"/><Relationship Id="rId6" Type="http://schemas.openxmlformats.org/officeDocument/2006/relationships/hyperlink" Target="https://canadagazette.gc.ca/rp-pr/p2/2015/2015-03-25/html/sor-dors65-eng.html" TargetMode="External"/><Relationship Id="rId11" Type="http://schemas.openxmlformats.org/officeDocument/2006/relationships/hyperlink" Target="https://www.gov.il/he/departments/news/spoke_national_security301019" TargetMode="External"/><Relationship Id="rId5" Type="http://schemas.openxmlformats.org/officeDocument/2006/relationships/hyperlink" Target="https://laws-lois.justice.gc.ca/PDF/I-11.8.pdf" TargetMode="External"/><Relationship Id="rId15" Type="http://schemas.openxmlformats.org/officeDocument/2006/relationships/hyperlink" Target="https://investmentpolicy.unctad.org/investment-laws/laws/311/korea-republic-of-enforcement-decree-of-the-foreign-investment-promotion-act" TargetMode="External"/><Relationship Id="rId10" Type="http://schemas.openxmlformats.org/officeDocument/2006/relationships/hyperlink" Target="https://www.finlex.fi/fi/laki/alkup/2019/20190470" TargetMode="External"/><Relationship Id="rId19" Type="http://schemas.openxmlformats.org/officeDocument/2006/relationships/hyperlink" Target="https://www.gazette.gc.ca/rp-pr/p2/2022/2022-06-22/html/sor-dors124-eng.html" TargetMode="External"/><Relationship Id="rId4" Type="http://schemas.openxmlformats.org/officeDocument/2006/relationships/hyperlink" Target="https://trade.ec.europa.eu/doclib/docs/2020/september/tradoc_158955.pdf" TargetMode="External"/><Relationship Id="rId9" Type="http://schemas.openxmlformats.org/officeDocument/2006/relationships/hyperlink" Target="https://tem.fi/documents/1410877/2132272/Act+on+the+Monitoring+of+Foreign+Corporate+Acquisitions+in+Finland/60021eda-c318-4e6c-b12e-eb15f02f46d2/Act+on+the+Monitoring+of+Foreign+Corporate+Acquisitions+in+Finland.pdf" TargetMode="External"/><Relationship Id="rId14" Type="http://schemas.openxmlformats.org/officeDocument/2006/relationships/hyperlink" Target="http://isap.sejm.gov.pl/isap.nsf/DocDetails.xsp?id=WDU20200001086"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977F-EF6C-424C-A53F-40C6080CB6F8}">
  <dimension ref="A1:A5"/>
  <sheetViews>
    <sheetView workbookViewId="0"/>
  </sheetViews>
  <sheetFormatPr baseColWidth="10" defaultColWidth="11.1640625" defaultRowHeight="16" x14ac:dyDescent="0.2"/>
  <cols>
    <col min="1" max="1" width="91" customWidth="1"/>
  </cols>
  <sheetData>
    <row r="1" spans="1:1" x14ac:dyDescent="0.2">
      <c r="A1" s="28" t="s">
        <v>0</v>
      </c>
    </row>
    <row r="3" spans="1:1" x14ac:dyDescent="0.2">
      <c r="A3" s="28" t="s">
        <v>1</v>
      </c>
    </row>
    <row r="5" spans="1:1" ht="137" customHeight="1" x14ac:dyDescent="0.2">
      <c r="A5" s="29" t="s">
        <v>2</v>
      </c>
    </row>
  </sheetData>
  <phoneticPr fontId="3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653"/>
  <sheetViews>
    <sheetView zoomScale="120" zoomScaleNormal="120" workbookViewId="0">
      <pane xSplit="1" ySplit="1" topLeftCell="AF2" activePane="bottomRight" state="frozen"/>
      <selection pane="topRight" activeCell="B1" sqref="B1"/>
      <selection pane="bottomLeft" activeCell="A2" sqref="A2"/>
      <selection pane="bottomRight" activeCell="AA14" sqref="AA14"/>
    </sheetView>
  </sheetViews>
  <sheetFormatPr baseColWidth="10" defaultColWidth="11.1640625" defaultRowHeight="15" customHeight="1" x14ac:dyDescent="0.2"/>
  <cols>
    <col min="1" max="1" width="17.1640625" customWidth="1"/>
    <col min="2" max="2" width="7.6640625" customWidth="1"/>
    <col min="3" max="3" width="5.6640625" customWidth="1"/>
    <col min="4" max="4" width="7.1640625" customWidth="1"/>
    <col min="5" max="5" width="10.6640625" customWidth="1"/>
    <col min="6" max="6" width="7.6640625" customWidth="1"/>
    <col min="7" max="7" width="7.1640625" customWidth="1"/>
    <col min="8" max="8" width="11" customWidth="1"/>
    <col min="9" max="9" width="15.6640625" customWidth="1"/>
    <col min="10" max="10" width="14.6640625" customWidth="1"/>
    <col min="11" max="71" width="13.1640625" customWidth="1"/>
    <col min="72" max="72" width="14.6640625" customWidth="1"/>
    <col min="73" max="73" width="13.1640625" customWidth="1"/>
    <col min="74" max="74" width="17.6640625" customWidth="1"/>
    <col min="75" max="80" width="13.1640625" customWidth="1"/>
  </cols>
  <sheetData>
    <row r="1" spans="1:80" ht="42" customHeight="1" x14ac:dyDescent="0.2">
      <c r="A1" s="1" t="s">
        <v>3</v>
      </c>
      <c r="B1" s="35" t="s">
        <v>4</v>
      </c>
      <c r="C1" s="35" t="s">
        <v>5</v>
      </c>
      <c r="D1" s="35" t="s">
        <v>6</v>
      </c>
      <c r="E1" s="35" t="s">
        <v>7</v>
      </c>
      <c r="F1" s="35" t="s">
        <v>8</v>
      </c>
      <c r="G1" s="35" t="s">
        <v>9</v>
      </c>
      <c r="H1" s="36" t="s">
        <v>10</v>
      </c>
      <c r="I1" s="36" t="s">
        <v>11</v>
      </c>
      <c r="J1" s="36" t="s">
        <v>12</v>
      </c>
      <c r="K1" s="36" t="s">
        <v>13</v>
      </c>
      <c r="L1" s="36" t="s">
        <v>14</v>
      </c>
      <c r="M1" s="36" t="s">
        <v>15</v>
      </c>
      <c r="N1" s="36" t="s">
        <v>16</v>
      </c>
      <c r="O1" s="36" t="s">
        <v>17</v>
      </c>
      <c r="P1" s="36" t="s">
        <v>18</v>
      </c>
      <c r="Q1" s="36" t="s">
        <v>19</v>
      </c>
      <c r="R1" s="36" t="s">
        <v>20</v>
      </c>
      <c r="S1" s="36" t="s">
        <v>21</v>
      </c>
      <c r="T1" s="36" t="s">
        <v>22</v>
      </c>
      <c r="U1" s="36" t="s">
        <v>23</v>
      </c>
      <c r="V1" s="36" t="s">
        <v>24</v>
      </c>
      <c r="W1" s="36" t="s">
        <v>25</v>
      </c>
      <c r="X1" s="36" t="s">
        <v>26</v>
      </c>
      <c r="Y1" s="36" t="s">
        <v>27</v>
      </c>
      <c r="Z1" s="36" t="s">
        <v>28</v>
      </c>
      <c r="AA1" s="36" t="s">
        <v>29</v>
      </c>
      <c r="AB1" s="36" t="s">
        <v>30</v>
      </c>
      <c r="AC1" s="36" t="s">
        <v>31</v>
      </c>
      <c r="AD1" s="36" t="s">
        <v>32</v>
      </c>
      <c r="AE1" s="36" t="s">
        <v>33</v>
      </c>
      <c r="AF1" s="36" t="s">
        <v>34</v>
      </c>
      <c r="AG1" s="36" t="s">
        <v>35</v>
      </c>
      <c r="AH1" s="36" t="s">
        <v>36</v>
      </c>
      <c r="AI1" s="36" t="s">
        <v>201</v>
      </c>
      <c r="AJ1" s="36" t="s">
        <v>641</v>
      </c>
      <c r="AK1" s="36" t="s">
        <v>203</v>
      </c>
      <c r="AL1" s="36" t="s">
        <v>204</v>
      </c>
      <c r="AM1" s="36" t="s">
        <v>205</v>
      </c>
      <c r="AN1" s="36" t="s">
        <v>642</v>
      </c>
      <c r="AO1" s="36" t="s">
        <v>643</v>
      </c>
      <c r="AP1" s="36" t="s">
        <v>644</v>
      </c>
      <c r="AQ1" s="36" t="s">
        <v>209</v>
      </c>
      <c r="AR1" s="36" t="s">
        <v>210</v>
      </c>
      <c r="AS1" s="36" t="s">
        <v>211</v>
      </c>
      <c r="AT1" s="36" t="s">
        <v>212</v>
      </c>
      <c r="AU1" s="36" t="s">
        <v>645</v>
      </c>
      <c r="AV1" s="36" t="s">
        <v>214</v>
      </c>
      <c r="AW1" s="36" t="s">
        <v>37</v>
      </c>
      <c r="AX1" s="36" t="s">
        <v>40</v>
      </c>
      <c r="AY1" s="36" t="s">
        <v>646</v>
      </c>
      <c r="AZ1" s="36" t="s">
        <v>647</v>
      </c>
      <c r="BA1" s="36" t="s">
        <v>38</v>
      </c>
      <c r="BB1" s="36" t="s">
        <v>39</v>
      </c>
      <c r="BC1" s="36" t="s">
        <v>40</v>
      </c>
      <c r="BD1" s="36" t="s">
        <v>41</v>
      </c>
      <c r="BE1" s="36" t="s">
        <v>42</v>
      </c>
      <c r="BF1" s="36" t="s">
        <v>43</v>
      </c>
      <c r="BG1" s="36" t="s">
        <v>44</v>
      </c>
      <c r="BH1" s="36" t="s">
        <v>45</v>
      </c>
      <c r="BI1" s="36" t="s">
        <v>46</v>
      </c>
      <c r="BJ1" s="36" t="s">
        <v>47</v>
      </c>
      <c r="BK1" s="36" t="s">
        <v>48</v>
      </c>
      <c r="BL1" s="36" t="s">
        <v>648</v>
      </c>
      <c r="BM1" s="36" t="s">
        <v>649</v>
      </c>
      <c r="BN1" s="36" t="s">
        <v>650</v>
      </c>
      <c r="BO1" s="36" t="s">
        <v>651</v>
      </c>
      <c r="BP1" s="36" t="s">
        <v>227</v>
      </c>
      <c r="BQ1" s="36" t="s">
        <v>228</v>
      </c>
      <c r="BR1" s="36" t="s">
        <v>229</v>
      </c>
      <c r="BS1" s="36" t="s">
        <v>49</v>
      </c>
      <c r="BT1" s="1"/>
      <c r="BU1" s="1" t="s">
        <v>652</v>
      </c>
      <c r="BV1" s="1" t="s">
        <v>653</v>
      </c>
      <c r="BW1" s="1" t="s">
        <v>654</v>
      </c>
      <c r="BX1" s="1" t="s">
        <v>655</v>
      </c>
      <c r="BY1" s="1" t="s">
        <v>656</v>
      </c>
      <c r="BZ1" s="1" t="s">
        <v>209</v>
      </c>
      <c r="CA1" s="1" t="s">
        <v>210</v>
      </c>
      <c r="CB1" s="1" t="s">
        <v>657</v>
      </c>
    </row>
    <row r="2" spans="1:80" ht="16" x14ac:dyDescent="0.2">
      <c r="A2" s="3" t="s">
        <v>50</v>
      </c>
      <c r="B2" s="4">
        <v>36</v>
      </c>
      <c r="C2" s="5">
        <v>1</v>
      </c>
      <c r="D2" s="5">
        <v>0</v>
      </c>
      <c r="E2" s="5">
        <v>1</v>
      </c>
      <c r="F2" s="6">
        <v>1975</v>
      </c>
      <c r="G2" s="6">
        <v>2007</v>
      </c>
      <c r="H2" s="7" t="str">
        <f t="shared" ref="H2:H277" si="0">IF($I2="1", "Yes", "No")</f>
        <v>No</v>
      </c>
      <c r="I2" s="6">
        <v>0</v>
      </c>
      <c r="J2" s="8">
        <v>1</v>
      </c>
      <c r="K2" s="8" t="s">
        <v>51</v>
      </c>
      <c r="L2" s="8" t="s">
        <v>52</v>
      </c>
      <c r="M2" s="8" t="s">
        <v>52</v>
      </c>
      <c r="N2" s="8">
        <v>0</v>
      </c>
      <c r="O2" s="8">
        <v>0</v>
      </c>
      <c r="P2" s="8">
        <v>1</v>
      </c>
      <c r="Q2" s="8" t="s">
        <v>53</v>
      </c>
      <c r="R2" s="9">
        <v>0.15</v>
      </c>
      <c r="S2" s="8">
        <v>0</v>
      </c>
      <c r="T2" s="8">
        <v>0</v>
      </c>
      <c r="U2" s="8">
        <v>1</v>
      </c>
      <c r="V2" s="8">
        <v>1</v>
      </c>
      <c r="W2" s="8">
        <v>1</v>
      </c>
      <c r="X2" s="8">
        <v>1</v>
      </c>
      <c r="Y2" s="8">
        <v>0</v>
      </c>
      <c r="Z2" s="8">
        <v>1</v>
      </c>
      <c r="AA2" s="8" t="s">
        <v>54</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f t="shared" ref="BS2:BS17" si="1">SUM(AI2:BR2)</f>
        <v>0</v>
      </c>
      <c r="BT2" s="8"/>
      <c r="BU2" s="2">
        <f t="shared" ref="BU2:BU257" si="2">SUM(AI2,BK2)</f>
        <v>0</v>
      </c>
      <c r="BV2" s="2">
        <f t="shared" ref="BV2:BV257" si="3">SUM(AK2, AL2, AM2,AJ2,BL2,BO2, AP2)</f>
        <v>0</v>
      </c>
      <c r="BW2" s="2">
        <f t="shared" ref="BW2:BW257" si="4">SUM(AN2, AO2, AS2)</f>
        <v>0</v>
      </c>
      <c r="BX2" s="2">
        <f t="shared" ref="BX2:BX257" si="5">SUM(AU2,AV2,AW2,AX2,AY2,AZ2,BA2,BB2,BC2,BD2,BE2,BF2,BG2,BH2,BI2,BJ2,BQ2,BR2,BM2)</f>
        <v>0</v>
      </c>
      <c r="BY2" s="2">
        <f t="shared" ref="BY2:BY255" si="6">SUM(BP2, BN2)</f>
        <v>0</v>
      </c>
      <c r="BZ2" s="2">
        <f t="shared" ref="BZ2:CA2" si="7">SUM(AQ2)</f>
        <v>0</v>
      </c>
      <c r="CA2" s="2">
        <f t="shared" si="7"/>
        <v>0</v>
      </c>
      <c r="CB2" s="2">
        <f t="shared" ref="CB2:CB255" si="8">SUM(AT2)</f>
        <v>0</v>
      </c>
    </row>
    <row r="3" spans="1:80" ht="16" x14ac:dyDescent="0.2">
      <c r="A3" s="3" t="s">
        <v>50</v>
      </c>
      <c r="B3" s="4">
        <v>36</v>
      </c>
      <c r="C3" s="5">
        <v>1</v>
      </c>
      <c r="D3" s="5">
        <v>0</v>
      </c>
      <c r="E3" s="5">
        <v>1</v>
      </c>
      <c r="F3" s="6">
        <v>1975</v>
      </c>
      <c r="G3" s="6">
        <v>2008</v>
      </c>
      <c r="H3" s="7" t="str">
        <f t="shared" si="0"/>
        <v>No</v>
      </c>
      <c r="I3" s="6">
        <v>0</v>
      </c>
      <c r="J3" s="8">
        <v>1</v>
      </c>
      <c r="K3" s="8" t="s">
        <v>51</v>
      </c>
      <c r="L3" s="8" t="s">
        <v>52</v>
      </c>
      <c r="M3" s="8" t="s">
        <v>52</v>
      </c>
      <c r="N3" s="8">
        <v>0</v>
      </c>
      <c r="O3" s="8">
        <v>0</v>
      </c>
      <c r="P3" s="8">
        <v>1</v>
      </c>
      <c r="Q3" s="8" t="s">
        <v>53</v>
      </c>
      <c r="R3" s="9">
        <v>0.15</v>
      </c>
      <c r="S3" s="8">
        <v>0</v>
      </c>
      <c r="T3" s="8">
        <v>0</v>
      </c>
      <c r="U3" s="8">
        <v>1</v>
      </c>
      <c r="V3" s="8">
        <v>1</v>
      </c>
      <c r="W3" s="8">
        <v>1</v>
      </c>
      <c r="X3" s="8">
        <v>1</v>
      </c>
      <c r="Y3" s="8">
        <v>0</v>
      </c>
      <c r="Z3" s="8">
        <v>1</v>
      </c>
      <c r="AA3" s="8" t="s">
        <v>54</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f t="shared" si="1"/>
        <v>0</v>
      </c>
      <c r="BT3" s="8"/>
      <c r="BU3" s="2">
        <f t="shared" si="2"/>
        <v>0</v>
      </c>
      <c r="BV3" s="2">
        <f t="shared" si="3"/>
        <v>0</v>
      </c>
      <c r="BW3" s="2">
        <f t="shared" si="4"/>
        <v>0</v>
      </c>
      <c r="BX3" s="2">
        <f t="shared" si="5"/>
        <v>0</v>
      </c>
      <c r="BY3" s="2">
        <f t="shared" si="6"/>
        <v>0</v>
      </c>
      <c r="BZ3" s="2">
        <f t="shared" ref="BZ3:CA3" si="9">SUM(AQ3)</f>
        <v>0</v>
      </c>
      <c r="CA3" s="2">
        <f t="shared" si="9"/>
        <v>0</v>
      </c>
      <c r="CB3" s="2">
        <f t="shared" si="8"/>
        <v>0</v>
      </c>
    </row>
    <row r="4" spans="1:80" ht="16" x14ac:dyDescent="0.2">
      <c r="A4" s="3" t="s">
        <v>50</v>
      </c>
      <c r="B4" s="4">
        <v>36</v>
      </c>
      <c r="C4" s="5">
        <v>1</v>
      </c>
      <c r="D4" s="5">
        <v>0</v>
      </c>
      <c r="E4" s="5">
        <v>1</v>
      </c>
      <c r="F4" s="6">
        <v>1975</v>
      </c>
      <c r="G4" s="6">
        <v>2009</v>
      </c>
      <c r="H4" s="7" t="str">
        <f t="shared" si="0"/>
        <v>No</v>
      </c>
      <c r="I4" s="54" t="s">
        <v>55</v>
      </c>
      <c r="J4" s="8">
        <v>1</v>
      </c>
      <c r="K4" s="8" t="s">
        <v>51</v>
      </c>
      <c r="L4" s="8" t="s">
        <v>52</v>
      </c>
      <c r="M4" s="8" t="s">
        <v>52</v>
      </c>
      <c r="N4" s="8">
        <v>0</v>
      </c>
      <c r="O4" s="8">
        <v>0</v>
      </c>
      <c r="P4" s="8">
        <v>1</v>
      </c>
      <c r="Q4" s="8" t="s">
        <v>53</v>
      </c>
      <c r="R4" s="9">
        <v>0.15</v>
      </c>
      <c r="S4" s="8">
        <v>0</v>
      </c>
      <c r="T4" s="8">
        <v>0</v>
      </c>
      <c r="U4" s="8">
        <v>1</v>
      </c>
      <c r="V4" s="8">
        <v>1</v>
      </c>
      <c r="W4" s="8">
        <v>1</v>
      </c>
      <c r="X4" s="8">
        <v>1</v>
      </c>
      <c r="Y4" s="8">
        <v>0</v>
      </c>
      <c r="Z4" s="8">
        <v>1</v>
      </c>
      <c r="AA4" s="8" t="s">
        <v>54</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f t="shared" si="1"/>
        <v>0</v>
      </c>
      <c r="BT4" s="8"/>
      <c r="BU4" s="2">
        <f t="shared" si="2"/>
        <v>0</v>
      </c>
      <c r="BV4" s="2">
        <f t="shared" si="3"/>
        <v>0</v>
      </c>
      <c r="BW4" s="2">
        <f t="shared" si="4"/>
        <v>0</v>
      </c>
      <c r="BX4" s="2">
        <f t="shared" si="5"/>
        <v>0</v>
      </c>
      <c r="BY4" s="2">
        <f t="shared" si="6"/>
        <v>0</v>
      </c>
      <c r="BZ4" s="2">
        <f t="shared" ref="BZ4:CA4" si="10">SUM(AQ4)</f>
        <v>0</v>
      </c>
      <c r="CA4" s="2">
        <f t="shared" si="10"/>
        <v>0</v>
      </c>
      <c r="CB4" s="2">
        <f t="shared" si="8"/>
        <v>0</v>
      </c>
    </row>
    <row r="5" spans="1:80" ht="16" x14ac:dyDescent="0.2">
      <c r="A5" s="3" t="s">
        <v>50</v>
      </c>
      <c r="B5" s="4">
        <v>36</v>
      </c>
      <c r="C5" s="5">
        <v>1</v>
      </c>
      <c r="D5" s="5">
        <v>0</v>
      </c>
      <c r="E5" s="5">
        <v>1</v>
      </c>
      <c r="F5" s="6">
        <v>1975</v>
      </c>
      <c r="G5" s="6">
        <v>2010</v>
      </c>
      <c r="H5" s="7" t="str">
        <f t="shared" si="0"/>
        <v>Yes</v>
      </c>
      <c r="I5" s="54" t="s">
        <v>56</v>
      </c>
      <c r="J5" s="8">
        <v>1</v>
      </c>
      <c r="K5" s="8" t="s">
        <v>51</v>
      </c>
      <c r="L5" s="8" t="s">
        <v>52</v>
      </c>
      <c r="M5" s="8" t="s">
        <v>52</v>
      </c>
      <c r="N5" s="8">
        <v>0</v>
      </c>
      <c r="O5" s="8">
        <v>0</v>
      </c>
      <c r="P5" s="8">
        <v>1</v>
      </c>
      <c r="Q5" s="8" t="s">
        <v>53</v>
      </c>
      <c r="R5" s="9">
        <v>0.15</v>
      </c>
      <c r="S5" s="8">
        <v>0</v>
      </c>
      <c r="T5" s="8">
        <v>0</v>
      </c>
      <c r="U5" s="8">
        <v>1</v>
      </c>
      <c r="V5" s="8">
        <v>1</v>
      </c>
      <c r="W5" s="8">
        <v>1</v>
      </c>
      <c r="X5" s="8">
        <v>1</v>
      </c>
      <c r="Y5" s="8">
        <v>0</v>
      </c>
      <c r="Z5" s="8">
        <v>1</v>
      </c>
      <c r="AA5" s="8" t="s">
        <v>54</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f t="shared" si="1"/>
        <v>0</v>
      </c>
      <c r="BT5" s="8"/>
      <c r="BU5" s="2">
        <f t="shared" si="2"/>
        <v>0</v>
      </c>
      <c r="BV5" s="2">
        <f t="shared" si="3"/>
        <v>0</v>
      </c>
      <c r="BW5" s="2">
        <f t="shared" si="4"/>
        <v>0</v>
      </c>
      <c r="BX5" s="2">
        <f t="shared" si="5"/>
        <v>0</v>
      </c>
      <c r="BY5" s="2">
        <f t="shared" si="6"/>
        <v>0</v>
      </c>
      <c r="BZ5" s="2">
        <f t="shared" ref="BZ5:CA5" si="11">SUM(AQ5)</f>
        <v>0</v>
      </c>
      <c r="CA5" s="2">
        <f t="shared" si="11"/>
        <v>0</v>
      </c>
      <c r="CB5" s="2">
        <f t="shared" si="8"/>
        <v>0</v>
      </c>
    </row>
    <row r="6" spans="1:80" ht="16" x14ac:dyDescent="0.2">
      <c r="A6" s="3" t="s">
        <v>50</v>
      </c>
      <c r="B6" s="4">
        <v>36</v>
      </c>
      <c r="C6" s="5">
        <v>1</v>
      </c>
      <c r="D6" s="5">
        <v>0</v>
      </c>
      <c r="E6" s="5">
        <v>1</v>
      </c>
      <c r="F6" s="6">
        <v>1975</v>
      </c>
      <c r="G6" s="6">
        <v>2011</v>
      </c>
      <c r="H6" s="7" t="str">
        <f t="shared" si="0"/>
        <v>No</v>
      </c>
      <c r="I6" s="54" t="s">
        <v>55</v>
      </c>
      <c r="J6" s="8">
        <v>1</v>
      </c>
      <c r="K6" s="8" t="s">
        <v>51</v>
      </c>
      <c r="L6" s="8" t="s">
        <v>52</v>
      </c>
      <c r="M6" s="8" t="s">
        <v>52</v>
      </c>
      <c r="N6" s="8">
        <v>0</v>
      </c>
      <c r="O6" s="8">
        <v>0</v>
      </c>
      <c r="P6" s="8">
        <v>1</v>
      </c>
      <c r="Q6" s="8" t="s">
        <v>53</v>
      </c>
      <c r="R6" s="9">
        <v>0.15</v>
      </c>
      <c r="S6" s="8">
        <v>0</v>
      </c>
      <c r="T6" s="8">
        <v>0</v>
      </c>
      <c r="U6" s="8">
        <v>1</v>
      </c>
      <c r="V6" s="8">
        <v>1</v>
      </c>
      <c r="W6" s="8">
        <v>1</v>
      </c>
      <c r="X6" s="8">
        <v>1</v>
      </c>
      <c r="Y6" s="8">
        <v>0</v>
      </c>
      <c r="Z6" s="8">
        <v>1</v>
      </c>
      <c r="AA6" s="8" t="s">
        <v>54</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f t="shared" si="1"/>
        <v>0</v>
      </c>
      <c r="BT6" s="8"/>
      <c r="BU6" s="2">
        <f t="shared" si="2"/>
        <v>0</v>
      </c>
      <c r="BV6" s="2">
        <f t="shared" si="3"/>
        <v>0</v>
      </c>
      <c r="BW6" s="2">
        <f t="shared" si="4"/>
        <v>0</v>
      </c>
      <c r="BX6" s="2">
        <f t="shared" si="5"/>
        <v>0</v>
      </c>
      <c r="BY6" s="2">
        <f t="shared" si="6"/>
        <v>0</v>
      </c>
      <c r="BZ6" s="2">
        <f t="shared" ref="BZ6:CA6" si="12">SUM(AQ6)</f>
        <v>0</v>
      </c>
      <c r="CA6" s="2">
        <f t="shared" si="12"/>
        <v>0</v>
      </c>
      <c r="CB6" s="2">
        <f t="shared" si="8"/>
        <v>0</v>
      </c>
    </row>
    <row r="7" spans="1:80" ht="16" x14ac:dyDescent="0.2">
      <c r="A7" s="3" t="s">
        <v>50</v>
      </c>
      <c r="B7" s="4">
        <v>36</v>
      </c>
      <c r="C7" s="5">
        <v>1</v>
      </c>
      <c r="D7" s="5">
        <v>0</v>
      </c>
      <c r="E7" s="5">
        <v>1</v>
      </c>
      <c r="F7" s="6">
        <v>1975</v>
      </c>
      <c r="G7" s="6">
        <v>2012</v>
      </c>
      <c r="H7" s="7" t="str">
        <f t="shared" si="0"/>
        <v>No</v>
      </c>
      <c r="I7" s="54" t="s">
        <v>55</v>
      </c>
      <c r="J7" s="8">
        <v>1</v>
      </c>
      <c r="K7" s="8" t="s">
        <v>51</v>
      </c>
      <c r="L7" s="8" t="s">
        <v>52</v>
      </c>
      <c r="M7" s="8" t="s">
        <v>52</v>
      </c>
      <c r="N7" s="8">
        <v>0</v>
      </c>
      <c r="O7" s="8">
        <v>0</v>
      </c>
      <c r="P7" s="8">
        <v>1</v>
      </c>
      <c r="Q7" s="8" t="s">
        <v>53</v>
      </c>
      <c r="R7" s="9">
        <v>0.15</v>
      </c>
      <c r="S7" s="8">
        <v>0</v>
      </c>
      <c r="T7" s="8">
        <v>0</v>
      </c>
      <c r="U7" s="8">
        <v>1</v>
      </c>
      <c r="V7" s="8">
        <v>1</v>
      </c>
      <c r="W7" s="8">
        <v>1</v>
      </c>
      <c r="X7" s="8">
        <v>1</v>
      </c>
      <c r="Y7" s="8">
        <v>0</v>
      </c>
      <c r="Z7" s="8">
        <v>1</v>
      </c>
      <c r="AA7" s="8" t="s">
        <v>54</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f t="shared" si="1"/>
        <v>0</v>
      </c>
      <c r="BT7" s="8"/>
      <c r="BU7" s="2">
        <f t="shared" si="2"/>
        <v>0</v>
      </c>
      <c r="BV7" s="2">
        <f t="shared" si="3"/>
        <v>0</v>
      </c>
      <c r="BW7" s="2">
        <f t="shared" si="4"/>
        <v>0</v>
      </c>
      <c r="BX7" s="2">
        <f t="shared" si="5"/>
        <v>0</v>
      </c>
      <c r="BY7" s="2">
        <f t="shared" si="6"/>
        <v>0</v>
      </c>
      <c r="BZ7" s="2">
        <f t="shared" ref="BZ7:CA7" si="13">SUM(AQ7)</f>
        <v>0</v>
      </c>
      <c r="CA7" s="2">
        <f t="shared" si="13"/>
        <v>0</v>
      </c>
      <c r="CB7" s="2">
        <f t="shared" si="8"/>
        <v>0</v>
      </c>
    </row>
    <row r="8" spans="1:80" ht="16" x14ac:dyDescent="0.2">
      <c r="A8" s="3" t="s">
        <v>50</v>
      </c>
      <c r="B8" s="4">
        <v>36</v>
      </c>
      <c r="C8" s="5">
        <v>1</v>
      </c>
      <c r="D8" s="5">
        <v>0</v>
      </c>
      <c r="E8" s="5">
        <v>1</v>
      </c>
      <c r="F8" s="6">
        <v>1975</v>
      </c>
      <c r="G8" s="6">
        <v>2013</v>
      </c>
      <c r="H8" s="7" t="str">
        <f t="shared" si="0"/>
        <v>No</v>
      </c>
      <c r="I8" s="54" t="s">
        <v>55</v>
      </c>
      <c r="J8" s="8">
        <v>1</v>
      </c>
      <c r="K8" s="8" t="s">
        <v>51</v>
      </c>
      <c r="L8" s="8" t="s">
        <v>52</v>
      </c>
      <c r="M8" s="8" t="s">
        <v>52</v>
      </c>
      <c r="N8" s="8">
        <v>0</v>
      </c>
      <c r="O8" s="8">
        <v>0</v>
      </c>
      <c r="P8" s="8">
        <v>1</v>
      </c>
      <c r="Q8" s="8" t="s">
        <v>53</v>
      </c>
      <c r="R8" s="9">
        <v>0.15</v>
      </c>
      <c r="S8" s="8">
        <v>0</v>
      </c>
      <c r="T8" s="8">
        <v>0</v>
      </c>
      <c r="U8" s="8">
        <v>1</v>
      </c>
      <c r="V8" s="8">
        <v>1</v>
      </c>
      <c r="W8" s="8">
        <v>1</v>
      </c>
      <c r="X8" s="8">
        <v>1</v>
      </c>
      <c r="Y8" s="8">
        <v>0</v>
      </c>
      <c r="Z8" s="8">
        <v>1</v>
      </c>
      <c r="AA8" s="8" t="s">
        <v>54</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f t="shared" si="1"/>
        <v>0</v>
      </c>
      <c r="BT8" s="8"/>
      <c r="BU8" s="2">
        <f t="shared" si="2"/>
        <v>0</v>
      </c>
      <c r="BV8" s="2">
        <f t="shared" si="3"/>
        <v>0</v>
      </c>
      <c r="BW8" s="2">
        <f t="shared" si="4"/>
        <v>0</v>
      </c>
      <c r="BX8" s="2">
        <f t="shared" si="5"/>
        <v>0</v>
      </c>
      <c r="BY8" s="2">
        <f t="shared" si="6"/>
        <v>0</v>
      </c>
      <c r="BZ8" s="2">
        <f t="shared" ref="BZ8:CA8" si="14">SUM(AQ8)</f>
        <v>0</v>
      </c>
      <c r="CA8" s="2">
        <f t="shared" si="14"/>
        <v>0</v>
      </c>
      <c r="CB8" s="2">
        <f t="shared" si="8"/>
        <v>0</v>
      </c>
    </row>
    <row r="9" spans="1:80" ht="16" x14ac:dyDescent="0.2">
      <c r="A9" s="3" t="s">
        <v>50</v>
      </c>
      <c r="B9" s="4">
        <v>36</v>
      </c>
      <c r="C9" s="5">
        <v>1</v>
      </c>
      <c r="D9" s="5">
        <v>0</v>
      </c>
      <c r="E9" s="5">
        <v>1</v>
      </c>
      <c r="F9" s="6">
        <v>1975</v>
      </c>
      <c r="G9" s="6">
        <v>2014</v>
      </c>
      <c r="H9" s="7" t="str">
        <f t="shared" si="0"/>
        <v>No</v>
      </c>
      <c r="I9" s="54" t="s">
        <v>55</v>
      </c>
      <c r="J9" s="8">
        <v>1</v>
      </c>
      <c r="K9" s="8" t="s">
        <v>51</v>
      </c>
      <c r="L9" s="8" t="s">
        <v>52</v>
      </c>
      <c r="M9" s="8" t="s">
        <v>52</v>
      </c>
      <c r="N9" s="8">
        <v>0</v>
      </c>
      <c r="O9" s="8">
        <v>0</v>
      </c>
      <c r="P9" s="8">
        <v>1</v>
      </c>
      <c r="Q9" s="8" t="s">
        <v>53</v>
      </c>
      <c r="R9" s="9">
        <v>0.15</v>
      </c>
      <c r="S9" s="8">
        <v>0</v>
      </c>
      <c r="T9" s="8">
        <v>0</v>
      </c>
      <c r="U9" s="8">
        <v>1</v>
      </c>
      <c r="V9" s="8">
        <v>1</v>
      </c>
      <c r="W9" s="8">
        <v>1</v>
      </c>
      <c r="X9" s="8">
        <v>1</v>
      </c>
      <c r="Y9" s="8">
        <v>0</v>
      </c>
      <c r="Z9" s="8">
        <v>1</v>
      </c>
      <c r="AA9" s="8" t="s">
        <v>54</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f t="shared" si="1"/>
        <v>0</v>
      </c>
      <c r="BT9" s="8"/>
      <c r="BU9" s="2">
        <f t="shared" si="2"/>
        <v>0</v>
      </c>
      <c r="BV9" s="2">
        <f t="shared" si="3"/>
        <v>0</v>
      </c>
      <c r="BW9" s="2">
        <f t="shared" si="4"/>
        <v>0</v>
      </c>
      <c r="BX9" s="2">
        <f t="shared" si="5"/>
        <v>0</v>
      </c>
      <c r="BY9" s="2">
        <f t="shared" si="6"/>
        <v>0</v>
      </c>
      <c r="BZ9" s="2">
        <f t="shared" ref="BZ9:CA9" si="15">SUM(AQ9)</f>
        <v>0</v>
      </c>
      <c r="CA9" s="2">
        <f t="shared" si="15"/>
        <v>0</v>
      </c>
      <c r="CB9" s="2">
        <f t="shared" si="8"/>
        <v>0</v>
      </c>
    </row>
    <row r="10" spans="1:80" ht="16" x14ac:dyDescent="0.2">
      <c r="A10" s="3" t="s">
        <v>50</v>
      </c>
      <c r="B10" s="4">
        <v>36</v>
      </c>
      <c r="C10" s="5">
        <v>1</v>
      </c>
      <c r="D10" s="5">
        <v>0</v>
      </c>
      <c r="E10" s="5">
        <v>1</v>
      </c>
      <c r="F10" s="6">
        <v>1975</v>
      </c>
      <c r="G10" s="6">
        <v>2015</v>
      </c>
      <c r="H10" s="7" t="str">
        <f t="shared" si="0"/>
        <v>No</v>
      </c>
      <c r="I10" s="54" t="s">
        <v>57</v>
      </c>
      <c r="J10" s="8">
        <v>1</v>
      </c>
      <c r="K10" s="8" t="s">
        <v>51</v>
      </c>
      <c r="L10" s="8" t="s">
        <v>52</v>
      </c>
      <c r="M10" s="8" t="s">
        <v>52</v>
      </c>
      <c r="N10" s="8">
        <v>0</v>
      </c>
      <c r="O10" s="8">
        <v>0</v>
      </c>
      <c r="P10" s="8">
        <v>1</v>
      </c>
      <c r="Q10" s="8" t="s">
        <v>58</v>
      </c>
      <c r="R10" s="9">
        <v>0.15</v>
      </c>
      <c r="S10" s="8">
        <v>1</v>
      </c>
      <c r="T10" s="8">
        <v>1</v>
      </c>
      <c r="U10" s="8">
        <v>1</v>
      </c>
      <c r="V10" s="8">
        <v>1</v>
      </c>
      <c r="W10" s="8">
        <v>1</v>
      </c>
      <c r="X10" s="8">
        <v>1</v>
      </c>
      <c r="Y10" s="8">
        <v>0</v>
      </c>
      <c r="Z10" s="8">
        <v>1</v>
      </c>
      <c r="AA10" s="8" t="s">
        <v>54</v>
      </c>
      <c r="AB10" s="8">
        <v>0</v>
      </c>
      <c r="AC10" s="8">
        <v>0</v>
      </c>
      <c r="AD10" s="8">
        <v>1</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f t="shared" si="1"/>
        <v>0</v>
      </c>
      <c r="BT10" s="8"/>
      <c r="BU10" s="2">
        <f t="shared" si="2"/>
        <v>0</v>
      </c>
      <c r="BV10" s="2">
        <f t="shared" si="3"/>
        <v>0</v>
      </c>
      <c r="BW10" s="2">
        <f t="shared" si="4"/>
        <v>0</v>
      </c>
      <c r="BX10" s="2">
        <f t="shared" si="5"/>
        <v>0</v>
      </c>
      <c r="BY10" s="2">
        <f t="shared" si="6"/>
        <v>0</v>
      </c>
      <c r="BZ10" s="2">
        <f t="shared" ref="BZ10:CA10" si="16">SUM(AQ10)</f>
        <v>0</v>
      </c>
      <c r="CA10" s="2">
        <f t="shared" si="16"/>
        <v>0</v>
      </c>
      <c r="CB10" s="2">
        <f t="shared" si="8"/>
        <v>0</v>
      </c>
    </row>
    <row r="11" spans="1:80" ht="16" x14ac:dyDescent="0.2">
      <c r="A11" s="3" t="s">
        <v>50</v>
      </c>
      <c r="B11" s="4">
        <v>36</v>
      </c>
      <c r="C11" s="5">
        <v>1</v>
      </c>
      <c r="D11" s="5">
        <v>0</v>
      </c>
      <c r="E11" s="5">
        <v>1</v>
      </c>
      <c r="F11" s="6">
        <v>1975</v>
      </c>
      <c r="G11" s="6">
        <v>2016</v>
      </c>
      <c r="H11" s="7" t="str">
        <f t="shared" si="0"/>
        <v>No</v>
      </c>
      <c r="I11" s="54" t="s">
        <v>55</v>
      </c>
      <c r="J11" s="8">
        <v>1</v>
      </c>
      <c r="K11" s="8" t="s">
        <v>51</v>
      </c>
      <c r="L11" s="8" t="s">
        <v>52</v>
      </c>
      <c r="M11" s="8" t="s">
        <v>52</v>
      </c>
      <c r="N11" s="8">
        <v>0</v>
      </c>
      <c r="O11" s="8">
        <v>0</v>
      </c>
      <c r="P11" s="8">
        <v>1</v>
      </c>
      <c r="Q11" s="8" t="s">
        <v>58</v>
      </c>
      <c r="R11" s="9">
        <v>0.2</v>
      </c>
      <c r="S11" s="8">
        <v>1</v>
      </c>
      <c r="T11" s="8">
        <v>1</v>
      </c>
      <c r="U11" s="8">
        <v>1</v>
      </c>
      <c r="V11" s="8">
        <v>1</v>
      </c>
      <c r="W11" s="8">
        <v>1</v>
      </c>
      <c r="X11" s="8">
        <v>1</v>
      </c>
      <c r="Y11" s="8">
        <v>0</v>
      </c>
      <c r="Z11" s="8">
        <v>1</v>
      </c>
      <c r="AA11" s="8" t="s">
        <v>54</v>
      </c>
      <c r="AB11" s="8">
        <v>0</v>
      </c>
      <c r="AC11" s="8">
        <v>0</v>
      </c>
      <c r="AD11" s="8">
        <v>1</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f t="shared" si="1"/>
        <v>0</v>
      </c>
      <c r="BT11" s="8"/>
      <c r="BU11" s="2">
        <f t="shared" si="2"/>
        <v>0</v>
      </c>
      <c r="BV11" s="2">
        <f t="shared" si="3"/>
        <v>0</v>
      </c>
      <c r="BW11" s="2">
        <f t="shared" si="4"/>
        <v>0</v>
      </c>
      <c r="BX11" s="2">
        <f t="shared" si="5"/>
        <v>0</v>
      </c>
      <c r="BY11" s="2">
        <f t="shared" si="6"/>
        <v>0</v>
      </c>
      <c r="BZ11" s="2">
        <f t="shared" ref="BZ11:CA11" si="17">SUM(AQ11)</f>
        <v>0</v>
      </c>
      <c r="CA11" s="2">
        <f t="shared" si="17"/>
        <v>0</v>
      </c>
      <c r="CB11" s="2">
        <f t="shared" si="8"/>
        <v>0</v>
      </c>
    </row>
    <row r="12" spans="1:80" ht="16" x14ac:dyDescent="0.2">
      <c r="A12" s="3" t="s">
        <v>50</v>
      </c>
      <c r="B12" s="4">
        <v>36</v>
      </c>
      <c r="C12" s="5">
        <v>1</v>
      </c>
      <c r="D12" s="5">
        <v>0</v>
      </c>
      <c r="E12" s="5">
        <v>1</v>
      </c>
      <c r="F12" s="6">
        <v>1975</v>
      </c>
      <c r="G12" s="6">
        <v>2017</v>
      </c>
      <c r="H12" s="7" t="str">
        <f t="shared" si="0"/>
        <v>Yes</v>
      </c>
      <c r="I12" s="54" t="s">
        <v>56</v>
      </c>
      <c r="J12" s="8">
        <v>2</v>
      </c>
      <c r="K12" s="8" t="s">
        <v>59</v>
      </c>
      <c r="L12" s="8" t="s">
        <v>52</v>
      </c>
      <c r="M12" s="8" t="s">
        <v>52</v>
      </c>
      <c r="N12" s="8">
        <v>0</v>
      </c>
      <c r="O12" s="8">
        <v>0</v>
      </c>
      <c r="P12" s="8">
        <v>1</v>
      </c>
      <c r="Q12" s="8" t="s">
        <v>58</v>
      </c>
      <c r="R12" s="9">
        <v>0.2</v>
      </c>
      <c r="S12" s="8">
        <v>1</v>
      </c>
      <c r="T12" s="8">
        <v>1</v>
      </c>
      <c r="U12" s="8">
        <v>1</v>
      </c>
      <c r="V12" s="8">
        <v>1</v>
      </c>
      <c r="W12" s="8">
        <v>1</v>
      </c>
      <c r="X12" s="8">
        <v>1</v>
      </c>
      <c r="Y12" s="8">
        <v>0</v>
      </c>
      <c r="Z12" s="8">
        <v>1</v>
      </c>
      <c r="AA12" s="8" t="s">
        <v>54</v>
      </c>
      <c r="AB12" s="8">
        <v>0</v>
      </c>
      <c r="AC12" s="8">
        <v>0</v>
      </c>
      <c r="AD12" s="8">
        <v>1</v>
      </c>
      <c r="AE12" s="8">
        <v>0</v>
      </c>
      <c r="AF12" s="8">
        <v>0</v>
      </c>
      <c r="AG12" s="8">
        <v>0</v>
      </c>
      <c r="AH12" s="8">
        <v>0</v>
      </c>
      <c r="AI12" s="8">
        <v>0</v>
      </c>
      <c r="AJ12" s="8">
        <v>0</v>
      </c>
      <c r="AK12" s="8">
        <v>0</v>
      </c>
      <c r="AL12" s="8">
        <v>0</v>
      </c>
      <c r="AM12" s="8">
        <v>1</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f t="shared" si="1"/>
        <v>1</v>
      </c>
      <c r="BT12" s="8"/>
      <c r="BU12" s="2">
        <f t="shared" si="2"/>
        <v>0</v>
      </c>
      <c r="BV12" s="2">
        <f t="shared" si="3"/>
        <v>1</v>
      </c>
      <c r="BW12" s="2">
        <f t="shared" si="4"/>
        <v>0</v>
      </c>
      <c r="BX12" s="2">
        <f t="shared" si="5"/>
        <v>0</v>
      </c>
      <c r="BY12" s="2">
        <f t="shared" si="6"/>
        <v>0</v>
      </c>
      <c r="BZ12" s="2">
        <f t="shared" ref="BZ12:CA12" si="18">SUM(AQ12)</f>
        <v>0</v>
      </c>
      <c r="CA12" s="2">
        <f t="shared" si="18"/>
        <v>0</v>
      </c>
      <c r="CB12" s="2">
        <f t="shared" si="8"/>
        <v>0</v>
      </c>
    </row>
    <row r="13" spans="1:80" ht="16" x14ac:dyDescent="0.2">
      <c r="A13" s="3" t="s">
        <v>50</v>
      </c>
      <c r="B13" s="4">
        <v>36</v>
      </c>
      <c r="C13" s="5">
        <v>1</v>
      </c>
      <c r="D13" s="5">
        <v>0</v>
      </c>
      <c r="E13" s="5">
        <v>1</v>
      </c>
      <c r="F13" s="6">
        <v>1975</v>
      </c>
      <c r="G13" s="6">
        <v>2018</v>
      </c>
      <c r="H13" s="7" t="str">
        <f t="shared" si="0"/>
        <v>Yes</v>
      </c>
      <c r="I13" s="54" t="s">
        <v>56</v>
      </c>
      <c r="J13" s="8">
        <v>3</v>
      </c>
      <c r="K13" s="8" t="s">
        <v>59</v>
      </c>
      <c r="L13" s="8" t="s">
        <v>52</v>
      </c>
      <c r="M13" s="8" t="s">
        <v>52</v>
      </c>
      <c r="N13" s="8">
        <v>0</v>
      </c>
      <c r="O13" s="8">
        <v>0</v>
      </c>
      <c r="P13" s="8">
        <v>1</v>
      </c>
      <c r="Q13" s="8" t="s">
        <v>58</v>
      </c>
      <c r="R13" s="9">
        <v>0.2</v>
      </c>
      <c r="S13" s="8">
        <v>1</v>
      </c>
      <c r="T13" s="8">
        <v>1</v>
      </c>
      <c r="U13" s="8">
        <v>1</v>
      </c>
      <c r="V13" s="8">
        <v>1</v>
      </c>
      <c r="W13" s="8">
        <v>1</v>
      </c>
      <c r="X13" s="8">
        <v>1</v>
      </c>
      <c r="Y13" s="8">
        <v>0</v>
      </c>
      <c r="Z13" s="8">
        <v>1</v>
      </c>
      <c r="AA13" s="8" t="s">
        <v>54</v>
      </c>
      <c r="AB13" s="8">
        <v>0</v>
      </c>
      <c r="AC13" s="8">
        <v>0</v>
      </c>
      <c r="AD13" s="8">
        <v>1</v>
      </c>
      <c r="AE13" s="8">
        <v>0</v>
      </c>
      <c r="AF13" s="8">
        <v>0</v>
      </c>
      <c r="AG13" s="8">
        <v>0</v>
      </c>
      <c r="AH13" s="8">
        <v>0</v>
      </c>
      <c r="AI13" s="8">
        <v>0</v>
      </c>
      <c r="AJ13" s="8">
        <v>1</v>
      </c>
      <c r="AK13" s="8">
        <v>1</v>
      </c>
      <c r="AL13" s="8">
        <v>0</v>
      </c>
      <c r="AM13" s="8">
        <v>1</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f t="shared" si="1"/>
        <v>3</v>
      </c>
      <c r="BT13" s="8"/>
      <c r="BU13" s="2">
        <f t="shared" si="2"/>
        <v>0</v>
      </c>
      <c r="BV13" s="2">
        <f t="shared" si="3"/>
        <v>3</v>
      </c>
      <c r="BW13" s="2">
        <f t="shared" si="4"/>
        <v>0</v>
      </c>
      <c r="BX13" s="2">
        <f t="shared" si="5"/>
        <v>0</v>
      </c>
      <c r="BY13" s="2">
        <f t="shared" si="6"/>
        <v>0</v>
      </c>
      <c r="BZ13" s="2">
        <f t="shared" ref="BZ13:CA13" si="19">SUM(AQ13)</f>
        <v>0</v>
      </c>
      <c r="CA13" s="2">
        <f t="shared" si="19"/>
        <v>0</v>
      </c>
      <c r="CB13" s="2">
        <f t="shared" si="8"/>
        <v>0</v>
      </c>
    </row>
    <row r="14" spans="1:80" ht="16" x14ac:dyDescent="0.2">
      <c r="A14" s="3" t="s">
        <v>50</v>
      </c>
      <c r="B14" s="4">
        <v>36</v>
      </c>
      <c r="C14" s="5">
        <v>1</v>
      </c>
      <c r="D14" s="5">
        <v>0</v>
      </c>
      <c r="E14" s="5">
        <v>1</v>
      </c>
      <c r="F14" s="6">
        <v>1975</v>
      </c>
      <c r="G14" s="6">
        <v>2019</v>
      </c>
      <c r="H14" s="7" t="str">
        <f t="shared" si="0"/>
        <v>No</v>
      </c>
      <c r="I14" s="54" t="s">
        <v>55</v>
      </c>
      <c r="J14" s="8">
        <v>3</v>
      </c>
      <c r="K14" s="8" t="s">
        <v>59</v>
      </c>
      <c r="L14" s="8" t="s">
        <v>52</v>
      </c>
      <c r="M14" s="8" t="s">
        <v>52</v>
      </c>
      <c r="N14" s="8">
        <v>0</v>
      </c>
      <c r="O14" s="8">
        <v>0</v>
      </c>
      <c r="P14" s="8">
        <v>1</v>
      </c>
      <c r="Q14" s="8" t="s">
        <v>58</v>
      </c>
      <c r="R14" s="9">
        <v>0.2</v>
      </c>
      <c r="S14" s="8">
        <v>1</v>
      </c>
      <c r="T14" s="8">
        <v>1</v>
      </c>
      <c r="U14" s="8">
        <v>1</v>
      </c>
      <c r="V14" s="8">
        <v>1</v>
      </c>
      <c r="W14" s="8">
        <v>1</v>
      </c>
      <c r="X14" s="8">
        <v>1</v>
      </c>
      <c r="Y14" s="8">
        <v>0</v>
      </c>
      <c r="Z14" s="8">
        <v>1</v>
      </c>
      <c r="AA14" s="8" t="s">
        <v>54</v>
      </c>
      <c r="AB14" s="8">
        <v>0</v>
      </c>
      <c r="AC14" s="8">
        <v>0</v>
      </c>
      <c r="AD14" s="8">
        <v>1</v>
      </c>
      <c r="AE14" s="8">
        <v>0</v>
      </c>
      <c r="AF14" s="8">
        <v>0</v>
      </c>
      <c r="AG14" s="8">
        <v>0</v>
      </c>
      <c r="AH14" s="8">
        <v>0</v>
      </c>
      <c r="AI14" s="8">
        <v>0</v>
      </c>
      <c r="AJ14" s="8">
        <v>1</v>
      </c>
      <c r="AK14" s="8">
        <v>1</v>
      </c>
      <c r="AL14" s="8">
        <v>0</v>
      </c>
      <c r="AM14" s="8">
        <v>1</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f t="shared" si="1"/>
        <v>3</v>
      </c>
      <c r="BT14" s="8"/>
      <c r="BU14" s="2">
        <f t="shared" si="2"/>
        <v>0</v>
      </c>
      <c r="BV14" s="2">
        <f t="shared" si="3"/>
        <v>3</v>
      </c>
      <c r="BW14" s="2">
        <f t="shared" si="4"/>
        <v>0</v>
      </c>
      <c r="BX14" s="2">
        <f t="shared" si="5"/>
        <v>0</v>
      </c>
      <c r="BY14" s="2">
        <f t="shared" si="6"/>
        <v>0</v>
      </c>
      <c r="BZ14" s="2">
        <f t="shared" ref="BZ14:CA14" si="20">SUM(AQ14)</f>
        <v>0</v>
      </c>
      <c r="CA14" s="2">
        <f t="shared" si="20"/>
        <v>0</v>
      </c>
      <c r="CB14" s="2">
        <f t="shared" si="8"/>
        <v>0</v>
      </c>
    </row>
    <row r="15" spans="1:80" ht="15" customHeight="1" x14ac:dyDescent="0.2">
      <c r="A15" s="3" t="s">
        <v>50</v>
      </c>
      <c r="B15" s="4">
        <v>36</v>
      </c>
      <c r="C15" s="5">
        <v>1</v>
      </c>
      <c r="D15" s="5">
        <v>0</v>
      </c>
      <c r="E15" s="5">
        <v>1</v>
      </c>
      <c r="F15" s="6">
        <v>1975</v>
      </c>
      <c r="G15" s="6">
        <v>2020</v>
      </c>
      <c r="H15" s="7" t="str">
        <f t="shared" si="0"/>
        <v>Yes</v>
      </c>
      <c r="I15" s="54" t="s">
        <v>56</v>
      </c>
      <c r="J15" s="8">
        <v>3</v>
      </c>
      <c r="K15" s="8" t="s">
        <v>59</v>
      </c>
      <c r="L15" s="8" t="s">
        <v>52</v>
      </c>
      <c r="M15" s="8" t="s">
        <v>52</v>
      </c>
      <c r="N15" s="8">
        <v>0</v>
      </c>
      <c r="O15" s="8">
        <v>0</v>
      </c>
      <c r="P15" s="8">
        <v>1</v>
      </c>
      <c r="Q15" s="8" t="s">
        <v>60</v>
      </c>
      <c r="R15" s="9">
        <v>0.2</v>
      </c>
      <c r="S15" s="8">
        <v>1</v>
      </c>
      <c r="T15" s="8">
        <v>1</v>
      </c>
      <c r="U15" s="8">
        <v>1</v>
      </c>
      <c r="V15" s="8">
        <v>1</v>
      </c>
      <c r="W15" s="8">
        <v>1</v>
      </c>
      <c r="X15" s="8">
        <v>1</v>
      </c>
      <c r="Y15" s="8">
        <v>0</v>
      </c>
      <c r="Z15" s="8">
        <v>1</v>
      </c>
      <c r="AA15" s="8" t="s">
        <v>54</v>
      </c>
      <c r="AB15" s="8">
        <v>0</v>
      </c>
      <c r="AC15" s="8">
        <v>0</v>
      </c>
      <c r="AD15" s="8">
        <v>1</v>
      </c>
      <c r="AE15" s="8">
        <v>0</v>
      </c>
      <c r="AF15" s="8">
        <v>0</v>
      </c>
      <c r="AG15" s="8">
        <v>0</v>
      </c>
      <c r="AH15" s="8">
        <v>1</v>
      </c>
      <c r="AI15" s="8">
        <v>1</v>
      </c>
      <c r="AJ15" s="8">
        <v>1</v>
      </c>
      <c r="AK15" s="8">
        <v>1</v>
      </c>
      <c r="AL15" s="8">
        <v>1</v>
      </c>
      <c r="AM15" s="8">
        <v>1</v>
      </c>
      <c r="AN15" s="8">
        <v>1</v>
      </c>
      <c r="AO15" s="8">
        <v>0</v>
      </c>
      <c r="AP15" s="8">
        <v>0</v>
      </c>
      <c r="AQ15" s="8">
        <v>0</v>
      </c>
      <c r="AR15" s="8">
        <v>0</v>
      </c>
      <c r="AS15" s="8">
        <v>0</v>
      </c>
      <c r="AT15" s="8">
        <v>1</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1</v>
      </c>
      <c r="BL15" s="8">
        <v>0</v>
      </c>
      <c r="BM15" s="8">
        <v>0</v>
      </c>
      <c r="BN15" s="8">
        <v>0</v>
      </c>
      <c r="BO15" s="8">
        <v>1</v>
      </c>
      <c r="BP15" s="8">
        <v>0</v>
      </c>
      <c r="BQ15" s="8">
        <v>0</v>
      </c>
      <c r="BR15" s="8">
        <v>0</v>
      </c>
      <c r="BS15" s="8">
        <f t="shared" si="1"/>
        <v>9</v>
      </c>
      <c r="BT15" s="8"/>
      <c r="BU15" s="2">
        <f t="shared" si="2"/>
        <v>2</v>
      </c>
      <c r="BV15" s="2">
        <f t="shared" si="3"/>
        <v>5</v>
      </c>
      <c r="BW15" s="2">
        <f t="shared" si="4"/>
        <v>1</v>
      </c>
      <c r="BX15" s="2">
        <f t="shared" si="5"/>
        <v>0</v>
      </c>
      <c r="BY15" s="2">
        <f t="shared" si="6"/>
        <v>0</v>
      </c>
      <c r="BZ15" s="2">
        <f t="shared" ref="BZ15:CA15" si="21">SUM(AQ15)</f>
        <v>0</v>
      </c>
      <c r="CA15" s="2">
        <f t="shared" si="21"/>
        <v>0</v>
      </c>
      <c r="CB15" s="2">
        <f t="shared" si="8"/>
        <v>1</v>
      </c>
    </row>
    <row r="16" spans="1:80" ht="15" customHeight="1" x14ac:dyDescent="0.2">
      <c r="A16" s="3" t="s">
        <v>50</v>
      </c>
      <c r="B16" s="10">
        <v>36</v>
      </c>
      <c r="C16" s="5">
        <v>1</v>
      </c>
      <c r="D16" s="5">
        <v>0</v>
      </c>
      <c r="E16" s="5">
        <v>1</v>
      </c>
      <c r="F16" s="6">
        <v>1975</v>
      </c>
      <c r="G16" s="6">
        <v>2021</v>
      </c>
      <c r="H16" s="7" t="str">
        <f t="shared" si="0"/>
        <v>No</v>
      </c>
      <c r="I16" s="54" t="s">
        <v>57</v>
      </c>
      <c r="J16" s="8">
        <v>3</v>
      </c>
      <c r="K16" s="8" t="s">
        <v>59</v>
      </c>
      <c r="L16" s="8" t="s">
        <v>52</v>
      </c>
      <c r="M16" s="8" t="s">
        <v>52</v>
      </c>
      <c r="N16" s="8">
        <v>1</v>
      </c>
      <c r="O16" s="8">
        <v>1</v>
      </c>
      <c r="P16" s="8">
        <v>1</v>
      </c>
      <c r="Q16" s="8" t="s">
        <v>61</v>
      </c>
      <c r="R16" s="9">
        <v>0.2</v>
      </c>
      <c r="S16" s="8">
        <v>1</v>
      </c>
      <c r="T16" s="8">
        <v>1</v>
      </c>
      <c r="U16" s="8">
        <v>1</v>
      </c>
      <c r="V16" s="8">
        <v>1</v>
      </c>
      <c r="W16" s="8">
        <v>1</v>
      </c>
      <c r="X16" s="8">
        <v>1</v>
      </c>
      <c r="Y16" s="8">
        <v>0</v>
      </c>
      <c r="Z16" s="8">
        <v>1</v>
      </c>
      <c r="AA16" s="8" t="s">
        <v>54</v>
      </c>
      <c r="AB16" s="8">
        <v>0</v>
      </c>
      <c r="AC16" s="8">
        <v>0</v>
      </c>
      <c r="AD16" s="8">
        <v>1</v>
      </c>
      <c r="AE16" s="8">
        <v>0</v>
      </c>
      <c r="AF16" s="8">
        <v>0</v>
      </c>
      <c r="AG16" s="8">
        <v>0</v>
      </c>
      <c r="AH16" s="8">
        <v>0</v>
      </c>
      <c r="AI16" s="8">
        <v>1</v>
      </c>
      <c r="AJ16" s="8">
        <v>1</v>
      </c>
      <c r="AK16" s="8">
        <v>1</v>
      </c>
      <c r="AL16" s="8">
        <v>1</v>
      </c>
      <c r="AM16" s="8">
        <v>1</v>
      </c>
      <c r="AN16" s="8">
        <v>1</v>
      </c>
      <c r="AO16" s="8">
        <v>0</v>
      </c>
      <c r="AP16" s="8">
        <v>0</v>
      </c>
      <c r="AQ16" s="8">
        <v>0</v>
      </c>
      <c r="AR16" s="8">
        <v>0</v>
      </c>
      <c r="AS16" s="8">
        <v>0</v>
      </c>
      <c r="AT16" s="8">
        <v>1</v>
      </c>
      <c r="AU16" s="8">
        <v>0</v>
      </c>
      <c r="AV16" s="8">
        <v>0</v>
      </c>
      <c r="AW16" s="8">
        <v>0</v>
      </c>
      <c r="AX16" s="8">
        <v>0</v>
      </c>
      <c r="AY16" s="8">
        <v>0</v>
      </c>
      <c r="AZ16" s="8">
        <v>0</v>
      </c>
      <c r="BA16" s="8">
        <v>0</v>
      </c>
      <c r="BB16" s="8">
        <v>0</v>
      </c>
      <c r="BC16" s="8">
        <v>0</v>
      </c>
      <c r="BD16" s="8">
        <v>0</v>
      </c>
      <c r="BE16" s="8">
        <v>0</v>
      </c>
      <c r="BF16" s="8">
        <v>0</v>
      </c>
      <c r="BG16" s="8">
        <v>0</v>
      </c>
      <c r="BH16" s="8">
        <v>0</v>
      </c>
      <c r="BI16" s="8">
        <v>0</v>
      </c>
      <c r="BJ16" s="8">
        <v>0</v>
      </c>
      <c r="BK16" s="8">
        <v>1</v>
      </c>
      <c r="BL16" s="8">
        <v>0</v>
      </c>
      <c r="BM16" s="8">
        <v>0</v>
      </c>
      <c r="BN16" s="8">
        <v>0</v>
      </c>
      <c r="BO16" s="8">
        <v>1</v>
      </c>
      <c r="BP16" s="8">
        <v>0</v>
      </c>
      <c r="BQ16" s="8">
        <v>0</v>
      </c>
      <c r="BR16" s="8">
        <v>0</v>
      </c>
      <c r="BS16" s="8">
        <f t="shared" si="1"/>
        <v>9</v>
      </c>
      <c r="BT16" s="8"/>
      <c r="BU16" s="2">
        <f t="shared" si="2"/>
        <v>2</v>
      </c>
      <c r="BV16" s="2">
        <f t="shared" si="3"/>
        <v>5</v>
      </c>
      <c r="BW16" s="2">
        <f t="shared" si="4"/>
        <v>1</v>
      </c>
      <c r="BX16" s="2">
        <f t="shared" si="5"/>
        <v>0</v>
      </c>
      <c r="BY16" s="2">
        <f t="shared" si="6"/>
        <v>0</v>
      </c>
      <c r="BZ16" s="2">
        <f t="shared" ref="BZ16:CA16" si="22">SUM(AQ16)</f>
        <v>0</v>
      </c>
      <c r="CA16" s="2">
        <f t="shared" si="22"/>
        <v>0</v>
      </c>
      <c r="CB16" s="2">
        <f t="shared" si="8"/>
        <v>1</v>
      </c>
    </row>
    <row r="17" spans="1:80" ht="16" x14ac:dyDescent="0.2">
      <c r="A17" s="3" t="s">
        <v>50</v>
      </c>
      <c r="B17" s="10">
        <v>36</v>
      </c>
      <c r="C17" s="5">
        <v>1</v>
      </c>
      <c r="D17" s="5">
        <v>0</v>
      </c>
      <c r="E17" s="5">
        <v>1</v>
      </c>
      <c r="F17" s="6">
        <v>1975</v>
      </c>
      <c r="G17" s="6">
        <v>2022</v>
      </c>
      <c r="H17" s="7" t="str">
        <f t="shared" si="0"/>
        <v>No</v>
      </c>
      <c r="I17" s="54" t="s">
        <v>55</v>
      </c>
      <c r="J17" s="8">
        <v>3</v>
      </c>
      <c r="K17" s="8" t="s">
        <v>59</v>
      </c>
      <c r="L17" s="8" t="s">
        <v>52</v>
      </c>
      <c r="M17" s="8" t="s">
        <v>52</v>
      </c>
      <c r="N17" s="8">
        <v>1</v>
      </c>
      <c r="O17" s="8">
        <v>1</v>
      </c>
      <c r="P17" s="8">
        <v>1</v>
      </c>
      <c r="Q17" s="8" t="s">
        <v>61</v>
      </c>
      <c r="R17" s="9">
        <v>0.1</v>
      </c>
      <c r="S17" s="8">
        <v>1</v>
      </c>
      <c r="T17" s="8">
        <v>1</v>
      </c>
      <c r="U17" s="8">
        <v>1</v>
      </c>
      <c r="V17" s="8">
        <v>1</v>
      </c>
      <c r="W17" s="8">
        <v>1</v>
      </c>
      <c r="X17" s="8">
        <v>1</v>
      </c>
      <c r="Y17" s="8">
        <v>0</v>
      </c>
      <c r="Z17" s="8">
        <v>1</v>
      </c>
      <c r="AA17" s="8" t="s">
        <v>54</v>
      </c>
      <c r="AB17" s="8">
        <v>0</v>
      </c>
      <c r="AC17" s="8">
        <v>0</v>
      </c>
      <c r="AD17" s="8">
        <v>1</v>
      </c>
      <c r="AE17" s="8">
        <v>0</v>
      </c>
      <c r="AF17" s="8">
        <v>0</v>
      </c>
      <c r="AG17" s="8">
        <v>0</v>
      </c>
      <c r="AH17" s="8">
        <v>0</v>
      </c>
      <c r="AI17" s="8">
        <v>1</v>
      </c>
      <c r="AJ17" s="8">
        <v>1</v>
      </c>
      <c r="AK17" s="8">
        <v>1</v>
      </c>
      <c r="AL17" s="8">
        <v>1</v>
      </c>
      <c r="AM17" s="8">
        <v>1</v>
      </c>
      <c r="AN17" s="8">
        <v>1</v>
      </c>
      <c r="AO17" s="8">
        <v>0</v>
      </c>
      <c r="AP17" s="8">
        <v>1</v>
      </c>
      <c r="AQ17" s="8">
        <v>1</v>
      </c>
      <c r="AR17" s="8">
        <v>1</v>
      </c>
      <c r="AS17" s="8">
        <v>0</v>
      </c>
      <c r="AT17" s="8">
        <v>1</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1</v>
      </c>
      <c r="BL17" s="8">
        <v>1</v>
      </c>
      <c r="BM17" s="8">
        <v>0</v>
      </c>
      <c r="BN17" s="8">
        <v>0</v>
      </c>
      <c r="BO17" s="8">
        <v>1</v>
      </c>
      <c r="BP17" s="8">
        <v>0</v>
      </c>
      <c r="BQ17" s="8">
        <v>0</v>
      </c>
      <c r="BR17" s="8">
        <v>0</v>
      </c>
      <c r="BS17" s="8">
        <f t="shared" si="1"/>
        <v>13</v>
      </c>
      <c r="BT17" s="8"/>
      <c r="BU17" s="2">
        <f t="shared" si="2"/>
        <v>2</v>
      </c>
      <c r="BV17" s="2">
        <f t="shared" si="3"/>
        <v>7</v>
      </c>
      <c r="BW17" s="2">
        <f t="shared" si="4"/>
        <v>1</v>
      </c>
      <c r="BX17" s="2">
        <f t="shared" si="5"/>
        <v>0</v>
      </c>
      <c r="BY17" s="2">
        <f t="shared" si="6"/>
        <v>0</v>
      </c>
      <c r="BZ17" s="2">
        <f t="shared" ref="BZ17:CA17" si="23">SUM(AQ17)</f>
        <v>1</v>
      </c>
      <c r="CA17" s="2">
        <f t="shared" si="23"/>
        <v>1</v>
      </c>
      <c r="CB17" s="2">
        <f t="shared" si="8"/>
        <v>1</v>
      </c>
    </row>
    <row r="18" spans="1:80" ht="16" x14ac:dyDescent="0.2">
      <c r="A18" s="3" t="s">
        <v>50</v>
      </c>
      <c r="B18" s="10">
        <v>36</v>
      </c>
      <c r="C18" s="5">
        <v>1</v>
      </c>
      <c r="D18" s="5">
        <v>0</v>
      </c>
      <c r="E18" s="5">
        <v>1</v>
      </c>
      <c r="F18" s="6">
        <v>1975</v>
      </c>
      <c r="G18" s="6">
        <v>2023</v>
      </c>
      <c r="H18" s="7" t="str">
        <f t="shared" si="0"/>
        <v>No</v>
      </c>
      <c r="I18" s="54" t="s">
        <v>55</v>
      </c>
      <c r="J18" s="8">
        <v>3</v>
      </c>
      <c r="K18" s="8" t="s">
        <v>59</v>
      </c>
      <c r="L18" s="8" t="s">
        <v>52</v>
      </c>
      <c r="M18" s="8" t="s">
        <v>52</v>
      </c>
      <c r="N18" s="8">
        <v>1</v>
      </c>
      <c r="O18" s="8">
        <v>1</v>
      </c>
      <c r="P18" s="8">
        <v>1</v>
      </c>
      <c r="Q18" s="8" t="s">
        <v>61</v>
      </c>
      <c r="R18" s="9">
        <v>0.1</v>
      </c>
      <c r="S18" s="8">
        <v>1</v>
      </c>
      <c r="T18" s="8">
        <v>1</v>
      </c>
      <c r="U18" s="8">
        <v>1</v>
      </c>
      <c r="V18" s="8">
        <v>1</v>
      </c>
      <c r="W18" s="8">
        <v>1</v>
      </c>
      <c r="X18" s="8">
        <v>1</v>
      </c>
      <c r="Y18" s="8">
        <v>0</v>
      </c>
      <c r="Z18" s="8">
        <v>1</v>
      </c>
      <c r="AA18" s="8" t="s">
        <v>54</v>
      </c>
      <c r="AB18" s="8">
        <v>0</v>
      </c>
      <c r="AC18" s="8">
        <v>0</v>
      </c>
      <c r="AD18" s="8">
        <v>1</v>
      </c>
      <c r="AE18" s="8">
        <v>0</v>
      </c>
      <c r="AF18" s="8">
        <v>0</v>
      </c>
      <c r="AG18" s="8">
        <v>0</v>
      </c>
      <c r="AH18" s="8">
        <v>0</v>
      </c>
      <c r="AI18" s="8">
        <v>1</v>
      </c>
      <c r="AJ18" s="8">
        <v>1</v>
      </c>
      <c r="AK18" s="8">
        <v>1</v>
      </c>
      <c r="AL18" s="8">
        <v>1</v>
      </c>
      <c r="AM18" s="8">
        <v>1</v>
      </c>
      <c r="AN18" s="8">
        <v>1</v>
      </c>
      <c r="AO18" s="8">
        <v>0</v>
      </c>
      <c r="AP18" s="8">
        <v>1</v>
      </c>
      <c r="AQ18" s="8">
        <v>1</v>
      </c>
      <c r="AR18" s="8">
        <v>1</v>
      </c>
      <c r="AS18" s="8">
        <v>0</v>
      </c>
      <c r="AT18" s="8">
        <v>1</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1</v>
      </c>
      <c r="BL18" s="8">
        <v>1</v>
      </c>
      <c r="BM18" s="8">
        <v>0</v>
      </c>
      <c r="BN18" s="8">
        <v>0</v>
      </c>
      <c r="BO18" s="8">
        <v>1</v>
      </c>
      <c r="BP18" s="8">
        <v>0</v>
      </c>
      <c r="BQ18" s="8">
        <v>0</v>
      </c>
      <c r="BR18" s="8">
        <v>0</v>
      </c>
      <c r="BS18" s="8">
        <f t="shared" ref="BS18" si="24">SUM(AI18:BR18)</f>
        <v>13</v>
      </c>
      <c r="BT18" s="8"/>
      <c r="BU18" s="2">
        <f t="shared" ref="BU18" si="25">SUM(AI18,BK18)</f>
        <v>2</v>
      </c>
      <c r="BV18" s="2">
        <f t="shared" ref="BV18" si="26">SUM(AK18, AL18, AM18,AJ18,BL18,BO18, AP18)</f>
        <v>7</v>
      </c>
      <c r="BW18" s="2">
        <f t="shared" ref="BW18" si="27">SUM(AN18, AO18, AS18)</f>
        <v>1</v>
      </c>
      <c r="BX18" s="2">
        <f t="shared" ref="BX18" si="28">SUM(AU18,AV18,AW18,AX18,AY18,AZ18,BA18,BB18,BC18,BD18,BE18,BF18,BG18,BH18,BI18,BJ18,BQ18,BR18,BM18)</f>
        <v>0</v>
      </c>
      <c r="BY18" s="2">
        <f t="shared" ref="BY18" si="29">SUM(BP18, BN18)</f>
        <v>0</v>
      </c>
      <c r="BZ18" s="2">
        <f t="shared" ref="BZ18" si="30">SUM(AQ18)</f>
        <v>1</v>
      </c>
      <c r="CA18" s="2">
        <f t="shared" ref="CA18" si="31">SUM(AR18)</f>
        <v>1</v>
      </c>
      <c r="CB18" s="2">
        <f t="shared" ref="CB18" si="32">SUM(AT18)</f>
        <v>1</v>
      </c>
    </row>
    <row r="19" spans="1:80" ht="16" x14ac:dyDescent="0.2">
      <c r="A19" s="3" t="s">
        <v>62</v>
      </c>
      <c r="B19" s="4">
        <v>40</v>
      </c>
      <c r="C19" s="5">
        <v>1</v>
      </c>
      <c r="D19" s="5">
        <v>1</v>
      </c>
      <c r="E19" s="5">
        <v>0</v>
      </c>
      <c r="F19" s="10">
        <v>2011</v>
      </c>
      <c r="G19" s="10">
        <v>2007</v>
      </c>
      <c r="H19" s="7" t="str">
        <f t="shared" si="0"/>
        <v>No</v>
      </c>
      <c r="I19" s="54" t="s">
        <v>55</v>
      </c>
      <c r="J19" s="8">
        <v>0</v>
      </c>
      <c r="K19" s="8"/>
      <c r="L19" s="8"/>
      <c r="M19" s="8"/>
      <c r="N19" s="8"/>
      <c r="O19" s="8"/>
      <c r="P19" s="8"/>
      <c r="Q19" s="8"/>
      <c r="R19" s="6"/>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v>0</v>
      </c>
      <c r="BT19" s="8"/>
      <c r="BU19" s="2">
        <f t="shared" si="2"/>
        <v>0</v>
      </c>
      <c r="BV19" s="2">
        <f t="shared" si="3"/>
        <v>0</v>
      </c>
      <c r="BW19" s="2">
        <f t="shared" si="4"/>
        <v>0</v>
      </c>
      <c r="BX19" s="2">
        <f t="shared" si="5"/>
        <v>0</v>
      </c>
      <c r="BY19" s="2">
        <f t="shared" si="6"/>
        <v>0</v>
      </c>
      <c r="BZ19" s="2">
        <f t="shared" ref="BZ19:CA19" si="33">SUM(AQ19)</f>
        <v>0</v>
      </c>
      <c r="CA19" s="2">
        <f t="shared" si="33"/>
        <v>0</v>
      </c>
      <c r="CB19" s="2">
        <f t="shared" si="8"/>
        <v>0</v>
      </c>
    </row>
    <row r="20" spans="1:80" ht="16" x14ac:dyDescent="0.2">
      <c r="A20" s="3" t="s">
        <v>62</v>
      </c>
      <c r="B20" s="4">
        <v>40</v>
      </c>
      <c r="C20" s="5">
        <v>1</v>
      </c>
      <c r="D20" s="5">
        <v>1</v>
      </c>
      <c r="E20" s="5">
        <v>0</v>
      </c>
      <c r="F20" s="10">
        <v>2011</v>
      </c>
      <c r="G20" s="10">
        <v>2008</v>
      </c>
      <c r="H20" s="7" t="str">
        <f t="shared" si="0"/>
        <v>No</v>
      </c>
      <c r="I20" s="54" t="s">
        <v>55</v>
      </c>
      <c r="J20" s="8">
        <v>0</v>
      </c>
      <c r="K20" s="8"/>
      <c r="L20" s="8"/>
      <c r="M20" s="8"/>
      <c r="N20" s="8"/>
      <c r="O20" s="8"/>
      <c r="P20" s="8"/>
      <c r="Q20" s="8"/>
      <c r="R20" s="6"/>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v>0</v>
      </c>
      <c r="BT20" s="8"/>
      <c r="BU20" s="2">
        <f t="shared" si="2"/>
        <v>0</v>
      </c>
      <c r="BV20" s="2">
        <f t="shared" si="3"/>
        <v>0</v>
      </c>
      <c r="BW20" s="2">
        <f t="shared" si="4"/>
        <v>0</v>
      </c>
      <c r="BX20" s="2">
        <f t="shared" si="5"/>
        <v>0</v>
      </c>
      <c r="BY20" s="2">
        <f t="shared" si="6"/>
        <v>0</v>
      </c>
      <c r="BZ20" s="2">
        <f t="shared" ref="BZ20:CA20" si="34">SUM(AQ20)</f>
        <v>0</v>
      </c>
      <c r="CA20" s="2">
        <f t="shared" si="34"/>
        <v>0</v>
      </c>
      <c r="CB20" s="2">
        <f t="shared" si="8"/>
        <v>0</v>
      </c>
    </row>
    <row r="21" spans="1:80" ht="16" x14ac:dyDescent="0.2">
      <c r="A21" s="3" t="s">
        <v>62</v>
      </c>
      <c r="B21" s="4">
        <v>40</v>
      </c>
      <c r="C21" s="5">
        <v>1</v>
      </c>
      <c r="D21" s="5">
        <v>1</v>
      </c>
      <c r="E21" s="5">
        <v>0</v>
      </c>
      <c r="F21" s="10">
        <v>2011</v>
      </c>
      <c r="G21" s="10">
        <v>2009</v>
      </c>
      <c r="H21" s="7" t="str">
        <f t="shared" si="0"/>
        <v>No</v>
      </c>
      <c r="I21" s="54" t="s">
        <v>55</v>
      </c>
      <c r="J21" s="8">
        <v>0</v>
      </c>
      <c r="K21" s="8"/>
      <c r="L21" s="8"/>
      <c r="M21" s="8"/>
      <c r="N21" s="8"/>
      <c r="O21" s="8"/>
      <c r="P21" s="8"/>
      <c r="Q21" s="8"/>
      <c r="R21" s="6"/>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v>0</v>
      </c>
      <c r="BT21" s="8"/>
      <c r="BU21" s="2">
        <f t="shared" si="2"/>
        <v>0</v>
      </c>
      <c r="BV21" s="2">
        <f t="shared" si="3"/>
        <v>0</v>
      </c>
      <c r="BW21" s="2">
        <f t="shared" si="4"/>
        <v>0</v>
      </c>
      <c r="BX21" s="2">
        <f t="shared" si="5"/>
        <v>0</v>
      </c>
      <c r="BY21" s="2">
        <f t="shared" si="6"/>
        <v>0</v>
      </c>
      <c r="BZ21" s="2">
        <f t="shared" ref="BZ21:CA21" si="35">SUM(AQ21)</f>
        <v>0</v>
      </c>
      <c r="CA21" s="2">
        <f t="shared" si="35"/>
        <v>0</v>
      </c>
      <c r="CB21" s="2">
        <f t="shared" si="8"/>
        <v>0</v>
      </c>
    </row>
    <row r="22" spans="1:80" ht="16" x14ac:dyDescent="0.2">
      <c r="A22" s="3" t="s">
        <v>62</v>
      </c>
      <c r="B22" s="4">
        <v>40</v>
      </c>
      <c r="C22" s="5">
        <v>1</v>
      </c>
      <c r="D22" s="5">
        <v>1</v>
      </c>
      <c r="E22" s="5">
        <v>0</v>
      </c>
      <c r="F22" s="10">
        <v>2011</v>
      </c>
      <c r="G22" s="10">
        <v>2010</v>
      </c>
      <c r="H22" s="7" t="str">
        <f t="shared" si="0"/>
        <v>No</v>
      </c>
      <c r="I22" s="54" t="s">
        <v>55</v>
      </c>
      <c r="J22" s="8">
        <v>0</v>
      </c>
      <c r="K22" s="8"/>
      <c r="L22" s="8"/>
      <c r="M22" s="8"/>
      <c r="N22" s="8"/>
      <c r="O22" s="8"/>
      <c r="P22" s="8"/>
      <c r="Q22" s="8"/>
      <c r="R22" s="6"/>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v>0</v>
      </c>
      <c r="BT22" s="8"/>
      <c r="BU22" s="2">
        <f t="shared" si="2"/>
        <v>0</v>
      </c>
      <c r="BV22" s="2">
        <f t="shared" si="3"/>
        <v>0</v>
      </c>
      <c r="BW22" s="2">
        <f t="shared" si="4"/>
        <v>0</v>
      </c>
      <c r="BX22" s="2">
        <f t="shared" si="5"/>
        <v>0</v>
      </c>
      <c r="BY22" s="2">
        <f t="shared" si="6"/>
        <v>0</v>
      </c>
      <c r="BZ22" s="2">
        <f t="shared" ref="BZ22:CA22" si="36">SUM(AQ22)</f>
        <v>0</v>
      </c>
      <c r="CA22" s="2">
        <f t="shared" si="36"/>
        <v>0</v>
      </c>
      <c r="CB22" s="2">
        <f t="shared" si="8"/>
        <v>0</v>
      </c>
    </row>
    <row r="23" spans="1:80" ht="16" x14ac:dyDescent="0.2">
      <c r="A23" s="3" t="s">
        <v>62</v>
      </c>
      <c r="B23" s="4">
        <v>40</v>
      </c>
      <c r="C23" s="5">
        <v>1</v>
      </c>
      <c r="D23" s="5">
        <v>1</v>
      </c>
      <c r="E23" s="5">
        <v>0</v>
      </c>
      <c r="F23" s="10">
        <v>2011</v>
      </c>
      <c r="G23" s="6">
        <v>2011</v>
      </c>
      <c r="H23" s="7" t="str">
        <f t="shared" si="0"/>
        <v>Yes</v>
      </c>
      <c r="I23" s="54" t="s">
        <v>56</v>
      </c>
      <c r="J23" s="8">
        <v>1</v>
      </c>
      <c r="K23" s="8" t="s">
        <v>63</v>
      </c>
      <c r="L23" s="8" t="s">
        <v>64</v>
      </c>
      <c r="M23" s="8" t="s">
        <v>64</v>
      </c>
      <c r="N23" s="8">
        <v>0</v>
      </c>
      <c r="O23" s="8">
        <v>0</v>
      </c>
      <c r="P23" s="8">
        <v>0</v>
      </c>
      <c r="Q23" s="8" t="s">
        <v>65</v>
      </c>
      <c r="R23" s="9">
        <v>0.25</v>
      </c>
      <c r="S23" s="8">
        <v>0</v>
      </c>
      <c r="T23" s="8">
        <v>0</v>
      </c>
      <c r="U23" s="8">
        <v>0</v>
      </c>
      <c r="V23" s="8">
        <v>0</v>
      </c>
      <c r="W23" s="8">
        <v>1</v>
      </c>
      <c r="X23" s="8">
        <v>0</v>
      </c>
      <c r="Y23" s="8">
        <v>0</v>
      </c>
      <c r="Z23" s="8">
        <v>0</v>
      </c>
      <c r="AA23" s="8" t="s">
        <v>66</v>
      </c>
      <c r="AB23" s="8">
        <v>0</v>
      </c>
      <c r="AC23" s="8">
        <v>0</v>
      </c>
      <c r="AD23" s="8">
        <v>0</v>
      </c>
      <c r="AE23" s="8">
        <v>0</v>
      </c>
      <c r="AF23" s="8">
        <v>0</v>
      </c>
      <c r="AG23" s="8">
        <v>0</v>
      </c>
      <c r="AH23" s="8">
        <v>0</v>
      </c>
      <c r="AI23" s="8">
        <v>1</v>
      </c>
      <c r="AJ23" s="8">
        <v>1</v>
      </c>
      <c r="AK23" s="8">
        <v>1</v>
      </c>
      <c r="AL23" s="8">
        <v>1</v>
      </c>
      <c r="AM23" s="8">
        <v>1</v>
      </c>
      <c r="AN23" s="8">
        <v>1</v>
      </c>
      <c r="AO23" s="8">
        <v>1</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f t="shared" ref="BS23:BS34" si="37">SUM(AI23:BR23)</f>
        <v>7</v>
      </c>
      <c r="BT23" s="11"/>
      <c r="BU23" s="2">
        <f t="shared" si="2"/>
        <v>1</v>
      </c>
      <c r="BV23" s="2">
        <f t="shared" si="3"/>
        <v>4</v>
      </c>
      <c r="BW23" s="2">
        <f t="shared" si="4"/>
        <v>2</v>
      </c>
      <c r="BX23" s="2">
        <f t="shared" si="5"/>
        <v>0</v>
      </c>
      <c r="BY23" s="2">
        <f t="shared" si="6"/>
        <v>0</v>
      </c>
      <c r="BZ23" s="2">
        <f t="shared" ref="BZ23:CA23" si="38">SUM(AQ23)</f>
        <v>0</v>
      </c>
      <c r="CA23" s="2">
        <f t="shared" si="38"/>
        <v>0</v>
      </c>
      <c r="CB23" s="2">
        <f t="shared" si="8"/>
        <v>0</v>
      </c>
    </row>
    <row r="24" spans="1:80" ht="16" x14ac:dyDescent="0.2">
      <c r="A24" s="3" t="s">
        <v>62</v>
      </c>
      <c r="B24" s="4">
        <v>40</v>
      </c>
      <c r="C24" s="5">
        <v>1</v>
      </c>
      <c r="D24" s="5">
        <v>1</v>
      </c>
      <c r="E24" s="5">
        <v>0</v>
      </c>
      <c r="F24" s="10">
        <v>2011</v>
      </c>
      <c r="G24" s="6">
        <v>2012</v>
      </c>
      <c r="H24" s="7" t="str">
        <f t="shared" si="0"/>
        <v>No</v>
      </c>
      <c r="I24" s="54" t="s">
        <v>55</v>
      </c>
      <c r="J24" s="8">
        <v>1</v>
      </c>
      <c r="K24" s="8" t="s">
        <v>63</v>
      </c>
      <c r="L24" s="8" t="s">
        <v>64</v>
      </c>
      <c r="M24" s="8" t="s">
        <v>64</v>
      </c>
      <c r="N24" s="8">
        <v>0</v>
      </c>
      <c r="O24" s="8">
        <v>0</v>
      </c>
      <c r="P24" s="8">
        <v>0</v>
      </c>
      <c r="Q24" s="8" t="s">
        <v>65</v>
      </c>
      <c r="R24" s="9">
        <v>0.25</v>
      </c>
      <c r="S24" s="8">
        <v>0</v>
      </c>
      <c r="T24" s="8">
        <v>0</v>
      </c>
      <c r="U24" s="8">
        <v>0</v>
      </c>
      <c r="V24" s="8">
        <v>0</v>
      </c>
      <c r="W24" s="8">
        <v>1</v>
      </c>
      <c r="X24" s="8">
        <v>0</v>
      </c>
      <c r="Y24" s="8">
        <v>0</v>
      </c>
      <c r="Z24" s="8">
        <v>0</v>
      </c>
      <c r="AA24" s="8" t="s">
        <v>66</v>
      </c>
      <c r="AB24" s="8">
        <v>0</v>
      </c>
      <c r="AC24" s="8">
        <v>0</v>
      </c>
      <c r="AD24" s="8">
        <v>0</v>
      </c>
      <c r="AE24" s="8">
        <v>0</v>
      </c>
      <c r="AF24" s="8">
        <v>0</v>
      </c>
      <c r="AG24" s="8">
        <v>0</v>
      </c>
      <c r="AH24" s="8">
        <v>0</v>
      </c>
      <c r="AI24" s="8">
        <v>1</v>
      </c>
      <c r="AJ24" s="8">
        <v>1</v>
      </c>
      <c r="AK24" s="8">
        <v>1</v>
      </c>
      <c r="AL24" s="8">
        <v>1</v>
      </c>
      <c r="AM24" s="8">
        <v>1</v>
      </c>
      <c r="AN24" s="8">
        <v>1</v>
      </c>
      <c r="AO24" s="8">
        <v>1</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f t="shared" si="37"/>
        <v>7</v>
      </c>
      <c r="BT24" s="8"/>
      <c r="BU24" s="2">
        <f t="shared" si="2"/>
        <v>1</v>
      </c>
      <c r="BV24" s="2">
        <f t="shared" si="3"/>
        <v>4</v>
      </c>
      <c r="BW24" s="2">
        <f t="shared" si="4"/>
        <v>2</v>
      </c>
      <c r="BX24" s="2">
        <f t="shared" si="5"/>
        <v>0</v>
      </c>
      <c r="BY24" s="2">
        <f t="shared" si="6"/>
        <v>0</v>
      </c>
      <c r="BZ24" s="2">
        <f t="shared" ref="BZ24:CA24" si="39">SUM(AQ24)</f>
        <v>0</v>
      </c>
      <c r="CA24" s="2">
        <f t="shared" si="39"/>
        <v>0</v>
      </c>
      <c r="CB24" s="2">
        <f t="shared" si="8"/>
        <v>0</v>
      </c>
    </row>
    <row r="25" spans="1:80" ht="16" x14ac:dyDescent="0.2">
      <c r="A25" s="3" t="s">
        <v>62</v>
      </c>
      <c r="B25" s="4">
        <v>40</v>
      </c>
      <c r="C25" s="5">
        <v>1</v>
      </c>
      <c r="D25" s="5">
        <v>1</v>
      </c>
      <c r="E25" s="5">
        <v>0</v>
      </c>
      <c r="F25" s="10">
        <v>2011</v>
      </c>
      <c r="G25" s="6">
        <v>2013</v>
      </c>
      <c r="H25" s="7" t="str">
        <f t="shared" si="0"/>
        <v>Yes</v>
      </c>
      <c r="I25" s="54" t="s">
        <v>56</v>
      </c>
      <c r="J25" s="8">
        <v>1</v>
      </c>
      <c r="K25" s="8" t="s">
        <v>63</v>
      </c>
      <c r="L25" s="8" t="s">
        <v>64</v>
      </c>
      <c r="M25" s="8" t="s">
        <v>64</v>
      </c>
      <c r="N25" s="8">
        <v>0</v>
      </c>
      <c r="O25" s="8">
        <v>0</v>
      </c>
      <c r="P25" s="8">
        <v>0</v>
      </c>
      <c r="Q25" s="8" t="s">
        <v>67</v>
      </c>
      <c r="R25" s="9">
        <v>0.25</v>
      </c>
      <c r="S25" s="8">
        <v>0</v>
      </c>
      <c r="T25" s="8">
        <v>0</v>
      </c>
      <c r="U25" s="8">
        <v>0</v>
      </c>
      <c r="V25" s="8">
        <v>0</v>
      </c>
      <c r="W25" s="8">
        <v>1</v>
      </c>
      <c r="X25" s="8">
        <v>0</v>
      </c>
      <c r="Y25" s="8">
        <v>0</v>
      </c>
      <c r="Z25" s="8">
        <v>0</v>
      </c>
      <c r="AA25" s="8" t="s">
        <v>66</v>
      </c>
      <c r="AB25" s="8">
        <v>0</v>
      </c>
      <c r="AC25" s="8">
        <v>0</v>
      </c>
      <c r="AD25" s="8">
        <v>0</v>
      </c>
      <c r="AE25" s="8">
        <v>0</v>
      </c>
      <c r="AF25" s="8">
        <v>0</v>
      </c>
      <c r="AG25" s="8">
        <v>0</v>
      </c>
      <c r="AH25" s="8">
        <v>0</v>
      </c>
      <c r="AI25" s="8">
        <v>1</v>
      </c>
      <c r="AJ25" s="8">
        <v>1</v>
      </c>
      <c r="AK25" s="8">
        <v>1</v>
      </c>
      <c r="AL25" s="8">
        <v>1</v>
      </c>
      <c r="AM25" s="8">
        <v>1</v>
      </c>
      <c r="AN25" s="8">
        <v>1</v>
      </c>
      <c r="AO25" s="8">
        <v>1</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f t="shared" si="37"/>
        <v>7</v>
      </c>
      <c r="BT25" s="8"/>
      <c r="BU25" s="2">
        <f t="shared" si="2"/>
        <v>1</v>
      </c>
      <c r="BV25" s="2">
        <f t="shared" si="3"/>
        <v>4</v>
      </c>
      <c r="BW25" s="2">
        <f t="shared" si="4"/>
        <v>2</v>
      </c>
      <c r="BX25" s="2">
        <f t="shared" si="5"/>
        <v>0</v>
      </c>
      <c r="BY25" s="2">
        <f t="shared" si="6"/>
        <v>0</v>
      </c>
      <c r="BZ25" s="2">
        <f t="shared" ref="BZ25:CA25" si="40">SUM(AQ25)</f>
        <v>0</v>
      </c>
      <c r="CA25" s="2">
        <f t="shared" si="40"/>
        <v>0</v>
      </c>
      <c r="CB25" s="2">
        <f t="shared" si="8"/>
        <v>0</v>
      </c>
    </row>
    <row r="26" spans="1:80" ht="16" x14ac:dyDescent="0.2">
      <c r="A26" s="3" t="s">
        <v>62</v>
      </c>
      <c r="B26" s="4">
        <v>40</v>
      </c>
      <c r="C26" s="5">
        <v>1</v>
      </c>
      <c r="D26" s="5">
        <v>1</v>
      </c>
      <c r="E26" s="5">
        <v>0</v>
      </c>
      <c r="F26" s="10">
        <v>2011</v>
      </c>
      <c r="G26" s="6">
        <v>2014</v>
      </c>
      <c r="H26" s="7" t="str">
        <f t="shared" si="0"/>
        <v>No</v>
      </c>
      <c r="I26" s="54" t="s">
        <v>55</v>
      </c>
      <c r="J26" s="8">
        <v>1</v>
      </c>
      <c r="K26" s="8" t="s">
        <v>63</v>
      </c>
      <c r="L26" s="8" t="s">
        <v>64</v>
      </c>
      <c r="M26" s="8" t="s">
        <v>64</v>
      </c>
      <c r="N26" s="8">
        <v>0</v>
      </c>
      <c r="O26" s="8">
        <v>0</v>
      </c>
      <c r="P26" s="8">
        <v>0</v>
      </c>
      <c r="Q26" s="8" t="s">
        <v>67</v>
      </c>
      <c r="R26" s="9">
        <v>0.25</v>
      </c>
      <c r="S26" s="8">
        <v>0</v>
      </c>
      <c r="T26" s="8">
        <v>0</v>
      </c>
      <c r="U26" s="8">
        <v>0</v>
      </c>
      <c r="V26" s="8">
        <v>0</v>
      </c>
      <c r="W26" s="8">
        <v>1</v>
      </c>
      <c r="X26" s="8">
        <v>0</v>
      </c>
      <c r="Y26" s="8">
        <v>0</v>
      </c>
      <c r="Z26" s="8">
        <v>0</v>
      </c>
      <c r="AA26" s="8" t="s">
        <v>66</v>
      </c>
      <c r="AB26" s="8">
        <v>0</v>
      </c>
      <c r="AC26" s="8">
        <v>0</v>
      </c>
      <c r="AD26" s="8">
        <v>0</v>
      </c>
      <c r="AE26" s="8">
        <v>0</v>
      </c>
      <c r="AF26" s="8">
        <v>0</v>
      </c>
      <c r="AG26" s="8">
        <v>0</v>
      </c>
      <c r="AH26" s="8">
        <v>0</v>
      </c>
      <c r="AI26" s="8">
        <v>1</v>
      </c>
      <c r="AJ26" s="8">
        <v>1</v>
      </c>
      <c r="AK26" s="8">
        <v>1</v>
      </c>
      <c r="AL26" s="8">
        <v>1</v>
      </c>
      <c r="AM26" s="8">
        <v>1</v>
      </c>
      <c r="AN26" s="8">
        <v>1</v>
      </c>
      <c r="AO26" s="8">
        <v>1</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f t="shared" si="37"/>
        <v>7</v>
      </c>
      <c r="BT26" s="8"/>
      <c r="BU26" s="2">
        <f t="shared" si="2"/>
        <v>1</v>
      </c>
      <c r="BV26" s="2">
        <f t="shared" si="3"/>
        <v>4</v>
      </c>
      <c r="BW26" s="2">
        <f t="shared" si="4"/>
        <v>2</v>
      </c>
      <c r="BX26" s="2">
        <f t="shared" si="5"/>
        <v>0</v>
      </c>
      <c r="BY26" s="2">
        <f t="shared" si="6"/>
        <v>0</v>
      </c>
      <c r="BZ26" s="2">
        <f t="shared" ref="BZ26:CA26" si="41">SUM(AQ26)</f>
        <v>0</v>
      </c>
      <c r="CA26" s="2">
        <f t="shared" si="41"/>
        <v>0</v>
      </c>
      <c r="CB26" s="2">
        <f t="shared" si="8"/>
        <v>0</v>
      </c>
    </row>
    <row r="27" spans="1:80" ht="16" x14ac:dyDescent="0.2">
      <c r="A27" s="3" t="s">
        <v>62</v>
      </c>
      <c r="B27" s="4">
        <v>40</v>
      </c>
      <c r="C27" s="5">
        <v>1</v>
      </c>
      <c r="D27" s="5">
        <v>1</v>
      </c>
      <c r="E27" s="5">
        <v>0</v>
      </c>
      <c r="F27" s="10">
        <v>2011</v>
      </c>
      <c r="G27" s="6">
        <v>2015</v>
      </c>
      <c r="H27" s="7" t="str">
        <f t="shared" si="0"/>
        <v>No</v>
      </c>
      <c r="I27" s="54" t="s">
        <v>55</v>
      </c>
      <c r="J27" s="8">
        <v>1</v>
      </c>
      <c r="K27" s="8" t="s">
        <v>63</v>
      </c>
      <c r="L27" s="8" t="s">
        <v>64</v>
      </c>
      <c r="M27" s="8" t="s">
        <v>64</v>
      </c>
      <c r="N27" s="8">
        <v>0</v>
      </c>
      <c r="O27" s="8">
        <v>0</v>
      </c>
      <c r="P27" s="8">
        <v>0</v>
      </c>
      <c r="Q27" s="8" t="s">
        <v>67</v>
      </c>
      <c r="R27" s="9">
        <v>0.25</v>
      </c>
      <c r="S27" s="8">
        <v>0</v>
      </c>
      <c r="T27" s="8">
        <v>0</v>
      </c>
      <c r="U27" s="8">
        <v>0</v>
      </c>
      <c r="V27" s="8">
        <v>0</v>
      </c>
      <c r="W27" s="8">
        <v>1</v>
      </c>
      <c r="X27" s="8">
        <v>0</v>
      </c>
      <c r="Y27" s="8">
        <v>0</v>
      </c>
      <c r="Z27" s="8">
        <v>0</v>
      </c>
      <c r="AA27" s="8" t="s">
        <v>66</v>
      </c>
      <c r="AB27" s="8">
        <v>0</v>
      </c>
      <c r="AC27" s="8">
        <v>0</v>
      </c>
      <c r="AD27" s="8">
        <v>0</v>
      </c>
      <c r="AE27" s="8">
        <v>0</v>
      </c>
      <c r="AF27" s="8">
        <v>0</v>
      </c>
      <c r="AG27" s="8">
        <v>0</v>
      </c>
      <c r="AH27" s="8">
        <v>0</v>
      </c>
      <c r="AI27" s="8">
        <v>1</v>
      </c>
      <c r="AJ27" s="8">
        <v>1</v>
      </c>
      <c r="AK27" s="8">
        <v>1</v>
      </c>
      <c r="AL27" s="8">
        <v>1</v>
      </c>
      <c r="AM27" s="8">
        <v>1</v>
      </c>
      <c r="AN27" s="8">
        <v>1</v>
      </c>
      <c r="AO27" s="8">
        <v>1</v>
      </c>
      <c r="AP27" s="8">
        <v>0</v>
      </c>
      <c r="AQ27" s="8">
        <v>0</v>
      </c>
      <c r="AR27" s="8">
        <v>0</v>
      </c>
      <c r="AS27" s="8">
        <v>0</v>
      </c>
      <c r="AT27" s="8">
        <v>0</v>
      </c>
      <c r="AU27" s="8">
        <v>0</v>
      </c>
      <c r="AV27" s="8">
        <v>0</v>
      </c>
      <c r="AW27" s="8">
        <v>0</v>
      </c>
      <c r="AX27" s="8">
        <v>0</v>
      </c>
      <c r="AY27" s="8">
        <v>0</v>
      </c>
      <c r="AZ27" s="8">
        <v>0</v>
      </c>
      <c r="BA27" s="8">
        <v>0</v>
      </c>
      <c r="BB27" s="8">
        <v>0</v>
      </c>
      <c r="BC27" s="8">
        <v>0</v>
      </c>
      <c r="BD27" s="8">
        <v>0</v>
      </c>
      <c r="BE27" s="8">
        <v>0</v>
      </c>
      <c r="BF27" s="8">
        <v>0</v>
      </c>
      <c r="BG27" s="8">
        <v>0</v>
      </c>
      <c r="BH27" s="8">
        <v>0</v>
      </c>
      <c r="BI27" s="8">
        <v>0</v>
      </c>
      <c r="BJ27" s="8">
        <v>0</v>
      </c>
      <c r="BK27" s="8">
        <v>0</v>
      </c>
      <c r="BL27" s="8">
        <v>0</v>
      </c>
      <c r="BM27" s="8">
        <v>0</v>
      </c>
      <c r="BN27" s="8">
        <v>0</v>
      </c>
      <c r="BO27" s="8">
        <v>0</v>
      </c>
      <c r="BP27" s="8">
        <v>0</v>
      </c>
      <c r="BQ27" s="8">
        <v>0</v>
      </c>
      <c r="BR27" s="8">
        <v>0</v>
      </c>
      <c r="BS27" s="8">
        <f t="shared" si="37"/>
        <v>7</v>
      </c>
      <c r="BT27" s="8"/>
      <c r="BU27" s="2">
        <f t="shared" si="2"/>
        <v>1</v>
      </c>
      <c r="BV27" s="2">
        <f t="shared" si="3"/>
        <v>4</v>
      </c>
      <c r="BW27" s="2">
        <f t="shared" si="4"/>
        <v>2</v>
      </c>
      <c r="BX27" s="2">
        <f t="shared" si="5"/>
        <v>0</v>
      </c>
      <c r="BY27" s="2">
        <f t="shared" si="6"/>
        <v>0</v>
      </c>
      <c r="BZ27" s="2">
        <f t="shared" ref="BZ27:CA27" si="42">SUM(AQ27)</f>
        <v>0</v>
      </c>
      <c r="CA27" s="2">
        <f t="shared" si="42"/>
        <v>0</v>
      </c>
      <c r="CB27" s="2">
        <f t="shared" si="8"/>
        <v>0</v>
      </c>
    </row>
    <row r="28" spans="1:80" ht="16" x14ac:dyDescent="0.2">
      <c r="A28" s="3" t="s">
        <v>62</v>
      </c>
      <c r="B28" s="4">
        <v>40</v>
      </c>
      <c r="C28" s="5">
        <v>1</v>
      </c>
      <c r="D28" s="5">
        <v>1</v>
      </c>
      <c r="E28" s="5">
        <v>0</v>
      </c>
      <c r="F28" s="10">
        <v>2011</v>
      </c>
      <c r="G28" s="6">
        <v>2016</v>
      </c>
      <c r="H28" s="7" t="str">
        <f t="shared" si="0"/>
        <v>No</v>
      </c>
      <c r="I28" s="54" t="s">
        <v>55</v>
      </c>
      <c r="J28" s="8">
        <v>1</v>
      </c>
      <c r="K28" s="8" t="s">
        <v>63</v>
      </c>
      <c r="L28" s="8" t="s">
        <v>64</v>
      </c>
      <c r="M28" s="8" t="s">
        <v>64</v>
      </c>
      <c r="N28" s="8">
        <v>0</v>
      </c>
      <c r="O28" s="8">
        <v>0</v>
      </c>
      <c r="P28" s="8">
        <v>0</v>
      </c>
      <c r="Q28" s="8" t="s">
        <v>67</v>
      </c>
      <c r="R28" s="9">
        <v>0.25</v>
      </c>
      <c r="S28" s="8">
        <v>0</v>
      </c>
      <c r="T28" s="8">
        <v>0</v>
      </c>
      <c r="U28" s="8">
        <v>0</v>
      </c>
      <c r="V28" s="8">
        <v>0</v>
      </c>
      <c r="W28" s="8">
        <v>1</v>
      </c>
      <c r="X28" s="8">
        <v>0</v>
      </c>
      <c r="Y28" s="8">
        <v>0</v>
      </c>
      <c r="Z28" s="8">
        <v>0</v>
      </c>
      <c r="AA28" s="8" t="s">
        <v>66</v>
      </c>
      <c r="AB28" s="8">
        <v>0</v>
      </c>
      <c r="AC28" s="8">
        <v>0</v>
      </c>
      <c r="AD28" s="8">
        <v>0</v>
      </c>
      <c r="AE28" s="8">
        <v>0</v>
      </c>
      <c r="AF28" s="8">
        <v>0</v>
      </c>
      <c r="AG28" s="8">
        <v>0</v>
      </c>
      <c r="AH28" s="8">
        <v>0</v>
      </c>
      <c r="AI28" s="8">
        <v>1</v>
      </c>
      <c r="AJ28" s="8">
        <v>1</v>
      </c>
      <c r="AK28" s="8">
        <v>1</v>
      </c>
      <c r="AL28" s="8">
        <v>1</v>
      </c>
      <c r="AM28" s="8">
        <v>1</v>
      </c>
      <c r="AN28" s="8">
        <v>1</v>
      </c>
      <c r="AO28" s="8">
        <v>1</v>
      </c>
      <c r="AP28" s="8">
        <v>0</v>
      </c>
      <c r="AQ28" s="8">
        <v>0</v>
      </c>
      <c r="AR28" s="8">
        <v>0</v>
      </c>
      <c r="AS28" s="8">
        <v>0</v>
      </c>
      <c r="AT28" s="8">
        <v>0</v>
      </c>
      <c r="AU28" s="8">
        <v>0</v>
      </c>
      <c r="AV28" s="8">
        <v>0</v>
      </c>
      <c r="AW28" s="8">
        <v>0</v>
      </c>
      <c r="AX28" s="8">
        <v>0</v>
      </c>
      <c r="AY28" s="8">
        <v>0</v>
      </c>
      <c r="AZ28" s="8">
        <v>0</v>
      </c>
      <c r="BA28" s="8">
        <v>0</v>
      </c>
      <c r="BB28" s="8">
        <v>0</v>
      </c>
      <c r="BC28" s="8">
        <v>0</v>
      </c>
      <c r="BD28" s="8">
        <v>0</v>
      </c>
      <c r="BE28" s="8">
        <v>0</v>
      </c>
      <c r="BF28" s="8">
        <v>0</v>
      </c>
      <c r="BG28" s="8">
        <v>0</v>
      </c>
      <c r="BH28" s="8">
        <v>0</v>
      </c>
      <c r="BI28" s="8">
        <v>0</v>
      </c>
      <c r="BJ28" s="8">
        <v>0</v>
      </c>
      <c r="BK28" s="8">
        <v>0</v>
      </c>
      <c r="BL28" s="8">
        <v>0</v>
      </c>
      <c r="BM28" s="8">
        <v>0</v>
      </c>
      <c r="BN28" s="8">
        <v>0</v>
      </c>
      <c r="BO28" s="8">
        <v>0</v>
      </c>
      <c r="BP28" s="8">
        <v>0</v>
      </c>
      <c r="BQ28" s="8">
        <v>0</v>
      </c>
      <c r="BR28" s="8">
        <v>0</v>
      </c>
      <c r="BS28" s="8">
        <f t="shared" si="37"/>
        <v>7</v>
      </c>
      <c r="BT28" s="8"/>
      <c r="BU28" s="2">
        <f t="shared" si="2"/>
        <v>1</v>
      </c>
      <c r="BV28" s="2">
        <f t="shared" si="3"/>
        <v>4</v>
      </c>
      <c r="BW28" s="2">
        <f t="shared" si="4"/>
        <v>2</v>
      </c>
      <c r="BX28" s="2">
        <f t="shared" si="5"/>
        <v>0</v>
      </c>
      <c r="BY28" s="2">
        <f t="shared" si="6"/>
        <v>0</v>
      </c>
      <c r="BZ28" s="2">
        <f t="shared" ref="BZ28:CA28" si="43">SUM(AQ28)</f>
        <v>0</v>
      </c>
      <c r="CA28" s="2">
        <f t="shared" si="43"/>
        <v>0</v>
      </c>
      <c r="CB28" s="2">
        <f t="shared" si="8"/>
        <v>0</v>
      </c>
    </row>
    <row r="29" spans="1:80" ht="15" customHeight="1" x14ac:dyDescent="0.2">
      <c r="A29" s="3" t="s">
        <v>62</v>
      </c>
      <c r="B29" s="4">
        <v>40</v>
      </c>
      <c r="C29" s="5">
        <v>1</v>
      </c>
      <c r="D29" s="5">
        <v>1</v>
      </c>
      <c r="E29" s="5">
        <v>0</v>
      </c>
      <c r="F29" s="10">
        <v>2011</v>
      </c>
      <c r="G29" s="6">
        <v>2017</v>
      </c>
      <c r="H29" s="7" t="str">
        <f t="shared" si="0"/>
        <v>No</v>
      </c>
      <c r="I29" s="54" t="s">
        <v>55</v>
      </c>
      <c r="J29" s="8">
        <v>1</v>
      </c>
      <c r="K29" s="8" t="s">
        <v>63</v>
      </c>
      <c r="L29" s="8" t="s">
        <v>64</v>
      </c>
      <c r="M29" s="8" t="s">
        <v>64</v>
      </c>
      <c r="N29" s="8">
        <v>0</v>
      </c>
      <c r="O29" s="8">
        <v>0</v>
      </c>
      <c r="P29" s="8">
        <v>0</v>
      </c>
      <c r="Q29" s="8" t="s">
        <v>67</v>
      </c>
      <c r="R29" s="9">
        <v>0.25</v>
      </c>
      <c r="S29" s="8">
        <v>0</v>
      </c>
      <c r="T29" s="8">
        <v>0</v>
      </c>
      <c r="U29" s="8">
        <v>0</v>
      </c>
      <c r="V29" s="8">
        <v>0</v>
      </c>
      <c r="W29" s="8">
        <v>1</v>
      </c>
      <c r="X29" s="8">
        <v>0</v>
      </c>
      <c r="Y29" s="8">
        <v>0</v>
      </c>
      <c r="Z29" s="8">
        <v>0</v>
      </c>
      <c r="AA29" s="8" t="s">
        <v>66</v>
      </c>
      <c r="AB29" s="8">
        <v>0</v>
      </c>
      <c r="AC29" s="8">
        <v>0</v>
      </c>
      <c r="AD29" s="8">
        <v>0</v>
      </c>
      <c r="AE29" s="8">
        <v>0</v>
      </c>
      <c r="AF29" s="8">
        <v>0</v>
      </c>
      <c r="AG29" s="8">
        <v>0</v>
      </c>
      <c r="AH29" s="8">
        <v>0</v>
      </c>
      <c r="AI29" s="8">
        <v>1</v>
      </c>
      <c r="AJ29" s="8">
        <v>1</v>
      </c>
      <c r="AK29" s="8">
        <v>1</v>
      </c>
      <c r="AL29" s="8">
        <v>1</v>
      </c>
      <c r="AM29" s="8">
        <v>1</v>
      </c>
      <c r="AN29" s="8">
        <v>1</v>
      </c>
      <c r="AO29" s="8">
        <v>1</v>
      </c>
      <c r="AP29" s="8">
        <v>0</v>
      </c>
      <c r="AQ29" s="8">
        <v>0</v>
      </c>
      <c r="AR29" s="8">
        <v>0</v>
      </c>
      <c r="AS29" s="8">
        <v>0</v>
      </c>
      <c r="AT29" s="8">
        <v>0</v>
      </c>
      <c r="AU29" s="8">
        <v>0</v>
      </c>
      <c r="AV29" s="8">
        <v>0</v>
      </c>
      <c r="AW29" s="8">
        <v>0</v>
      </c>
      <c r="AX29" s="8">
        <v>0</v>
      </c>
      <c r="AY29" s="8">
        <v>0</v>
      </c>
      <c r="AZ29" s="8">
        <v>0</v>
      </c>
      <c r="BA29" s="8">
        <v>0</v>
      </c>
      <c r="BB29" s="8">
        <v>0</v>
      </c>
      <c r="BC29" s="8">
        <v>0</v>
      </c>
      <c r="BD29" s="8">
        <v>0</v>
      </c>
      <c r="BE29" s="8">
        <v>0</v>
      </c>
      <c r="BF29" s="8">
        <v>0</v>
      </c>
      <c r="BG29" s="8">
        <v>0</v>
      </c>
      <c r="BH29" s="8">
        <v>0</v>
      </c>
      <c r="BI29" s="8">
        <v>0</v>
      </c>
      <c r="BJ29" s="8">
        <v>0</v>
      </c>
      <c r="BK29" s="8">
        <v>0</v>
      </c>
      <c r="BL29" s="8">
        <v>0</v>
      </c>
      <c r="BM29" s="8">
        <v>0</v>
      </c>
      <c r="BN29" s="8">
        <v>0</v>
      </c>
      <c r="BO29" s="8">
        <v>0</v>
      </c>
      <c r="BP29" s="8">
        <v>0</v>
      </c>
      <c r="BQ29" s="8">
        <v>0</v>
      </c>
      <c r="BR29" s="8">
        <v>0</v>
      </c>
      <c r="BS29" s="8">
        <f t="shared" si="37"/>
        <v>7</v>
      </c>
      <c r="BT29" s="8"/>
      <c r="BU29" s="2">
        <f t="shared" si="2"/>
        <v>1</v>
      </c>
      <c r="BV29" s="2">
        <f t="shared" si="3"/>
        <v>4</v>
      </c>
      <c r="BW29" s="2">
        <f t="shared" si="4"/>
        <v>2</v>
      </c>
      <c r="BX29" s="2">
        <f t="shared" si="5"/>
        <v>0</v>
      </c>
      <c r="BY29" s="2">
        <f t="shared" si="6"/>
        <v>0</v>
      </c>
      <c r="BZ29" s="2">
        <f t="shared" ref="BZ29:CA29" si="44">SUM(AQ29)</f>
        <v>0</v>
      </c>
      <c r="CA29" s="2">
        <f t="shared" si="44"/>
        <v>0</v>
      </c>
      <c r="CB29" s="2">
        <f t="shared" si="8"/>
        <v>0</v>
      </c>
    </row>
    <row r="30" spans="1:80" ht="15" customHeight="1" x14ac:dyDescent="0.2">
      <c r="A30" s="3" t="s">
        <v>62</v>
      </c>
      <c r="B30" s="4">
        <v>40</v>
      </c>
      <c r="C30" s="5">
        <v>1</v>
      </c>
      <c r="D30" s="5">
        <v>1</v>
      </c>
      <c r="E30" s="5">
        <v>0</v>
      </c>
      <c r="F30" s="10">
        <v>2011</v>
      </c>
      <c r="G30" s="6">
        <v>2018</v>
      </c>
      <c r="H30" s="7" t="str">
        <f t="shared" si="0"/>
        <v>No</v>
      </c>
      <c r="I30" s="54" t="s">
        <v>55</v>
      </c>
      <c r="J30" s="8">
        <v>1</v>
      </c>
      <c r="K30" s="8" t="s">
        <v>63</v>
      </c>
      <c r="L30" s="8" t="s">
        <v>64</v>
      </c>
      <c r="M30" s="8" t="s">
        <v>64</v>
      </c>
      <c r="N30" s="8">
        <v>0</v>
      </c>
      <c r="O30" s="8">
        <v>0</v>
      </c>
      <c r="P30" s="8">
        <v>0</v>
      </c>
      <c r="Q30" s="8" t="s">
        <v>67</v>
      </c>
      <c r="R30" s="9">
        <v>0.25</v>
      </c>
      <c r="S30" s="8">
        <v>0</v>
      </c>
      <c r="T30" s="8">
        <v>0</v>
      </c>
      <c r="U30" s="8">
        <v>0</v>
      </c>
      <c r="V30" s="8">
        <v>0</v>
      </c>
      <c r="W30" s="8">
        <v>1</v>
      </c>
      <c r="X30" s="8">
        <v>0</v>
      </c>
      <c r="Y30" s="8">
        <v>0</v>
      </c>
      <c r="Z30" s="8">
        <v>0</v>
      </c>
      <c r="AA30" s="8" t="s">
        <v>66</v>
      </c>
      <c r="AB30" s="8">
        <v>0</v>
      </c>
      <c r="AC30" s="8">
        <v>0</v>
      </c>
      <c r="AD30" s="8">
        <v>0</v>
      </c>
      <c r="AE30" s="8">
        <v>0</v>
      </c>
      <c r="AF30" s="8">
        <v>0</v>
      </c>
      <c r="AG30" s="8">
        <v>0</v>
      </c>
      <c r="AH30" s="8">
        <v>0</v>
      </c>
      <c r="AI30" s="8">
        <v>1</v>
      </c>
      <c r="AJ30" s="8">
        <v>1</v>
      </c>
      <c r="AK30" s="8">
        <v>1</v>
      </c>
      <c r="AL30" s="8">
        <v>1</v>
      </c>
      <c r="AM30" s="8">
        <v>1</v>
      </c>
      <c r="AN30" s="8">
        <v>1</v>
      </c>
      <c r="AO30" s="8">
        <v>1</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0</v>
      </c>
      <c r="BS30" s="8">
        <f t="shared" si="37"/>
        <v>7</v>
      </c>
      <c r="BT30" s="8"/>
      <c r="BU30" s="2">
        <f t="shared" si="2"/>
        <v>1</v>
      </c>
      <c r="BV30" s="2">
        <f t="shared" si="3"/>
        <v>4</v>
      </c>
      <c r="BW30" s="2">
        <f t="shared" si="4"/>
        <v>2</v>
      </c>
      <c r="BX30" s="2">
        <f t="shared" si="5"/>
        <v>0</v>
      </c>
      <c r="BY30" s="2">
        <f t="shared" si="6"/>
        <v>0</v>
      </c>
      <c r="BZ30" s="2">
        <f t="shared" ref="BZ30:CA30" si="45">SUM(AQ30)</f>
        <v>0</v>
      </c>
      <c r="CA30" s="2">
        <f t="shared" si="45"/>
        <v>0</v>
      </c>
      <c r="CB30" s="2">
        <f t="shared" si="8"/>
        <v>0</v>
      </c>
    </row>
    <row r="31" spans="1:80" ht="15" customHeight="1" x14ac:dyDescent="0.2">
      <c r="A31" s="3" t="s">
        <v>62</v>
      </c>
      <c r="B31" s="4">
        <v>40</v>
      </c>
      <c r="C31" s="5">
        <v>1</v>
      </c>
      <c r="D31" s="5">
        <v>1</v>
      </c>
      <c r="E31" s="5">
        <v>0</v>
      </c>
      <c r="F31" s="10">
        <v>2011</v>
      </c>
      <c r="G31" s="6">
        <v>2019</v>
      </c>
      <c r="H31" s="7" t="str">
        <f t="shared" si="0"/>
        <v>No</v>
      </c>
      <c r="I31" s="54" t="s">
        <v>55</v>
      </c>
      <c r="J31" s="8">
        <v>1</v>
      </c>
      <c r="K31" s="8" t="s">
        <v>63</v>
      </c>
      <c r="L31" s="8" t="s">
        <v>64</v>
      </c>
      <c r="M31" s="8" t="s">
        <v>64</v>
      </c>
      <c r="N31" s="8">
        <v>0</v>
      </c>
      <c r="O31" s="8">
        <v>0</v>
      </c>
      <c r="P31" s="8">
        <v>0</v>
      </c>
      <c r="Q31" s="8" t="s">
        <v>67</v>
      </c>
      <c r="R31" s="9">
        <v>0.25</v>
      </c>
      <c r="S31" s="8">
        <v>0</v>
      </c>
      <c r="T31" s="8">
        <v>0</v>
      </c>
      <c r="U31" s="8">
        <v>0</v>
      </c>
      <c r="V31" s="8">
        <v>0</v>
      </c>
      <c r="W31" s="8">
        <v>1</v>
      </c>
      <c r="X31" s="8">
        <v>0</v>
      </c>
      <c r="Y31" s="8">
        <v>0</v>
      </c>
      <c r="Z31" s="8">
        <v>0</v>
      </c>
      <c r="AA31" s="8" t="s">
        <v>66</v>
      </c>
      <c r="AB31" s="8">
        <v>0</v>
      </c>
      <c r="AC31" s="8">
        <v>0</v>
      </c>
      <c r="AD31" s="8">
        <v>0</v>
      </c>
      <c r="AE31" s="8">
        <v>0</v>
      </c>
      <c r="AF31" s="8">
        <v>0</v>
      </c>
      <c r="AG31" s="8">
        <v>0</v>
      </c>
      <c r="AH31" s="8">
        <v>0</v>
      </c>
      <c r="AI31" s="8">
        <v>1</v>
      </c>
      <c r="AJ31" s="8">
        <v>1</v>
      </c>
      <c r="AK31" s="8">
        <v>1</v>
      </c>
      <c r="AL31" s="8">
        <v>1</v>
      </c>
      <c r="AM31" s="8">
        <v>1</v>
      </c>
      <c r="AN31" s="8">
        <v>1</v>
      </c>
      <c r="AO31" s="8">
        <v>1</v>
      </c>
      <c r="AP31" s="8">
        <v>0</v>
      </c>
      <c r="AQ31" s="8">
        <v>0</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f t="shared" si="37"/>
        <v>7</v>
      </c>
      <c r="BT31" s="8"/>
      <c r="BU31" s="2">
        <f t="shared" si="2"/>
        <v>1</v>
      </c>
      <c r="BV31" s="2">
        <f t="shared" si="3"/>
        <v>4</v>
      </c>
      <c r="BW31" s="2">
        <f t="shared" si="4"/>
        <v>2</v>
      </c>
      <c r="BX31" s="2">
        <f t="shared" si="5"/>
        <v>0</v>
      </c>
      <c r="BY31" s="2">
        <f t="shared" si="6"/>
        <v>0</v>
      </c>
      <c r="BZ31" s="2">
        <f t="shared" ref="BZ31:CA31" si="46">SUM(AQ31)</f>
        <v>0</v>
      </c>
      <c r="CA31" s="2">
        <f t="shared" si="46"/>
        <v>0</v>
      </c>
      <c r="CB31" s="2">
        <f t="shared" si="8"/>
        <v>0</v>
      </c>
    </row>
    <row r="32" spans="1:80" ht="15" customHeight="1" x14ac:dyDescent="0.2">
      <c r="A32" s="3" t="s">
        <v>62</v>
      </c>
      <c r="B32" s="4">
        <v>40</v>
      </c>
      <c r="C32" s="5">
        <v>1</v>
      </c>
      <c r="D32" s="5">
        <v>1</v>
      </c>
      <c r="E32" s="5">
        <v>0</v>
      </c>
      <c r="F32" s="10">
        <v>2011</v>
      </c>
      <c r="G32" s="6">
        <v>2020</v>
      </c>
      <c r="H32" s="7" t="str">
        <f t="shared" si="0"/>
        <v>Yes</v>
      </c>
      <c r="I32" s="54" t="s">
        <v>56</v>
      </c>
      <c r="J32" s="8">
        <v>1</v>
      </c>
      <c r="K32" s="8" t="s">
        <v>63</v>
      </c>
      <c r="L32" s="8" t="s">
        <v>64</v>
      </c>
      <c r="M32" s="8" t="s">
        <v>64</v>
      </c>
      <c r="N32" s="8">
        <v>0</v>
      </c>
      <c r="O32" s="8">
        <v>0</v>
      </c>
      <c r="P32" s="8">
        <v>0</v>
      </c>
      <c r="Q32" s="8" t="s">
        <v>67</v>
      </c>
      <c r="R32" s="9">
        <v>0.1</v>
      </c>
      <c r="S32" s="8">
        <v>1</v>
      </c>
      <c r="T32" s="8">
        <v>0</v>
      </c>
      <c r="U32" s="8">
        <v>0</v>
      </c>
      <c r="V32" s="8">
        <v>1</v>
      </c>
      <c r="W32" s="8">
        <v>1</v>
      </c>
      <c r="X32" s="8">
        <v>0</v>
      </c>
      <c r="Y32" s="8">
        <v>0</v>
      </c>
      <c r="Z32" s="8">
        <v>1</v>
      </c>
      <c r="AA32" s="8" t="s">
        <v>68</v>
      </c>
      <c r="AB32" s="8">
        <v>0</v>
      </c>
      <c r="AC32" s="8">
        <v>0</v>
      </c>
      <c r="AD32" s="8">
        <v>0</v>
      </c>
      <c r="AE32" s="8">
        <v>0</v>
      </c>
      <c r="AF32" s="8">
        <v>1</v>
      </c>
      <c r="AG32" s="8">
        <v>0</v>
      </c>
      <c r="AH32" s="8">
        <v>0</v>
      </c>
      <c r="AI32" s="8">
        <v>1</v>
      </c>
      <c r="AJ32" s="8">
        <v>1</v>
      </c>
      <c r="AK32" s="8">
        <v>1</v>
      </c>
      <c r="AL32" s="8">
        <v>1</v>
      </c>
      <c r="AM32" s="8">
        <v>1</v>
      </c>
      <c r="AN32" s="8">
        <v>1</v>
      </c>
      <c r="AO32" s="8">
        <v>1</v>
      </c>
      <c r="AP32" s="8">
        <v>1</v>
      </c>
      <c r="AQ32" s="8">
        <v>1</v>
      </c>
      <c r="AR32" s="8">
        <v>1</v>
      </c>
      <c r="AS32" s="8">
        <v>1</v>
      </c>
      <c r="AT32" s="8">
        <v>1</v>
      </c>
      <c r="AU32" s="8">
        <v>0</v>
      </c>
      <c r="AV32" s="8">
        <v>1</v>
      </c>
      <c r="AW32" s="8">
        <v>1</v>
      </c>
      <c r="AX32" s="8">
        <v>0</v>
      </c>
      <c r="AY32" s="8">
        <v>1</v>
      </c>
      <c r="AZ32" s="8">
        <v>0</v>
      </c>
      <c r="BA32" s="8">
        <v>0</v>
      </c>
      <c r="BB32" s="8">
        <v>1</v>
      </c>
      <c r="BC32" s="8">
        <v>0</v>
      </c>
      <c r="BD32" s="8">
        <v>0</v>
      </c>
      <c r="BE32" s="8">
        <v>1</v>
      </c>
      <c r="BF32" s="8">
        <v>0</v>
      </c>
      <c r="BG32" s="8">
        <v>0</v>
      </c>
      <c r="BH32" s="8">
        <v>0</v>
      </c>
      <c r="BI32" s="8">
        <v>0</v>
      </c>
      <c r="BJ32" s="8">
        <v>1</v>
      </c>
      <c r="BK32" s="8">
        <v>1</v>
      </c>
      <c r="BL32" s="8">
        <v>1</v>
      </c>
      <c r="BM32" s="8">
        <v>1</v>
      </c>
      <c r="BN32" s="8">
        <v>0</v>
      </c>
      <c r="BO32" s="8">
        <v>0</v>
      </c>
      <c r="BP32" s="8">
        <v>0</v>
      </c>
      <c r="BQ32" s="8">
        <v>0</v>
      </c>
      <c r="BR32" s="8">
        <v>1</v>
      </c>
      <c r="BS32" s="8">
        <f t="shared" si="37"/>
        <v>22</v>
      </c>
      <c r="BT32" s="8"/>
      <c r="BU32" s="2">
        <f t="shared" si="2"/>
        <v>2</v>
      </c>
      <c r="BV32" s="2">
        <f t="shared" si="3"/>
        <v>6</v>
      </c>
      <c r="BW32" s="2">
        <f t="shared" si="4"/>
        <v>3</v>
      </c>
      <c r="BX32" s="2">
        <f t="shared" si="5"/>
        <v>8</v>
      </c>
      <c r="BY32" s="2">
        <f t="shared" si="6"/>
        <v>0</v>
      </c>
      <c r="BZ32" s="2">
        <f t="shared" ref="BZ32:CA32" si="47">SUM(AQ32)</f>
        <v>1</v>
      </c>
      <c r="CA32" s="2">
        <f t="shared" si="47"/>
        <v>1</v>
      </c>
      <c r="CB32" s="2">
        <f t="shared" si="8"/>
        <v>1</v>
      </c>
    </row>
    <row r="33" spans="1:80" ht="15" customHeight="1" x14ac:dyDescent="0.2">
      <c r="A33" s="3" t="s">
        <v>62</v>
      </c>
      <c r="B33" s="4">
        <v>40</v>
      </c>
      <c r="C33" s="5">
        <v>1</v>
      </c>
      <c r="D33" s="5">
        <v>1</v>
      </c>
      <c r="E33" s="5">
        <v>0</v>
      </c>
      <c r="F33" s="10">
        <v>2011</v>
      </c>
      <c r="G33" s="6">
        <v>2021</v>
      </c>
      <c r="H33" s="7" t="str">
        <f t="shared" si="0"/>
        <v>No</v>
      </c>
      <c r="I33" s="54" t="s">
        <v>55</v>
      </c>
      <c r="J33" s="8">
        <v>1</v>
      </c>
      <c r="K33" s="8" t="s">
        <v>63</v>
      </c>
      <c r="L33" s="8" t="s">
        <v>64</v>
      </c>
      <c r="M33" s="8" t="s">
        <v>64</v>
      </c>
      <c r="N33" s="8">
        <v>0</v>
      </c>
      <c r="O33" s="8">
        <v>0</v>
      </c>
      <c r="P33" s="8">
        <v>0</v>
      </c>
      <c r="Q33" s="8" t="s">
        <v>67</v>
      </c>
      <c r="R33" s="9">
        <v>0.1</v>
      </c>
      <c r="S33" s="8">
        <v>1</v>
      </c>
      <c r="T33" s="8">
        <v>0</v>
      </c>
      <c r="U33" s="8">
        <v>0</v>
      </c>
      <c r="V33" s="8">
        <v>1</v>
      </c>
      <c r="W33" s="8">
        <v>1</v>
      </c>
      <c r="X33" s="8">
        <v>0</v>
      </c>
      <c r="Y33" s="8">
        <v>0</v>
      </c>
      <c r="Z33" s="8">
        <v>1</v>
      </c>
      <c r="AA33" s="8" t="s">
        <v>68</v>
      </c>
      <c r="AB33" s="8">
        <v>0</v>
      </c>
      <c r="AC33" s="8">
        <v>0</v>
      </c>
      <c r="AD33" s="8">
        <v>0</v>
      </c>
      <c r="AE33" s="8">
        <v>0</v>
      </c>
      <c r="AF33" s="8">
        <v>1</v>
      </c>
      <c r="AG33" s="8">
        <v>0</v>
      </c>
      <c r="AH33" s="8">
        <v>0</v>
      </c>
      <c r="AI33" s="8">
        <v>1</v>
      </c>
      <c r="AJ33" s="8">
        <v>1</v>
      </c>
      <c r="AK33" s="8">
        <v>1</v>
      </c>
      <c r="AL33" s="8">
        <v>1</v>
      </c>
      <c r="AM33" s="8">
        <v>1</v>
      </c>
      <c r="AN33" s="8">
        <v>1</v>
      </c>
      <c r="AO33" s="8">
        <v>1</v>
      </c>
      <c r="AP33" s="8">
        <v>1</v>
      </c>
      <c r="AQ33" s="8">
        <v>1</v>
      </c>
      <c r="AR33" s="8">
        <v>1</v>
      </c>
      <c r="AS33" s="8">
        <v>1</v>
      </c>
      <c r="AT33" s="8">
        <v>1</v>
      </c>
      <c r="AU33" s="8">
        <v>0</v>
      </c>
      <c r="AV33" s="8">
        <v>1</v>
      </c>
      <c r="AW33" s="8">
        <v>1</v>
      </c>
      <c r="AX33" s="8">
        <v>0</v>
      </c>
      <c r="AY33" s="8">
        <v>1</v>
      </c>
      <c r="AZ33" s="8">
        <v>0</v>
      </c>
      <c r="BA33" s="8">
        <v>0</v>
      </c>
      <c r="BB33" s="8">
        <v>1</v>
      </c>
      <c r="BC33" s="8">
        <v>0</v>
      </c>
      <c r="BD33" s="8">
        <v>0</v>
      </c>
      <c r="BE33" s="8">
        <v>1</v>
      </c>
      <c r="BF33" s="8">
        <v>0</v>
      </c>
      <c r="BG33" s="8">
        <v>0</v>
      </c>
      <c r="BH33" s="8">
        <v>0</v>
      </c>
      <c r="BI33" s="8">
        <v>0</v>
      </c>
      <c r="BJ33" s="8">
        <v>1</v>
      </c>
      <c r="BK33" s="8">
        <v>1</v>
      </c>
      <c r="BL33" s="8">
        <v>1</v>
      </c>
      <c r="BM33" s="8">
        <v>1</v>
      </c>
      <c r="BN33" s="8">
        <v>0</v>
      </c>
      <c r="BO33" s="8">
        <v>0</v>
      </c>
      <c r="BP33" s="8">
        <v>0</v>
      </c>
      <c r="BQ33" s="8">
        <v>0</v>
      </c>
      <c r="BR33" s="8">
        <v>1</v>
      </c>
      <c r="BS33" s="8">
        <f t="shared" si="37"/>
        <v>22</v>
      </c>
      <c r="BT33" s="8"/>
      <c r="BU33" s="2">
        <f t="shared" si="2"/>
        <v>2</v>
      </c>
      <c r="BV33" s="2">
        <f t="shared" si="3"/>
        <v>6</v>
      </c>
      <c r="BW33" s="2">
        <f t="shared" si="4"/>
        <v>3</v>
      </c>
      <c r="BX33" s="2">
        <f t="shared" si="5"/>
        <v>8</v>
      </c>
      <c r="BY33" s="2">
        <f t="shared" si="6"/>
        <v>0</v>
      </c>
      <c r="BZ33" s="2">
        <f t="shared" ref="BZ33:CA33" si="48">SUM(AQ33)</f>
        <v>1</v>
      </c>
      <c r="CA33" s="2">
        <f t="shared" si="48"/>
        <v>1</v>
      </c>
      <c r="CB33" s="2">
        <f t="shared" si="8"/>
        <v>1</v>
      </c>
    </row>
    <row r="34" spans="1:80" ht="16" x14ac:dyDescent="0.2">
      <c r="A34" s="3" t="s">
        <v>62</v>
      </c>
      <c r="B34" s="4">
        <v>40</v>
      </c>
      <c r="C34" s="5">
        <v>1</v>
      </c>
      <c r="D34" s="5">
        <v>1</v>
      </c>
      <c r="E34" s="5">
        <v>0</v>
      </c>
      <c r="F34" s="10">
        <v>2011</v>
      </c>
      <c r="G34" s="6">
        <v>2022</v>
      </c>
      <c r="H34" s="7" t="str">
        <f t="shared" si="0"/>
        <v>No</v>
      </c>
      <c r="I34" s="54" t="s">
        <v>55</v>
      </c>
      <c r="J34" s="8">
        <v>1</v>
      </c>
      <c r="K34" s="8" t="s">
        <v>63</v>
      </c>
      <c r="L34" s="8" t="s">
        <v>64</v>
      </c>
      <c r="M34" s="8" t="s">
        <v>64</v>
      </c>
      <c r="N34" s="8">
        <v>0</v>
      </c>
      <c r="O34" s="8">
        <v>0</v>
      </c>
      <c r="P34" s="8">
        <v>0</v>
      </c>
      <c r="Q34" s="8" t="s">
        <v>67</v>
      </c>
      <c r="R34" s="9">
        <v>0.1</v>
      </c>
      <c r="S34" s="8">
        <v>1</v>
      </c>
      <c r="T34" s="8">
        <v>0</v>
      </c>
      <c r="U34" s="8">
        <v>0</v>
      </c>
      <c r="V34" s="8">
        <v>1</v>
      </c>
      <c r="W34" s="8">
        <v>1</v>
      </c>
      <c r="X34" s="8">
        <v>0</v>
      </c>
      <c r="Y34" s="8">
        <v>0</v>
      </c>
      <c r="Z34" s="8">
        <v>1</v>
      </c>
      <c r="AA34" s="8" t="s">
        <v>68</v>
      </c>
      <c r="AB34" s="8">
        <v>0</v>
      </c>
      <c r="AC34" s="8">
        <v>0</v>
      </c>
      <c r="AD34" s="8">
        <v>0</v>
      </c>
      <c r="AE34" s="8">
        <v>0</v>
      </c>
      <c r="AF34" s="8">
        <v>1</v>
      </c>
      <c r="AG34" s="8">
        <v>0</v>
      </c>
      <c r="AH34" s="8">
        <v>0</v>
      </c>
      <c r="AI34" s="8">
        <v>1</v>
      </c>
      <c r="AJ34" s="8">
        <v>1</v>
      </c>
      <c r="AK34" s="8">
        <v>1</v>
      </c>
      <c r="AL34" s="8">
        <v>1</v>
      </c>
      <c r="AM34" s="8">
        <v>1</v>
      </c>
      <c r="AN34" s="8">
        <v>1</v>
      </c>
      <c r="AO34" s="8">
        <v>1</v>
      </c>
      <c r="AP34" s="8">
        <v>1</v>
      </c>
      <c r="AQ34" s="8">
        <v>1</v>
      </c>
      <c r="AR34" s="8">
        <v>1</v>
      </c>
      <c r="AS34" s="8">
        <v>1</v>
      </c>
      <c r="AT34" s="8">
        <v>1</v>
      </c>
      <c r="AU34" s="8">
        <v>0</v>
      </c>
      <c r="AV34" s="8">
        <v>1</v>
      </c>
      <c r="AW34" s="8">
        <v>1</v>
      </c>
      <c r="AX34" s="8">
        <v>0</v>
      </c>
      <c r="AY34" s="8">
        <v>1</v>
      </c>
      <c r="AZ34" s="8">
        <v>0</v>
      </c>
      <c r="BA34" s="8">
        <v>0</v>
      </c>
      <c r="BB34" s="8">
        <v>1</v>
      </c>
      <c r="BC34" s="8">
        <v>0</v>
      </c>
      <c r="BD34" s="8">
        <v>0</v>
      </c>
      <c r="BE34" s="8">
        <v>1</v>
      </c>
      <c r="BF34" s="8">
        <v>0</v>
      </c>
      <c r="BG34" s="8">
        <v>0</v>
      </c>
      <c r="BH34" s="8">
        <v>0</v>
      </c>
      <c r="BI34" s="8">
        <v>0</v>
      </c>
      <c r="BJ34" s="8">
        <v>1</v>
      </c>
      <c r="BK34" s="8">
        <v>1</v>
      </c>
      <c r="BL34" s="8">
        <v>1</v>
      </c>
      <c r="BM34" s="8">
        <v>1</v>
      </c>
      <c r="BN34" s="8">
        <v>0</v>
      </c>
      <c r="BO34" s="8">
        <v>0</v>
      </c>
      <c r="BP34" s="8">
        <v>0</v>
      </c>
      <c r="BQ34" s="8">
        <v>0</v>
      </c>
      <c r="BR34" s="8">
        <v>1</v>
      </c>
      <c r="BS34" s="8">
        <f t="shared" si="37"/>
        <v>22</v>
      </c>
      <c r="BT34" s="8"/>
      <c r="BU34" s="2">
        <f t="shared" si="2"/>
        <v>2</v>
      </c>
      <c r="BV34" s="2">
        <f t="shared" si="3"/>
        <v>6</v>
      </c>
      <c r="BW34" s="2">
        <f t="shared" si="4"/>
        <v>3</v>
      </c>
      <c r="BX34" s="2">
        <f t="shared" si="5"/>
        <v>8</v>
      </c>
      <c r="BY34" s="2">
        <f t="shared" si="6"/>
        <v>0</v>
      </c>
      <c r="BZ34" s="2">
        <f t="shared" ref="BZ34:CA34" si="49">SUM(AQ34)</f>
        <v>1</v>
      </c>
      <c r="CA34" s="2">
        <f t="shared" si="49"/>
        <v>1</v>
      </c>
      <c r="CB34" s="2">
        <f t="shared" si="8"/>
        <v>1</v>
      </c>
    </row>
    <row r="35" spans="1:80" ht="16" x14ac:dyDescent="0.2">
      <c r="A35" s="3" t="s">
        <v>62</v>
      </c>
      <c r="B35" s="4">
        <v>40</v>
      </c>
      <c r="C35" s="5">
        <v>1</v>
      </c>
      <c r="D35" s="5">
        <v>1</v>
      </c>
      <c r="E35" s="5">
        <v>0</v>
      </c>
      <c r="F35" s="10">
        <v>2011</v>
      </c>
      <c r="G35" s="6">
        <v>2023</v>
      </c>
      <c r="H35" s="7" t="str">
        <f t="shared" ref="H35" si="50">IF($I35="1", "Yes", "No")</f>
        <v>No</v>
      </c>
      <c r="I35" s="54" t="s">
        <v>55</v>
      </c>
      <c r="J35" s="8">
        <v>1</v>
      </c>
      <c r="K35" s="8" t="s">
        <v>63</v>
      </c>
      <c r="L35" s="8" t="s">
        <v>64</v>
      </c>
      <c r="M35" s="8" t="s">
        <v>64</v>
      </c>
      <c r="N35" s="8">
        <v>0</v>
      </c>
      <c r="O35" s="8">
        <v>0</v>
      </c>
      <c r="P35" s="8">
        <v>0</v>
      </c>
      <c r="Q35" s="8" t="s">
        <v>67</v>
      </c>
      <c r="R35" s="9">
        <v>0.1</v>
      </c>
      <c r="S35" s="8">
        <v>1</v>
      </c>
      <c r="T35" s="8">
        <v>0</v>
      </c>
      <c r="U35" s="8">
        <v>0</v>
      </c>
      <c r="V35" s="8">
        <v>1</v>
      </c>
      <c r="W35" s="8">
        <v>1</v>
      </c>
      <c r="X35" s="8">
        <v>0</v>
      </c>
      <c r="Y35" s="8">
        <v>0</v>
      </c>
      <c r="Z35" s="8">
        <v>1</v>
      </c>
      <c r="AA35" s="8" t="s">
        <v>68</v>
      </c>
      <c r="AB35" s="8">
        <v>0</v>
      </c>
      <c r="AC35" s="8">
        <v>0</v>
      </c>
      <c r="AD35" s="8">
        <v>0</v>
      </c>
      <c r="AE35" s="8">
        <v>0</v>
      </c>
      <c r="AF35" s="8">
        <v>1</v>
      </c>
      <c r="AG35" s="8">
        <v>0</v>
      </c>
      <c r="AH35" s="8">
        <v>0</v>
      </c>
      <c r="AI35" s="8">
        <v>1</v>
      </c>
      <c r="AJ35" s="8">
        <v>1</v>
      </c>
      <c r="AK35" s="8">
        <v>1</v>
      </c>
      <c r="AL35" s="8">
        <v>1</v>
      </c>
      <c r="AM35" s="8">
        <v>1</v>
      </c>
      <c r="AN35" s="8">
        <v>1</v>
      </c>
      <c r="AO35" s="8">
        <v>1</v>
      </c>
      <c r="AP35" s="8">
        <v>1</v>
      </c>
      <c r="AQ35" s="8">
        <v>1</v>
      </c>
      <c r="AR35" s="8">
        <v>1</v>
      </c>
      <c r="AS35" s="8">
        <v>1</v>
      </c>
      <c r="AT35" s="8">
        <v>1</v>
      </c>
      <c r="AU35" s="8">
        <v>0</v>
      </c>
      <c r="AV35" s="8">
        <v>1</v>
      </c>
      <c r="AW35" s="8">
        <v>1</v>
      </c>
      <c r="AX35" s="8">
        <v>0</v>
      </c>
      <c r="AY35" s="8">
        <v>1</v>
      </c>
      <c r="AZ35" s="8">
        <v>0</v>
      </c>
      <c r="BA35" s="8">
        <v>0</v>
      </c>
      <c r="BB35" s="8">
        <v>1</v>
      </c>
      <c r="BC35" s="8">
        <v>0</v>
      </c>
      <c r="BD35" s="8">
        <v>0</v>
      </c>
      <c r="BE35" s="8">
        <v>1</v>
      </c>
      <c r="BF35" s="8">
        <v>0</v>
      </c>
      <c r="BG35" s="8">
        <v>0</v>
      </c>
      <c r="BH35" s="8">
        <v>0</v>
      </c>
      <c r="BI35" s="8">
        <v>0</v>
      </c>
      <c r="BJ35" s="8">
        <v>1</v>
      </c>
      <c r="BK35" s="8">
        <v>1</v>
      </c>
      <c r="BL35" s="8">
        <v>1</v>
      </c>
      <c r="BM35" s="8">
        <v>1</v>
      </c>
      <c r="BN35" s="8">
        <v>0</v>
      </c>
      <c r="BO35" s="8">
        <v>0</v>
      </c>
      <c r="BP35" s="8">
        <v>0</v>
      </c>
      <c r="BQ35" s="8">
        <v>0</v>
      </c>
      <c r="BR35" s="8">
        <v>1</v>
      </c>
      <c r="BS35" s="8">
        <f t="shared" ref="BS35" si="51">SUM(AI35:BR35)</f>
        <v>22</v>
      </c>
      <c r="BT35" s="8"/>
      <c r="BU35" s="2">
        <f t="shared" ref="BU35" si="52">SUM(AI35,BK35)</f>
        <v>2</v>
      </c>
      <c r="BV35" s="2">
        <f t="shared" ref="BV35" si="53">SUM(AK35, AL35, AM35,AJ35,BL35,BO35, AP35)</f>
        <v>6</v>
      </c>
      <c r="BW35" s="2">
        <f t="shared" ref="BW35" si="54">SUM(AN35, AO35, AS35)</f>
        <v>3</v>
      </c>
      <c r="BX35" s="2">
        <f t="shared" ref="BX35" si="55">SUM(AU35,AV35,AW35,AX35,AY35,AZ35,BA35,BB35,BC35,BD35,BE35,BF35,BG35,BH35,BI35,BJ35,BQ35,BR35,BM35)</f>
        <v>8</v>
      </c>
      <c r="BY35" s="2">
        <f t="shared" ref="BY35" si="56">SUM(BP35, BN35)</f>
        <v>0</v>
      </c>
      <c r="BZ35" s="2">
        <f t="shared" ref="BZ35" si="57">SUM(AQ35)</f>
        <v>1</v>
      </c>
      <c r="CA35" s="2">
        <f t="shared" ref="CA35" si="58">SUM(AR35)</f>
        <v>1</v>
      </c>
      <c r="CB35" s="2">
        <f t="shared" ref="CB35" si="59">SUM(AT35)</f>
        <v>1</v>
      </c>
    </row>
    <row r="36" spans="1:80" ht="16" x14ac:dyDescent="0.2">
      <c r="A36" s="3" t="s">
        <v>69</v>
      </c>
      <c r="B36" s="4">
        <v>56</v>
      </c>
      <c r="C36" s="5">
        <v>1</v>
      </c>
      <c r="D36" s="5">
        <v>1</v>
      </c>
      <c r="E36" s="5">
        <v>0</v>
      </c>
      <c r="F36" s="6"/>
      <c r="G36" s="6">
        <v>2007</v>
      </c>
      <c r="H36" s="7" t="str">
        <f t="shared" si="0"/>
        <v>No</v>
      </c>
      <c r="I36" s="54" t="s">
        <v>55</v>
      </c>
      <c r="J36" s="8">
        <v>0</v>
      </c>
      <c r="K36" s="8"/>
      <c r="L36" s="8"/>
      <c r="M36" s="8"/>
      <c r="N36" s="8"/>
      <c r="O36" s="8"/>
      <c r="P36" s="8"/>
      <c r="Q36" s="8"/>
      <c r="R36" s="6"/>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v>0</v>
      </c>
      <c r="BT36" s="8"/>
      <c r="BU36" s="2">
        <f t="shared" si="2"/>
        <v>0</v>
      </c>
      <c r="BV36" s="2">
        <f t="shared" si="3"/>
        <v>0</v>
      </c>
      <c r="BW36" s="2">
        <f t="shared" si="4"/>
        <v>0</v>
      </c>
      <c r="BX36" s="2">
        <f t="shared" si="5"/>
        <v>0</v>
      </c>
      <c r="BY36" s="2">
        <f t="shared" si="6"/>
        <v>0</v>
      </c>
      <c r="BZ36" s="2">
        <f t="shared" ref="BZ36:CA36" si="60">SUM(AQ36)</f>
        <v>0</v>
      </c>
      <c r="CA36" s="2">
        <f t="shared" si="60"/>
        <v>0</v>
      </c>
      <c r="CB36" s="2">
        <f t="shared" si="8"/>
        <v>0</v>
      </c>
    </row>
    <row r="37" spans="1:80" ht="16" x14ac:dyDescent="0.2">
      <c r="A37" s="3" t="s">
        <v>69</v>
      </c>
      <c r="B37" s="4">
        <v>56</v>
      </c>
      <c r="C37" s="5">
        <v>1</v>
      </c>
      <c r="D37" s="5">
        <v>1</v>
      </c>
      <c r="E37" s="5">
        <v>0</v>
      </c>
      <c r="F37" s="6"/>
      <c r="G37" s="6">
        <v>2008</v>
      </c>
      <c r="H37" s="7" t="str">
        <f t="shared" si="0"/>
        <v>No</v>
      </c>
      <c r="I37" s="54" t="s">
        <v>55</v>
      </c>
      <c r="J37" s="8">
        <v>0</v>
      </c>
      <c r="K37" s="8"/>
      <c r="L37" s="8"/>
      <c r="M37" s="8"/>
      <c r="N37" s="8"/>
      <c r="O37" s="8"/>
      <c r="P37" s="8"/>
      <c r="Q37" s="8"/>
      <c r="R37" s="6"/>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v>0</v>
      </c>
      <c r="BT37" s="8"/>
      <c r="BU37" s="2">
        <f t="shared" si="2"/>
        <v>0</v>
      </c>
      <c r="BV37" s="2">
        <f t="shared" si="3"/>
        <v>0</v>
      </c>
      <c r="BW37" s="2">
        <f t="shared" si="4"/>
        <v>0</v>
      </c>
      <c r="BX37" s="2">
        <f t="shared" si="5"/>
        <v>0</v>
      </c>
      <c r="BY37" s="2">
        <f t="shared" si="6"/>
        <v>0</v>
      </c>
      <c r="BZ37" s="2">
        <f t="shared" ref="BZ37:CA37" si="61">SUM(AQ37)</f>
        <v>0</v>
      </c>
      <c r="CA37" s="2">
        <f t="shared" si="61"/>
        <v>0</v>
      </c>
      <c r="CB37" s="2">
        <f t="shared" si="8"/>
        <v>0</v>
      </c>
    </row>
    <row r="38" spans="1:80" ht="16" x14ac:dyDescent="0.2">
      <c r="A38" s="3" t="s">
        <v>69</v>
      </c>
      <c r="B38" s="4">
        <v>56</v>
      </c>
      <c r="C38" s="5">
        <v>1</v>
      </c>
      <c r="D38" s="5">
        <v>1</v>
      </c>
      <c r="E38" s="5">
        <v>0</v>
      </c>
      <c r="F38" s="6"/>
      <c r="G38" s="6">
        <v>2009</v>
      </c>
      <c r="H38" s="7" t="str">
        <f t="shared" si="0"/>
        <v>No</v>
      </c>
      <c r="I38" s="54" t="s">
        <v>55</v>
      </c>
      <c r="J38" s="8">
        <v>0</v>
      </c>
      <c r="K38" s="8"/>
      <c r="L38" s="8"/>
      <c r="M38" s="8"/>
      <c r="N38" s="8"/>
      <c r="O38" s="8"/>
      <c r="P38" s="8"/>
      <c r="Q38" s="8"/>
      <c r="R38" s="6"/>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v>0</v>
      </c>
      <c r="BT38" s="8"/>
      <c r="BU38" s="2">
        <f t="shared" si="2"/>
        <v>0</v>
      </c>
      <c r="BV38" s="2">
        <f t="shared" si="3"/>
        <v>0</v>
      </c>
      <c r="BW38" s="2">
        <f t="shared" si="4"/>
        <v>0</v>
      </c>
      <c r="BX38" s="2">
        <f t="shared" si="5"/>
        <v>0</v>
      </c>
      <c r="BY38" s="2">
        <f t="shared" si="6"/>
        <v>0</v>
      </c>
      <c r="BZ38" s="2">
        <f t="shared" ref="BZ38:CA38" si="62">SUM(AQ38)</f>
        <v>0</v>
      </c>
      <c r="CA38" s="2">
        <f t="shared" si="62"/>
        <v>0</v>
      </c>
      <c r="CB38" s="2">
        <f t="shared" si="8"/>
        <v>0</v>
      </c>
    </row>
    <row r="39" spans="1:80" ht="16" x14ac:dyDescent="0.2">
      <c r="A39" s="3" t="s">
        <v>69</v>
      </c>
      <c r="B39" s="4">
        <v>56</v>
      </c>
      <c r="C39" s="5">
        <v>1</v>
      </c>
      <c r="D39" s="5">
        <v>1</v>
      </c>
      <c r="E39" s="5">
        <v>0</v>
      </c>
      <c r="F39" s="6"/>
      <c r="G39" s="6">
        <v>2010</v>
      </c>
      <c r="H39" s="7" t="str">
        <f t="shared" si="0"/>
        <v>No</v>
      </c>
      <c r="I39" s="54" t="s">
        <v>55</v>
      </c>
      <c r="J39" s="8">
        <v>0</v>
      </c>
      <c r="K39" s="8"/>
      <c r="L39" s="8"/>
      <c r="M39" s="8"/>
      <c r="N39" s="8"/>
      <c r="O39" s="8"/>
      <c r="P39" s="8"/>
      <c r="Q39" s="8"/>
      <c r="R39" s="6"/>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v>0</v>
      </c>
      <c r="BT39" s="8"/>
      <c r="BU39" s="2">
        <f t="shared" si="2"/>
        <v>0</v>
      </c>
      <c r="BV39" s="2">
        <f t="shared" si="3"/>
        <v>0</v>
      </c>
      <c r="BW39" s="2">
        <f t="shared" si="4"/>
        <v>0</v>
      </c>
      <c r="BX39" s="2">
        <f t="shared" si="5"/>
        <v>0</v>
      </c>
      <c r="BY39" s="2">
        <f t="shared" si="6"/>
        <v>0</v>
      </c>
      <c r="BZ39" s="2">
        <f t="shared" ref="BZ39:CA39" si="63">SUM(AQ39)</f>
        <v>0</v>
      </c>
      <c r="CA39" s="2">
        <f t="shared" si="63"/>
        <v>0</v>
      </c>
      <c r="CB39" s="2">
        <f t="shared" si="8"/>
        <v>0</v>
      </c>
    </row>
    <row r="40" spans="1:80" ht="16" x14ac:dyDescent="0.2">
      <c r="A40" s="3" t="s">
        <v>69</v>
      </c>
      <c r="B40" s="4">
        <v>56</v>
      </c>
      <c r="C40" s="5">
        <v>1</v>
      </c>
      <c r="D40" s="5">
        <v>1</v>
      </c>
      <c r="E40" s="5">
        <v>0</v>
      </c>
      <c r="F40" s="10"/>
      <c r="G40" s="10" t="s">
        <v>70</v>
      </c>
      <c r="H40" s="7" t="str">
        <f t="shared" si="0"/>
        <v>No</v>
      </c>
      <c r="I40" s="54" t="s">
        <v>55</v>
      </c>
      <c r="J40" s="8">
        <v>0</v>
      </c>
      <c r="K40" s="8"/>
      <c r="L40" s="27"/>
      <c r="M40" s="8"/>
      <c r="N40" s="8"/>
      <c r="O40" s="8"/>
      <c r="P40" s="8"/>
      <c r="Q40" s="8"/>
      <c r="R40" s="6"/>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v>0</v>
      </c>
      <c r="BT40" s="8"/>
      <c r="BU40" s="2">
        <f t="shared" si="2"/>
        <v>0</v>
      </c>
      <c r="BV40" s="2">
        <f t="shared" si="3"/>
        <v>0</v>
      </c>
      <c r="BW40" s="2">
        <f t="shared" si="4"/>
        <v>0</v>
      </c>
      <c r="BX40" s="2">
        <f t="shared" si="5"/>
        <v>0</v>
      </c>
      <c r="BY40" s="2">
        <f t="shared" si="6"/>
        <v>0</v>
      </c>
      <c r="BZ40" s="2">
        <f t="shared" ref="BZ40:CA40" si="64">SUM(AQ40)</f>
        <v>0</v>
      </c>
      <c r="CA40" s="2">
        <f t="shared" si="64"/>
        <v>0</v>
      </c>
      <c r="CB40" s="2">
        <f t="shared" si="8"/>
        <v>0</v>
      </c>
    </row>
    <row r="41" spans="1:80" ht="16" x14ac:dyDescent="0.2">
      <c r="A41" s="3" t="s">
        <v>69</v>
      </c>
      <c r="B41" s="4">
        <v>56</v>
      </c>
      <c r="C41" s="5">
        <v>1</v>
      </c>
      <c r="D41" s="5">
        <v>1</v>
      </c>
      <c r="E41" s="5">
        <v>0</v>
      </c>
      <c r="F41" s="10"/>
      <c r="G41" s="10" t="s">
        <v>71</v>
      </c>
      <c r="H41" s="7" t="str">
        <f t="shared" si="0"/>
        <v>No</v>
      </c>
      <c r="I41" s="54" t="s">
        <v>55</v>
      </c>
      <c r="J41" s="8">
        <v>0</v>
      </c>
      <c r="K41" s="8"/>
      <c r="L41" s="8"/>
      <c r="M41" s="8"/>
      <c r="N41" s="8"/>
      <c r="O41" s="8"/>
      <c r="P41" s="8"/>
      <c r="Q41" s="8"/>
      <c r="R41" s="6"/>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v>0</v>
      </c>
      <c r="BT41" s="8"/>
      <c r="BU41" s="2">
        <f t="shared" si="2"/>
        <v>0</v>
      </c>
      <c r="BV41" s="2">
        <f t="shared" si="3"/>
        <v>0</v>
      </c>
      <c r="BW41" s="2">
        <f t="shared" si="4"/>
        <v>0</v>
      </c>
      <c r="BX41" s="2">
        <f t="shared" si="5"/>
        <v>0</v>
      </c>
      <c r="BY41" s="2">
        <f t="shared" si="6"/>
        <v>0</v>
      </c>
      <c r="BZ41" s="2">
        <f t="shared" ref="BZ41:CA41" si="65">SUM(AQ41)</f>
        <v>0</v>
      </c>
      <c r="CA41" s="2">
        <f t="shared" si="65"/>
        <v>0</v>
      </c>
      <c r="CB41" s="2">
        <f t="shared" si="8"/>
        <v>0</v>
      </c>
    </row>
    <row r="42" spans="1:80" ht="16" x14ac:dyDescent="0.2">
      <c r="A42" s="3" t="s">
        <v>69</v>
      </c>
      <c r="B42" s="4">
        <v>56</v>
      </c>
      <c r="C42" s="5">
        <v>1</v>
      </c>
      <c r="D42" s="5">
        <v>1</v>
      </c>
      <c r="E42" s="5">
        <v>0</v>
      </c>
      <c r="F42" s="10"/>
      <c r="G42" s="10" t="s">
        <v>72</v>
      </c>
      <c r="H42" s="7" t="str">
        <f t="shared" si="0"/>
        <v>No</v>
      </c>
      <c r="I42" s="54" t="s">
        <v>55</v>
      </c>
      <c r="J42" s="8">
        <v>0</v>
      </c>
      <c r="K42" s="8"/>
      <c r="L42" s="8"/>
      <c r="M42" s="8"/>
      <c r="N42" s="8"/>
      <c r="O42" s="8"/>
      <c r="P42" s="8"/>
      <c r="Q42" s="8"/>
      <c r="R42" s="6"/>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v>0</v>
      </c>
      <c r="BT42" s="8"/>
      <c r="BU42" s="2">
        <f t="shared" si="2"/>
        <v>0</v>
      </c>
      <c r="BV42" s="2">
        <f t="shared" si="3"/>
        <v>0</v>
      </c>
      <c r="BW42" s="2">
        <f t="shared" si="4"/>
        <v>0</v>
      </c>
      <c r="BX42" s="2">
        <f t="shared" si="5"/>
        <v>0</v>
      </c>
      <c r="BY42" s="2">
        <f t="shared" si="6"/>
        <v>0</v>
      </c>
      <c r="BZ42" s="2">
        <f t="shared" ref="BZ42:CA42" si="66">SUM(AQ42)</f>
        <v>0</v>
      </c>
      <c r="CA42" s="2">
        <f t="shared" si="66"/>
        <v>0</v>
      </c>
      <c r="CB42" s="2">
        <f t="shared" si="8"/>
        <v>0</v>
      </c>
    </row>
    <row r="43" spans="1:80" ht="16" x14ac:dyDescent="0.2">
      <c r="A43" s="3" t="s">
        <v>69</v>
      </c>
      <c r="B43" s="4">
        <v>56</v>
      </c>
      <c r="C43" s="5">
        <v>1</v>
      </c>
      <c r="D43" s="5">
        <v>1</v>
      </c>
      <c r="E43" s="5">
        <v>0</v>
      </c>
      <c r="F43" s="10"/>
      <c r="G43" s="10" t="s">
        <v>73</v>
      </c>
      <c r="H43" s="7" t="str">
        <f t="shared" si="0"/>
        <v>No</v>
      </c>
      <c r="I43" s="54" t="s">
        <v>55</v>
      </c>
      <c r="J43" s="8">
        <v>0</v>
      </c>
      <c r="K43" s="8"/>
      <c r="L43" s="8"/>
      <c r="M43" s="8"/>
      <c r="N43" s="8"/>
      <c r="O43" s="8"/>
      <c r="P43" s="8"/>
      <c r="Q43" s="8"/>
      <c r="R43" s="6"/>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v>0</v>
      </c>
      <c r="BT43" s="8"/>
      <c r="BU43" s="2">
        <f t="shared" si="2"/>
        <v>0</v>
      </c>
      <c r="BV43" s="2">
        <f t="shared" si="3"/>
        <v>0</v>
      </c>
      <c r="BW43" s="2">
        <f t="shared" si="4"/>
        <v>0</v>
      </c>
      <c r="BX43" s="2">
        <f t="shared" si="5"/>
        <v>0</v>
      </c>
      <c r="BY43" s="2">
        <f t="shared" si="6"/>
        <v>0</v>
      </c>
      <c r="BZ43" s="2">
        <f t="shared" ref="BZ43:CA43" si="67">SUM(AQ43)</f>
        <v>0</v>
      </c>
      <c r="CA43" s="2">
        <f t="shared" si="67"/>
        <v>0</v>
      </c>
      <c r="CB43" s="2">
        <f t="shared" si="8"/>
        <v>0</v>
      </c>
    </row>
    <row r="44" spans="1:80" ht="16" x14ac:dyDescent="0.2">
      <c r="A44" s="3" t="s">
        <v>69</v>
      </c>
      <c r="B44" s="4">
        <v>56</v>
      </c>
      <c r="C44" s="5">
        <v>1</v>
      </c>
      <c r="D44" s="5">
        <v>1</v>
      </c>
      <c r="E44" s="5">
        <v>0</v>
      </c>
      <c r="F44" s="10"/>
      <c r="G44" s="10" t="s">
        <v>74</v>
      </c>
      <c r="H44" s="7" t="str">
        <f t="shared" si="0"/>
        <v>No</v>
      </c>
      <c r="I44" s="54" t="s">
        <v>55</v>
      </c>
      <c r="J44" s="8">
        <v>0</v>
      </c>
      <c r="K44" s="8"/>
      <c r="L44" s="8"/>
      <c r="M44" s="8"/>
      <c r="N44" s="8"/>
      <c r="O44" s="8"/>
      <c r="P44" s="8"/>
      <c r="Q44" s="8"/>
      <c r="R44" s="6"/>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v>0</v>
      </c>
      <c r="BT44" s="8"/>
      <c r="BU44" s="2">
        <f t="shared" si="2"/>
        <v>0</v>
      </c>
      <c r="BV44" s="2">
        <f t="shared" si="3"/>
        <v>0</v>
      </c>
      <c r="BW44" s="2">
        <f t="shared" si="4"/>
        <v>0</v>
      </c>
      <c r="BX44" s="2">
        <f t="shared" si="5"/>
        <v>0</v>
      </c>
      <c r="BY44" s="2">
        <f t="shared" si="6"/>
        <v>0</v>
      </c>
      <c r="BZ44" s="2">
        <f t="shared" ref="BZ44:CA44" si="68">SUM(AQ44)</f>
        <v>0</v>
      </c>
      <c r="CA44" s="2">
        <f t="shared" si="68"/>
        <v>0</v>
      </c>
      <c r="CB44" s="2">
        <f t="shared" si="8"/>
        <v>0</v>
      </c>
    </row>
    <row r="45" spans="1:80" ht="16" x14ac:dyDescent="0.2">
      <c r="A45" s="3" t="s">
        <v>69</v>
      </c>
      <c r="B45" s="4">
        <v>56</v>
      </c>
      <c r="C45" s="5">
        <v>1</v>
      </c>
      <c r="D45" s="5">
        <v>1</v>
      </c>
      <c r="E45" s="5">
        <v>0</v>
      </c>
      <c r="F45" s="10"/>
      <c r="G45" s="10" t="s">
        <v>75</v>
      </c>
      <c r="H45" s="7" t="str">
        <f t="shared" si="0"/>
        <v>No</v>
      </c>
      <c r="I45" s="54" t="s">
        <v>55</v>
      </c>
      <c r="J45" s="8">
        <v>0</v>
      </c>
      <c r="K45" s="8"/>
      <c r="L45" s="8"/>
      <c r="M45" s="8"/>
      <c r="N45" s="8"/>
      <c r="O45" s="8"/>
      <c r="P45" s="8"/>
      <c r="Q45" s="8"/>
      <c r="R45" s="6"/>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v>0</v>
      </c>
      <c r="BT45" s="8"/>
      <c r="BU45" s="2">
        <f t="shared" si="2"/>
        <v>0</v>
      </c>
      <c r="BV45" s="2">
        <f t="shared" si="3"/>
        <v>0</v>
      </c>
      <c r="BW45" s="2">
        <f t="shared" si="4"/>
        <v>0</v>
      </c>
      <c r="BX45" s="2">
        <f t="shared" si="5"/>
        <v>0</v>
      </c>
      <c r="BY45" s="2">
        <f t="shared" si="6"/>
        <v>0</v>
      </c>
      <c r="BZ45" s="2">
        <f t="shared" ref="BZ45:CA45" si="69">SUM(AQ45)</f>
        <v>0</v>
      </c>
      <c r="CA45" s="2">
        <f t="shared" si="69"/>
        <v>0</v>
      </c>
      <c r="CB45" s="2">
        <f t="shared" si="8"/>
        <v>0</v>
      </c>
    </row>
    <row r="46" spans="1:80" ht="16" x14ac:dyDescent="0.2">
      <c r="A46" s="3" t="s">
        <v>69</v>
      </c>
      <c r="B46" s="4">
        <v>56</v>
      </c>
      <c r="C46" s="5">
        <v>1</v>
      </c>
      <c r="D46" s="5">
        <v>1</v>
      </c>
      <c r="E46" s="5">
        <v>0</v>
      </c>
      <c r="F46" s="10"/>
      <c r="G46" s="10" t="s">
        <v>76</v>
      </c>
      <c r="H46" s="7" t="str">
        <f t="shared" si="0"/>
        <v>No</v>
      </c>
      <c r="I46" s="54" t="s">
        <v>55</v>
      </c>
      <c r="J46" s="8">
        <v>0</v>
      </c>
      <c r="K46" s="8"/>
      <c r="L46" s="8"/>
      <c r="M46" s="8"/>
      <c r="N46" s="8"/>
      <c r="O46" s="8"/>
      <c r="P46" s="8"/>
      <c r="Q46" s="8"/>
      <c r="R46" s="6"/>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v>0</v>
      </c>
      <c r="BT46" s="8"/>
      <c r="BU46" s="2">
        <f t="shared" si="2"/>
        <v>0</v>
      </c>
      <c r="BV46" s="2">
        <f t="shared" si="3"/>
        <v>0</v>
      </c>
      <c r="BW46" s="2">
        <f t="shared" si="4"/>
        <v>0</v>
      </c>
      <c r="BX46" s="2">
        <f t="shared" si="5"/>
        <v>0</v>
      </c>
      <c r="BY46" s="2">
        <f t="shared" si="6"/>
        <v>0</v>
      </c>
      <c r="BZ46" s="2">
        <f t="shared" ref="BZ46:CA46" si="70">SUM(AQ46)</f>
        <v>0</v>
      </c>
      <c r="CA46" s="2">
        <f t="shared" si="70"/>
        <v>0</v>
      </c>
      <c r="CB46" s="2">
        <f t="shared" si="8"/>
        <v>0</v>
      </c>
    </row>
    <row r="47" spans="1:80" ht="16" x14ac:dyDescent="0.2">
      <c r="A47" s="3" t="s">
        <v>69</v>
      </c>
      <c r="B47" s="4">
        <v>56</v>
      </c>
      <c r="C47" s="5">
        <v>1</v>
      </c>
      <c r="D47" s="5">
        <v>1</v>
      </c>
      <c r="E47" s="5">
        <v>0</v>
      </c>
      <c r="F47" s="10"/>
      <c r="G47" s="10" t="s">
        <v>77</v>
      </c>
      <c r="H47" s="7" t="str">
        <f t="shared" si="0"/>
        <v>No</v>
      </c>
      <c r="I47" s="54" t="s">
        <v>55</v>
      </c>
      <c r="J47" s="8">
        <v>0</v>
      </c>
      <c r="K47" s="8"/>
      <c r="L47" s="8"/>
      <c r="M47" s="8"/>
      <c r="N47" s="8"/>
      <c r="O47" s="8"/>
      <c r="P47" s="8"/>
      <c r="Q47" s="8"/>
      <c r="R47" s="6"/>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v>0</v>
      </c>
      <c r="BT47" s="8"/>
      <c r="BU47" s="2">
        <f t="shared" si="2"/>
        <v>0</v>
      </c>
      <c r="BV47" s="2">
        <f t="shared" si="3"/>
        <v>0</v>
      </c>
      <c r="BW47" s="2">
        <f t="shared" si="4"/>
        <v>0</v>
      </c>
      <c r="BX47" s="2">
        <f t="shared" si="5"/>
        <v>0</v>
      </c>
      <c r="BY47" s="2">
        <f t="shared" si="6"/>
        <v>0</v>
      </c>
      <c r="BZ47" s="2">
        <f t="shared" ref="BZ47:CA47" si="71">SUM(AQ47)</f>
        <v>0</v>
      </c>
      <c r="CA47" s="2">
        <f t="shared" si="71"/>
        <v>0</v>
      </c>
      <c r="CB47" s="2">
        <f t="shared" si="8"/>
        <v>0</v>
      </c>
    </row>
    <row r="48" spans="1:80" ht="16" x14ac:dyDescent="0.2">
      <c r="A48" s="3" t="s">
        <v>69</v>
      </c>
      <c r="B48" s="4">
        <v>56</v>
      </c>
      <c r="C48" s="5">
        <v>1</v>
      </c>
      <c r="D48" s="5">
        <v>1</v>
      </c>
      <c r="E48" s="5">
        <v>0</v>
      </c>
      <c r="F48" s="10"/>
      <c r="G48" s="10" t="s">
        <v>78</v>
      </c>
      <c r="H48" s="7" t="str">
        <f t="shared" si="0"/>
        <v>No</v>
      </c>
      <c r="I48" s="54" t="s">
        <v>55</v>
      </c>
      <c r="J48" s="8">
        <v>0</v>
      </c>
      <c r="K48" s="8"/>
      <c r="L48" s="8"/>
      <c r="M48" s="8"/>
      <c r="N48" s="8"/>
      <c r="O48" s="8"/>
      <c r="P48" s="8"/>
      <c r="Q48" s="8"/>
      <c r="R48" s="6"/>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v>0</v>
      </c>
      <c r="BT48" s="8"/>
      <c r="BU48" s="2">
        <f t="shared" si="2"/>
        <v>0</v>
      </c>
      <c r="BV48" s="2">
        <f t="shared" si="3"/>
        <v>0</v>
      </c>
      <c r="BW48" s="2">
        <f t="shared" si="4"/>
        <v>0</v>
      </c>
      <c r="BX48" s="2">
        <f t="shared" si="5"/>
        <v>0</v>
      </c>
      <c r="BY48" s="2">
        <f t="shared" si="6"/>
        <v>0</v>
      </c>
      <c r="BZ48" s="2">
        <f t="shared" ref="BZ48:CA48" si="72">SUM(AQ48)</f>
        <v>0</v>
      </c>
      <c r="CA48" s="2">
        <f t="shared" si="72"/>
        <v>0</v>
      </c>
      <c r="CB48" s="2">
        <f t="shared" si="8"/>
        <v>0</v>
      </c>
    </row>
    <row r="49" spans="1:80" ht="15" customHeight="1" x14ac:dyDescent="0.2">
      <c r="A49" s="3" t="s">
        <v>69</v>
      </c>
      <c r="B49" s="4">
        <v>56</v>
      </c>
      <c r="C49" s="5">
        <v>1</v>
      </c>
      <c r="D49" s="5">
        <v>1</v>
      </c>
      <c r="E49" s="5">
        <v>0</v>
      </c>
      <c r="F49" s="10"/>
      <c r="G49" s="10" t="s">
        <v>79</v>
      </c>
      <c r="H49" s="7" t="str">
        <f t="shared" si="0"/>
        <v>No</v>
      </c>
      <c r="I49" s="54" t="s">
        <v>55</v>
      </c>
      <c r="J49" s="8">
        <v>0</v>
      </c>
      <c r="K49" s="8"/>
      <c r="L49" s="8"/>
      <c r="M49" s="8"/>
      <c r="N49" s="8"/>
      <c r="O49" s="8"/>
      <c r="P49" s="8"/>
      <c r="Q49" s="8"/>
      <c r="R49" s="6"/>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v>0</v>
      </c>
      <c r="BT49" s="8"/>
      <c r="BU49" s="2">
        <f t="shared" si="2"/>
        <v>0</v>
      </c>
      <c r="BV49" s="2">
        <f t="shared" si="3"/>
        <v>0</v>
      </c>
      <c r="BW49" s="2">
        <f t="shared" si="4"/>
        <v>0</v>
      </c>
      <c r="BX49" s="2">
        <f t="shared" si="5"/>
        <v>0</v>
      </c>
      <c r="BY49" s="2">
        <f t="shared" si="6"/>
        <v>0</v>
      </c>
      <c r="BZ49" s="2">
        <f t="shared" ref="BZ49:CA49" si="73">SUM(AQ49)</f>
        <v>0</v>
      </c>
      <c r="CA49" s="2">
        <f t="shared" si="73"/>
        <v>0</v>
      </c>
      <c r="CB49" s="2">
        <f t="shared" si="8"/>
        <v>0</v>
      </c>
    </row>
    <row r="50" spans="1:80" ht="15" customHeight="1" x14ac:dyDescent="0.2">
      <c r="A50" s="3" t="s">
        <v>69</v>
      </c>
      <c r="B50" s="4">
        <v>56</v>
      </c>
      <c r="C50" s="5">
        <v>1</v>
      </c>
      <c r="D50" s="5">
        <v>1</v>
      </c>
      <c r="E50" s="5">
        <v>0</v>
      </c>
      <c r="F50" s="10"/>
      <c r="G50" s="10" t="s">
        <v>80</v>
      </c>
      <c r="H50" s="7" t="str">
        <f t="shared" si="0"/>
        <v>No</v>
      </c>
      <c r="I50" s="54" t="s">
        <v>55</v>
      </c>
      <c r="J50" s="8">
        <v>0</v>
      </c>
      <c r="K50" s="8"/>
      <c r="L50" s="8"/>
      <c r="M50" s="8"/>
      <c r="N50" s="8"/>
      <c r="O50" s="8"/>
      <c r="P50" s="8"/>
      <c r="Q50" s="8"/>
      <c r="R50" s="6"/>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v>0</v>
      </c>
      <c r="BT50" s="8"/>
      <c r="BU50" s="2">
        <f t="shared" si="2"/>
        <v>0</v>
      </c>
      <c r="BV50" s="2">
        <f t="shared" si="3"/>
        <v>0</v>
      </c>
      <c r="BW50" s="2">
        <f t="shared" si="4"/>
        <v>0</v>
      </c>
      <c r="BX50" s="2">
        <f t="shared" si="5"/>
        <v>0</v>
      </c>
      <c r="BY50" s="2">
        <f t="shared" si="6"/>
        <v>0</v>
      </c>
      <c r="BZ50" s="2">
        <f t="shared" ref="BZ50:CA50" si="74">SUM(AQ50)</f>
        <v>0</v>
      </c>
      <c r="CA50" s="2">
        <f t="shared" si="74"/>
        <v>0</v>
      </c>
      <c r="CB50" s="2">
        <f t="shared" si="8"/>
        <v>0</v>
      </c>
    </row>
    <row r="51" spans="1:80" ht="15" customHeight="1" x14ac:dyDescent="0.2">
      <c r="A51" s="3" t="s">
        <v>69</v>
      </c>
      <c r="B51" s="4">
        <v>56</v>
      </c>
      <c r="C51" s="5">
        <v>1</v>
      </c>
      <c r="D51" s="5">
        <v>1</v>
      </c>
      <c r="E51" s="5">
        <v>0</v>
      </c>
      <c r="F51" s="10">
        <v>2022</v>
      </c>
      <c r="G51" s="10">
        <v>2022</v>
      </c>
      <c r="H51" s="7" t="str">
        <f t="shared" si="0"/>
        <v>No</v>
      </c>
      <c r="I51" s="54" t="s">
        <v>55</v>
      </c>
      <c r="J51" s="8">
        <v>0</v>
      </c>
      <c r="K51" s="8" t="s">
        <v>81</v>
      </c>
      <c r="L51" s="8"/>
      <c r="M51" s="8"/>
      <c r="N51" s="8"/>
      <c r="O51" s="8"/>
      <c r="P51" s="8"/>
      <c r="Q51" s="8"/>
      <c r="R51" s="6"/>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v>0</v>
      </c>
      <c r="BT51" s="8"/>
      <c r="BU51" s="2">
        <f t="shared" si="2"/>
        <v>0</v>
      </c>
      <c r="BV51" s="2">
        <f t="shared" si="3"/>
        <v>0</v>
      </c>
      <c r="BW51" s="2">
        <f t="shared" si="4"/>
        <v>0</v>
      </c>
      <c r="BX51" s="2">
        <f t="shared" si="5"/>
        <v>0</v>
      </c>
      <c r="BY51" s="2">
        <f t="shared" si="6"/>
        <v>0</v>
      </c>
      <c r="BZ51" s="2">
        <f t="shared" ref="BZ51:CA51" si="75">SUM(AQ51)</f>
        <v>0</v>
      </c>
      <c r="CA51" s="2">
        <f t="shared" si="75"/>
        <v>0</v>
      </c>
      <c r="CB51" s="2">
        <f t="shared" si="8"/>
        <v>0</v>
      </c>
    </row>
    <row r="52" spans="1:80" s="33" customFormat="1" ht="15" customHeight="1" x14ac:dyDescent="0.2">
      <c r="A52" s="21" t="s">
        <v>69</v>
      </c>
      <c r="B52" s="34">
        <v>56</v>
      </c>
      <c r="C52" s="31">
        <v>1</v>
      </c>
      <c r="D52" s="31">
        <v>1</v>
      </c>
      <c r="E52" s="31">
        <v>0</v>
      </c>
      <c r="F52" s="30">
        <v>2022</v>
      </c>
      <c r="G52" s="30">
        <v>2023</v>
      </c>
      <c r="H52" s="22" t="s">
        <v>82</v>
      </c>
      <c r="I52" s="55" t="s">
        <v>56</v>
      </c>
      <c r="J52" s="23">
        <v>2</v>
      </c>
      <c r="K52" s="23" t="s">
        <v>63</v>
      </c>
      <c r="L52" s="23" t="s">
        <v>64</v>
      </c>
      <c r="M52" s="23" t="s">
        <v>64</v>
      </c>
      <c r="N52" s="23">
        <v>1</v>
      </c>
      <c r="O52" s="23">
        <v>0</v>
      </c>
      <c r="P52" s="23">
        <v>1</v>
      </c>
      <c r="Q52" s="23" t="s">
        <v>65</v>
      </c>
      <c r="R52" s="25" t="s">
        <v>83</v>
      </c>
      <c r="S52" s="23">
        <v>0</v>
      </c>
      <c r="T52" s="23">
        <v>0</v>
      </c>
      <c r="U52" s="23">
        <v>1</v>
      </c>
      <c r="V52" s="23">
        <v>1</v>
      </c>
      <c r="W52" s="23">
        <v>1</v>
      </c>
      <c r="X52" s="23">
        <v>0</v>
      </c>
      <c r="Y52" s="23">
        <v>0</v>
      </c>
      <c r="Z52" s="23">
        <v>1</v>
      </c>
      <c r="AA52" s="23" t="s">
        <v>84</v>
      </c>
      <c r="AB52" s="23">
        <v>0</v>
      </c>
      <c r="AC52" s="23">
        <v>1</v>
      </c>
      <c r="AD52" s="23">
        <v>0</v>
      </c>
      <c r="AE52" s="23">
        <v>1</v>
      </c>
      <c r="AF52" s="23">
        <v>0</v>
      </c>
      <c r="AG52" s="23">
        <v>1</v>
      </c>
      <c r="AH52" s="23">
        <v>0</v>
      </c>
      <c r="AI52" s="23">
        <v>1</v>
      </c>
      <c r="AJ52" s="23">
        <v>1</v>
      </c>
      <c r="AK52" s="23">
        <v>1</v>
      </c>
      <c r="AL52" s="23">
        <v>1</v>
      </c>
      <c r="AM52" s="23">
        <v>1</v>
      </c>
      <c r="AN52" s="23">
        <v>1</v>
      </c>
      <c r="AO52" s="23">
        <v>0</v>
      </c>
      <c r="AP52" s="23">
        <v>1</v>
      </c>
      <c r="AQ52" s="23">
        <v>1</v>
      </c>
      <c r="AR52" s="23">
        <v>1</v>
      </c>
      <c r="AS52" s="23">
        <v>0</v>
      </c>
      <c r="AT52" s="23">
        <v>1</v>
      </c>
      <c r="AU52" s="23">
        <v>1</v>
      </c>
      <c r="AV52" s="23">
        <v>1</v>
      </c>
      <c r="AW52" s="23">
        <v>1</v>
      </c>
      <c r="AX52" s="23">
        <v>0</v>
      </c>
      <c r="AY52" s="23">
        <v>1</v>
      </c>
      <c r="AZ52" s="23">
        <v>1</v>
      </c>
      <c r="BA52" s="23">
        <v>0</v>
      </c>
      <c r="BB52" s="23">
        <v>1</v>
      </c>
      <c r="BC52" s="23">
        <v>0</v>
      </c>
      <c r="BD52" s="23">
        <v>0</v>
      </c>
      <c r="BE52" s="23">
        <v>1</v>
      </c>
      <c r="BF52" s="23">
        <v>0</v>
      </c>
      <c r="BG52" s="23">
        <v>0</v>
      </c>
      <c r="BH52" s="23">
        <v>0</v>
      </c>
      <c r="BI52" s="23">
        <v>0</v>
      </c>
      <c r="BJ52" s="23">
        <v>1</v>
      </c>
      <c r="BK52" s="23">
        <v>1</v>
      </c>
      <c r="BL52" s="23">
        <v>1</v>
      </c>
      <c r="BM52" s="23">
        <v>1</v>
      </c>
      <c r="BN52" s="23">
        <v>0</v>
      </c>
      <c r="BO52" s="23">
        <v>1</v>
      </c>
      <c r="BP52" s="23">
        <v>0</v>
      </c>
      <c r="BQ52" s="23">
        <v>1</v>
      </c>
      <c r="BR52" s="23">
        <v>0</v>
      </c>
      <c r="BS52" s="23">
        <v>22</v>
      </c>
      <c r="BT52" s="23"/>
      <c r="BU52" s="32">
        <f t="shared" ref="BU52" si="76">SUM(AI52,BK52)</f>
        <v>2</v>
      </c>
      <c r="BV52" s="32">
        <f t="shared" ref="BV52" si="77">SUM(AK52, AL52, AM52,AJ52,BL52,BO52, AP52)</f>
        <v>7</v>
      </c>
      <c r="BW52" s="32">
        <f t="shared" ref="BW52" si="78">SUM(AN52, AO52, AS52)</f>
        <v>1</v>
      </c>
      <c r="BX52" s="32">
        <f t="shared" ref="BX52" si="79">SUM(AU52,AV52,AW52,AX52,AY52,AZ52,BA52,BB52,BC52,BD52,BE52,BF52,BG52,BH52,BI52,BJ52,BQ52,BR52,BM52)</f>
        <v>10</v>
      </c>
      <c r="BY52" s="32">
        <f t="shared" ref="BY52" si="80">SUM(BP52, BN52)</f>
        <v>0</v>
      </c>
      <c r="BZ52" s="32">
        <f t="shared" ref="BZ52" si="81">SUM(AQ52)</f>
        <v>1</v>
      </c>
      <c r="CA52" s="32">
        <f t="shared" ref="CA52" si="82">SUM(AR52)</f>
        <v>1</v>
      </c>
      <c r="CB52" s="32">
        <f t="shared" ref="CB52" si="83">SUM(AT52)</f>
        <v>1</v>
      </c>
    </row>
    <row r="53" spans="1:80" ht="16" x14ac:dyDescent="0.2">
      <c r="A53" s="3" t="s">
        <v>85</v>
      </c>
      <c r="B53" s="4">
        <v>124</v>
      </c>
      <c r="C53" s="5">
        <v>1</v>
      </c>
      <c r="D53" s="5">
        <v>0</v>
      </c>
      <c r="E53" s="5">
        <v>1</v>
      </c>
      <c r="F53" s="10">
        <v>1985</v>
      </c>
      <c r="G53" s="10" t="s">
        <v>86</v>
      </c>
      <c r="H53" s="7" t="str">
        <f t="shared" si="0"/>
        <v>No</v>
      </c>
      <c r="I53" s="54" t="s">
        <v>55</v>
      </c>
      <c r="J53" s="8">
        <v>5</v>
      </c>
      <c r="K53" s="8" t="s">
        <v>59</v>
      </c>
      <c r="L53" s="8" t="s">
        <v>64</v>
      </c>
      <c r="M53" s="8" t="s">
        <v>52</v>
      </c>
      <c r="N53" s="8">
        <v>1</v>
      </c>
      <c r="O53" s="8">
        <v>1</v>
      </c>
      <c r="P53" s="8">
        <v>0</v>
      </c>
      <c r="Q53" s="8" t="s">
        <v>87</v>
      </c>
      <c r="R53" s="6" t="s">
        <v>88</v>
      </c>
      <c r="S53" s="8">
        <v>0</v>
      </c>
      <c r="T53" s="8">
        <v>1</v>
      </c>
      <c r="U53" s="8">
        <v>1</v>
      </c>
      <c r="V53" s="8">
        <v>0</v>
      </c>
      <c r="W53" s="8">
        <v>0</v>
      </c>
      <c r="X53" s="8">
        <v>1</v>
      </c>
      <c r="Y53" s="8">
        <v>0</v>
      </c>
      <c r="Z53" s="8">
        <v>1</v>
      </c>
      <c r="AA53" s="8" t="s">
        <v>89</v>
      </c>
      <c r="AB53" s="8">
        <v>0</v>
      </c>
      <c r="AC53" s="8">
        <v>0</v>
      </c>
      <c r="AD53" s="8">
        <v>1</v>
      </c>
      <c r="AE53" s="8">
        <v>0</v>
      </c>
      <c r="AF53" s="8">
        <v>0</v>
      </c>
      <c r="AG53" s="8">
        <v>0</v>
      </c>
      <c r="AH53" s="8">
        <v>0</v>
      </c>
      <c r="AI53" s="8">
        <v>0</v>
      </c>
      <c r="AJ53" s="8">
        <v>0</v>
      </c>
      <c r="AK53" s="8">
        <v>0</v>
      </c>
      <c r="AL53" s="8">
        <v>1</v>
      </c>
      <c r="AM53" s="8">
        <v>1</v>
      </c>
      <c r="AN53" s="8">
        <v>0</v>
      </c>
      <c r="AO53" s="8">
        <v>0</v>
      </c>
      <c r="AP53" s="8">
        <v>0</v>
      </c>
      <c r="AQ53" s="8">
        <v>1</v>
      </c>
      <c r="AR53" s="8">
        <v>1</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f t="shared" ref="BS53:BS67" si="84">SUM(AI53:BR53)</f>
        <v>4</v>
      </c>
      <c r="BT53" s="8"/>
      <c r="BU53" s="2">
        <f t="shared" si="2"/>
        <v>0</v>
      </c>
      <c r="BV53" s="2">
        <f t="shared" si="3"/>
        <v>2</v>
      </c>
      <c r="BW53" s="2">
        <f t="shared" si="4"/>
        <v>0</v>
      </c>
      <c r="BX53" s="2">
        <f t="shared" si="5"/>
        <v>0</v>
      </c>
      <c r="BY53" s="2">
        <f t="shared" si="6"/>
        <v>0</v>
      </c>
      <c r="BZ53" s="2">
        <f t="shared" ref="BZ53:CA53" si="85">SUM(AQ53)</f>
        <v>1</v>
      </c>
      <c r="CA53" s="2">
        <f t="shared" si="85"/>
        <v>1</v>
      </c>
      <c r="CB53" s="2">
        <f t="shared" si="8"/>
        <v>0</v>
      </c>
    </row>
    <row r="54" spans="1:80" ht="16" x14ac:dyDescent="0.2">
      <c r="A54" s="3" t="s">
        <v>85</v>
      </c>
      <c r="B54" s="4">
        <v>124</v>
      </c>
      <c r="C54" s="5">
        <v>1</v>
      </c>
      <c r="D54" s="5">
        <v>0</v>
      </c>
      <c r="E54" s="5">
        <v>1</v>
      </c>
      <c r="F54" s="10">
        <v>1985</v>
      </c>
      <c r="G54" s="10" t="s">
        <v>90</v>
      </c>
      <c r="H54" s="7" t="str">
        <f t="shared" si="0"/>
        <v>No</v>
      </c>
      <c r="I54" s="54" t="s">
        <v>55</v>
      </c>
      <c r="J54" s="8">
        <v>5</v>
      </c>
      <c r="K54" s="8" t="s">
        <v>59</v>
      </c>
      <c r="L54" s="8" t="s">
        <v>64</v>
      </c>
      <c r="M54" s="8" t="s">
        <v>52</v>
      </c>
      <c r="N54" s="8">
        <v>1</v>
      </c>
      <c r="O54" s="8">
        <v>1</v>
      </c>
      <c r="P54" s="8">
        <v>0</v>
      </c>
      <c r="Q54" s="8" t="s">
        <v>87</v>
      </c>
      <c r="R54" s="6" t="s">
        <v>88</v>
      </c>
      <c r="S54" s="8">
        <v>0</v>
      </c>
      <c r="T54" s="8">
        <v>1</v>
      </c>
      <c r="U54" s="8">
        <v>1</v>
      </c>
      <c r="V54" s="8">
        <v>0</v>
      </c>
      <c r="W54" s="8">
        <v>0</v>
      </c>
      <c r="X54" s="8">
        <v>1</v>
      </c>
      <c r="Y54" s="8">
        <v>0</v>
      </c>
      <c r="Z54" s="8">
        <v>1</v>
      </c>
      <c r="AA54" s="8" t="s">
        <v>89</v>
      </c>
      <c r="AB54" s="8">
        <v>0</v>
      </c>
      <c r="AC54" s="8">
        <v>0</v>
      </c>
      <c r="AD54" s="8">
        <v>1</v>
      </c>
      <c r="AE54" s="8">
        <v>0</v>
      </c>
      <c r="AF54" s="8">
        <v>0</v>
      </c>
      <c r="AG54" s="8">
        <v>0</v>
      </c>
      <c r="AH54" s="8">
        <v>0</v>
      </c>
      <c r="AI54" s="8">
        <v>0</v>
      </c>
      <c r="AJ54" s="8">
        <v>0</v>
      </c>
      <c r="AK54" s="8">
        <v>0</v>
      </c>
      <c r="AL54" s="8">
        <v>1</v>
      </c>
      <c r="AM54" s="8">
        <v>1</v>
      </c>
      <c r="AN54" s="8">
        <v>0</v>
      </c>
      <c r="AO54" s="8">
        <v>0</v>
      </c>
      <c r="AP54" s="8">
        <v>0</v>
      </c>
      <c r="AQ54" s="8">
        <v>1</v>
      </c>
      <c r="AR54" s="8">
        <v>1</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f t="shared" si="84"/>
        <v>4</v>
      </c>
      <c r="BT54" s="8"/>
      <c r="BU54" s="2">
        <f t="shared" si="2"/>
        <v>0</v>
      </c>
      <c r="BV54" s="2">
        <f t="shared" si="3"/>
        <v>2</v>
      </c>
      <c r="BW54" s="2">
        <f t="shared" si="4"/>
        <v>0</v>
      </c>
      <c r="BX54" s="2">
        <f t="shared" si="5"/>
        <v>0</v>
      </c>
      <c r="BY54" s="2">
        <f t="shared" si="6"/>
        <v>0</v>
      </c>
      <c r="BZ54" s="2">
        <f t="shared" ref="BZ54:CA54" si="86">SUM(AQ54)</f>
        <v>1</v>
      </c>
      <c r="CA54" s="2">
        <f t="shared" si="86"/>
        <v>1</v>
      </c>
      <c r="CB54" s="2">
        <f t="shared" si="8"/>
        <v>0</v>
      </c>
    </row>
    <row r="55" spans="1:80" ht="16" x14ac:dyDescent="0.2">
      <c r="A55" s="3" t="s">
        <v>85</v>
      </c>
      <c r="B55" s="4">
        <v>124</v>
      </c>
      <c r="C55" s="5">
        <v>1</v>
      </c>
      <c r="D55" s="5">
        <v>0</v>
      </c>
      <c r="E55" s="5">
        <v>1</v>
      </c>
      <c r="F55" s="10">
        <v>1985</v>
      </c>
      <c r="G55" s="10" t="s">
        <v>91</v>
      </c>
      <c r="H55" s="7" t="str">
        <f t="shared" si="0"/>
        <v>Yes</v>
      </c>
      <c r="I55" s="54" t="s">
        <v>56</v>
      </c>
      <c r="J55" s="8">
        <v>5</v>
      </c>
      <c r="K55" s="8" t="s">
        <v>59</v>
      </c>
      <c r="L55" s="8" t="s">
        <v>64</v>
      </c>
      <c r="M55" s="8" t="s">
        <v>52</v>
      </c>
      <c r="N55" s="8">
        <v>1</v>
      </c>
      <c r="O55" s="8">
        <v>1</v>
      </c>
      <c r="P55" s="8">
        <v>0</v>
      </c>
      <c r="Q55" s="8" t="s">
        <v>92</v>
      </c>
      <c r="R55" s="6" t="s">
        <v>88</v>
      </c>
      <c r="S55" s="8">
        <v>0</v>
      </c>
      <c r="T55" s="8">
        <v>1</v>
      </c>
      <c r="U55" s="8">
        <v>1</v>
      </c>
      <c r="V55" s="8">
        <v>0</v>
      </c>
      <c r="W55" s="8">
        <v>1</v>
      </c>
      <c r="X55" s="8">
        <v>1</v>
      </c>
      <c r="Y55" s="8">
        <v>0</v>
      </c>
      <c r="Z55" s="8">
        <v>1</v>
      </c>
      <c r="AA55" s="8" t="s">
        <v>89</v>
      </c>
      <c r="AB55" s="8">
        <v>0</v>
      </c>
      <c r="AC55" s="8">
        <v>0</v>
      </c>
      <c r="AD55" s="8">
        <v>1</v>
      </c>
      <c r="AE55" s="8">
        <v>0</v>
      </c>
      <c r="AF55" s="8">
        <v>0</v>
      </c>
      <c r="AG55" s="8">
        <v>0</v>
      </c>
      <c r="AH55" s="8">
        <v>0</v>
      </c>
      <c r="AI55" s="8">
        <v>0</v>
      </c>
      <c r="AJ55" s="8">
        <v>0</v>
      </c>
      <c r="AK55" s="8">
        <v>0</v>
      </c>
      <c r="AL55" s="8">
        <v>1</v>
      </c>
      <c r="AM55" s="8">
        <v>1</v>
      </c>
      <c r="AN55" s="8">
        <v>0</v>
      </c>
      <c r="AO55" s="8">
        <v>0</v>
      </c>
      <c r="AP55" s="8">
        <v>0</v>
      </c>
      <c r="AQ55" s="8">
        <v>1</v>
      </c>
      <c r="AR55" s="8">
        <v>1</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f t="shared" si="84"/>
        <v>4</v>
      </c>
      <c r="BT55" s="8"/>
      <c r="BU55" s="2">
        <f t="shared" si="2"/>
        <v>0</v>
      </c>
      <c r="BV55" s="2">
        <f t="shared" si="3"/>
        <v>2</v>
      </c>
      <c r="BW55" s="2">
        <f t="shared" si="4"/>
        <v>0</v>
      </c>
      <c r="BX55" s="2">
        <f t="shared" si="5"/>
        <v>0</v>
      </c>
      <c r="BY55" s="2">
        <f t="shared" si="6"/>
        <v>0</v>
      </c>
      <c r="BZ55" s="2">
        <f t="shared" ref="BZ55:CA55" si="87">SUM(AQ55)</f>
        <v>1</v>
      </c>
      <c r="CA55" s="2">
        <f t="shared" si="87"/>
        <v>1</v>
      </c>
      <c r="CB55" s="2">
        <f t="shared" si="8"/>
        <v>0</v>
      </c>
    </row>
    <row r="56" spans="1:80" ht="16" x14ac:dyDescent="0.2">
      <c r="A56" s="3" t="s">
        <v>85</v>
      </c>
      <c r="B56" s="4">
        <v>124</v>
      </c>
      <c r="C56" s="5">
        <v>1</v>
      </c>
      <c r="D56" s="5">
        <v>0</v>
      </c>
      <c r="E56" s="5">
        <v>1</v>
      </c>
      <c r="F56" s="10">
        <v>1985</v>
      </c>
      <c r="G56" s="10" t="s">
        <v>93</v>
      </c>
      <c r="H56" s="7" t="str">
        <f t="shared" si="0"/>
        <v>No</v>
      </c>
      <c r="I56" s="54" t="s">
        <v>55</v>
      </c>
      <c r="J56" s="8">
        <v>5</v>
      </c>
      <c r="K56" s="8" t="s">
        <v>59</v>
      </c>
      <c r="L56" s="8" t="s">
        <v>64</v>
      </c>
      <c r="M56" s="8" t="s">
        <v>52</v>
      </c>
      <c r="N56" s="8">
        <v>1</v>
      </c>
      <c r="O56" s="8">
        <v>1</v>
      </c>
      <c r="P56" s="8">
        <v>0</v>
      </c>
      <c r="Q56" s="8" t="s">
        <v>92</v>
      </c>
      <c r="R56" s="6" t="s">
        <v>88</v>
      </c>
      <c r="S56" s="8">
        <v>0</v>
      </c>
      <c r="T56" s="8">
        <v>1</v>
      </c>
      <c r="U56" s="8">
        <v>1</v>
      </c>
      <c r="V56" s="8">
        <v>0</v>
      </c>
      <c r="W56" s="8">
        <v>1</v>
      </c>
      <c r="X56" s="8">
        <v>1</v>
      </c>
      <c r="Y56" s="8">
        <v>0</v>
      </c>
      <c r="Z56" s="8">
        <v>1</v>
      </c>
      <c r="AA56" s="8" t="s">
        <v>89</v>
      </c>
      <c r="AB56" s="8">
        <v>0</v>
      </c>
      <c r="AC56" s="8">
        <v>0</v>
      </c>
      <c r="AD56" s="8">
        <v>1</v>
      </c>
      <c r="AE56" s="8">
        <v>0</v>
      </c>
      <c r="AF56" s="8">
        <v>0</v>
      </c>
      <c r="AG56" s="8">
        <v>0</v>
      </c>
      <c r="AH56" s="8">
        <v>0</v>
      </c>
      <c r="AI56" s="8">
        <v>0</v>
      </c>
      <c r="AJ56" s="8">
        <v>0</v>
      </c>
      <c r="AK56" s="8">
        <v>0</v>
      </c>
      <c r="AL56" s="8">
        <v>1</v>
      </c>
      <c r="AM56" s="8">
        <v>1</v>
      </c>
      <c r="AN56" s="8">
        <v>0</v>
      </c>
      <c r="AO56" s="8">
        <v>0</v>
      </c>
      <c r="AP56" s="8">
        <v>0</v>
      </c>
      <c r="AQ56" s="8">
        <v>1</v>
      </c>
      <c r="AR56" s="8">
        <v>1</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f t="shared" si="84"/>
        <v>4</v>
      </c>
      <c r="BT56" s="8"/>
      <c r="BU56" s="2">
        <f t="shared" si="2"/>
        <v>0</v>
      </c>
      <c r="BV56" s="2">
        <f t="shared" si="3"/>
        <v>2</v>
      </c>
      <c r="BW56" s="2">
        <f t="shared" si="4"/>
        <v>0</v>
      </c>
      <c r="BX56" s="2">
        <f t="shared" si="5"/>
        <v>0</v>
      </c>
      <c r="BY56" s="2">
        <f t="shared" si="6"/>
        <v>0</v>
      </c>
      <c r="BZ56" s="2">
        <f t="shared" ref="BZ56:CA56" si="88">SUM(AQ56)</f>
        <v>1</v>
      </c>
      <c r="CA56" s="2">
        <f t="shared" si="88"/>
        <v>1</v>
      </c>
      <c r="CB56" s="2">
        <f t="shared" si="8"/>
        <v>0</v>
      </c>
    </row>
    <row r="57" spans="1:80" ht="16" x14ac:dyDescent="0.2">
      <c r="A57" s="3" t="s">
        <v>85</v>
      </c>
      <c r="B57" s="4">
        <v>124</v>
      </c>
      <c r="C57" s="5">
        <v>1</v>
      </c>
      <c r="D57" s="5">
        <v>0</v>
      </c>
      <c r="E57" s="5">
        <v>1</v>
      </c>
      <c r="F57" s="10">
        <v>1985</v>
      </c>
      <c r="G57" s="10" t="s">
        <v>70</v>
      </c>
      <c r="H57" s="7" t="str">
        <f t="shared" si="0"/>
        <v>No</v>
      </c>
      <c r="I57" s="54" t="s">
        <v>55</v>
      </c>
      <c r="J57" s="8">
        <v>5</v>
      </c>
      <c r="K57" s="8" t="s">
        <v>59</v>
      </c>
      <c r="L57" s="8" t="s">
        <v>64</v>
      </c>
      <c r="M57" s="8" t="s">
        <v>52</v>
      </c>
      <c r="N57" s="8">
        <v>1</v>
      </c>
      <c r="O57" s="8">
        <v>1</v>
      </c>
      <c r="P57" s="8">
        <v>0</v>
      </c>
      <c r="Q57" s="8" t="s">
        <v>92</v>
      </c>
      <c r="R57" s="6" t="s">
        <v>88</v>
      </c>
      <c r="S57" s="8">
        <v>0</v>
      </c>
      <c r="T57" s="8">
        <v>1</v>
      </c>
      <c r="U57" s="8">
        <v>1</v>
      </c>
      <c r="V57" s="8">
        <v>0</v>
      </c>
      <c r="W57" s="8">
        <v>1</v>
      </c>
      <c r="X57" s="8">
        <v>1</v>
      </c>
      <c r="Y57" s="8">
        <v>0</v>
      </c>
      <c r="Z57" s="8">
        <v>1</v>
      </c>
      <c r="AA57" s="8" t="s">
        <v>89</v>
      </c>
      <c r="AB57" s="8">
        <v>0</v>
      </c>
      <c r="AC57" s="8">
        <v>0</v>
      </c>
      <c r="AD57" s="8">
        <v>1</v>
      </c>
      <c r="AE57" s="8">
        <v>0</v>
      </c>
      <c r="AF57" s="8">
        <v>0</v>
      </c>
      <c r="AG57" s="8">
        <v>0</v>
      </c>
      <c r="AH57" s="8">
        <v>0</v>
      </c>
      <c r="AI57" s="8">
        <v>0</v>
      </c>
      <c r="AJ57" s="8">
        <v>0</v>
      </c>
      <c r="AK57" s="8">
        <v>0</v>
      </c>
      <c r="AL57" s="8">
        <v>1</v>
      </c>
      <c r="AM57" s="8">
        <v>1</v>
      </c>
      <c r="AN57" s="8">
        <v>0</v>
      </c>
      <c r="AO57" s="8">
        <v>0</v>
      </c>
      <c r="AP57" s="8">
        <v>0</v>
      </c>
      <c r="AQ57" s="8">
        <v>1</v>
      </c>
      <c r="AR57" s="8">
        <v>1</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f t="shared" si="84"/>
        <v>4</v>
      </c>
      <c r="BT57" s="8"/>
      <c r="BU57" s="2">
        <f t="shared" si="2"/>
        <v>0</v>
      </c>
      <c r="BV57" s="2">
        <f t="shared" si="3"/>
        <v>2</v>
      </c>
      <c r="BW57" s="2">
        <f t="shared" si="4"/>
        <v>0</v>
      </c>
      <c r="BX57" s="2">
        <f t="shared" si="5"/>
        <v>0</v>
      </c>
      <c r="BY57" s="2">
        <f t="shared" si="6"/>
        <v>0</v>
      </c>
      <c r="BZ57" s="2">
        <f t="shared" ref="BZ57:CA57" si="89">SUM(AQ57)</f>
        <v>1</v>
      </c>
      <c r="CA57" s="2">
        <f t="shared" si="89"/>
        <v>1</v>
      </c>
      <c r="CB57" s="2">
        <f t="shared" si="8"/>
        <v>0</v>
      </c>
    </row>
    <row r="58" spans="1:80" ht="16" x14ac:dyDescent="0.2">
      <c r="A58" s="3" t="s">
        <v>85</v>
      </c>
      <c r="B58" s="4">
        <v>124</v>
      </c>
      <c r="C58" s="5">
        <v>1</v>
      </c>
      <c r="D58" s="5">
        <v>0</v>
      </c>
      <c r="E58" s="5">
        <v>1</v>
      </c>
      <c r="F58" s="10">
        <v>1985</v>
      </c>
      <c r="G58" s="10" t="s">
        <v>71</v>
      </c>
      <c r="H58" s="7" t="str">
        <f t="shared" si="0"/>
        <v>No</v>
      </c>
      <c r="I58" s="54" t="s">
        <v>55</v>
      </c>
      <c r="J58" s="8">
        <v>5</v>
      </c>
      <c r="K58" s="8" t="s">
        <v>59</v>
      </c>
      <c r="L58" s="8" t="s">
        <v>64</v>
      </c>
      <c r="M58" s="8" t="s">
        <v>52</v>
      </c>
      <c r="N58" s="8">
        <v>1</v>
      </c>
      <c r="O58" s="8">
        <v>1</v>
      </c>
      <c r="P58" s="8">
        <v>0</v>
      </c>
      <c r="Q58" s="8" t="s">
        <v>92</v>
      </c>
      <c r="R58" s="6" t="s">
        <v>88</v>
      </c>
      <c r="S58" s="8">
        <v>0</v>
      </c>
      <c r="T58" s="8">
        <v>1</v>
      </c>
      <c r="U58" s="8">
        <v>1</v>
      </c>
      <c r="V58" s="8">
        <v>0</v>
      </c>
      <c r="W58" s="8">
        <v>1</v>
      </c>
      <c r="X58" s="8">
        <v>1</v>
      </c>
      <c r="Y58" s="8">
        <v>0</v>
      </c>
      <c r="Z58" s="8">
        <v>1</v>
      </c>
      <c r="AA58" s="8" t="s">
        <v>89</v>
      </c>
      <c r="AB58" s="8">
        <v>0</v>
      </c>
      <c r="AC58" s="8">
        <v>0</v>
      </c>
      <c r="AD58" s="8">
        <v>1</v>
      </c>
      <c r="AE58" s="8">
        <v>0</v>
      </c>
      <c r="AF58" s="8">
        <v>0</v>
      </c>
      <c r="AG58" s="8">
        <v>0</v>
      </c>
      <c r="AH58" s="8">
        <v>0</v>
      </c>
      <c r="AI58" s="8">
        <v>0</v>
      </c>
      <c r="AJ58" s="8">
        <v>0</v>
      </c>
      <c r="AK58" s="8">
        <v>0</v>
      </c>
      <c r="AL58" s="8">
        <v>1</v>
      </c>
      <c r="AM58" s="8">
        <v>1</v>
      </c>
      <c r="AN58" s="8">
        <v>0</v>
      </c>
      <c r="AO58" s="8">
        <v>0</v>
      </c>
      <c r="AP58" s="8">
        <v>0</v>
      </c>
      <c r="AQ58" s="8">
        <v>1</v>
      </c>
      <c r="AR58" s="8">
        <v>1</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f t="shared" si="84"/>
        <v>4</v>
      </c>
      <c r="BT58" s="8"/>
      <c r="BU58" s="2">
        <f t="shared" si="2"/>
        <v>0</v>
      </c>
      <c r="BV58" s="2">
        <f t="shared" si="3"/>
        <v>2</v>
      </c>
      <c r="BW58" s="2">
        <f t="shared" si="4"/>
        <v>0</v>
      </c>
      <c r="BX58" s="2">
        <f t="shared" si="5"/>
        <v>0</v>
      </c>
      <c r="BY58" s="2">
        <f t="shared" si="6"/>
        <v>0</v>
      </c>
      <c r="BZ58" s="2">
        <f t="shared" ref="BZ58:CA58" si="90">SUM(AQ58)</f>
        <v>1</v>
      </c>
      <c r="CA58" s="2">
        <f t="shared" si="90"/>
        <v>1</v>
      </c>
      <c r="CB58" s="2">
        <f t="shared" si="8"/>
        <v>0</v>
      </c>
    </row>
    <row r="59" spans="1:80" ht="16" x14ac:dyDescent="0.2">
      <c r="A59" s="3" t="s">
        <v>85</v>
      </c>
      <c r="B59" s="4">
        <v>124</v>
      </c>
      <c r="C59" s="5">
        <v>1</v>
      </c>
      <c r="D59" s="5">
        <v>0</v>
      </c>
      <c r="E59" s="5">
        <v>1</v>
      </c>
      <c r="F59" s="10">
        <v>1985</v>
      </c>
      <c r="G59" s="10" t="s">
        <v>72</v>
      </c>
      <c r="H59" s="7" t="str">
        <f t="shared" si="0"/>
        <v>No</v>
      </c>
      <c r="I59" s="54" t="s">
        <v>55</v>
      </c>
      <c r="J59" s="8">
        <v>5</v>
      </c>
      <c r="K59" s="8" t="s">
        <v>59</v>
      </c>
      <c r="L59" s="8" t="s">
        <v>64</v>
      </c>
      <c r="M59" s="8" t="s">
        <v>52</v>
      </c>
      <c r="N59" s="8">
        <v>1</v>
      </c>
      <c r="O59" s="8">
        <v>1</v>
      </c>
      <c r="P59" s="8">
        <v>0</v>
      </c>
      <c r="Q59" s="8" t="s">
        <v>92</v>
      </c>
      <c r="R59" s="6" t="s">
        <v>88</v>
      </c>
      <c r="S59" s="8">
        <v>0</v>
      </c>
      <c r="T59" s="8">
        <v>1</v>
      </c>
      <c r="U59" s="8">
        <v>1</v>
      </c>
      <c r="V59" s="8">
        <v>0</v>
      </c>
      <c r="W59" s="8">
        <v>1</v>
      </c>
      <c r="X59" s="8">
        <v>1</v>
      </c>
      <c r="Y59" s="8">
        <v>0</v>
      </c>
      <c r="Z59" s="8">
        <v>1</v>
      </c>
      <c r="AA59" s="8" t="s">
        <v>89</v>
      </c>
      <c r="AB59" s="8">
        <v>0</v>
      </c>
      <c r="AC59" s="8">
        <v>0</v>
      </c>
      <c r="AD59" s="8">
        <v>1</v>
      </c>
      <c r="AE59" s="8">
        <v>0</v>
      </c>
      <c r="AF59" s="8">
        <v>0</v>
      </c>
      <c r="AG59" s="8">
        <v>0</v>
      </c>
      <c r="AH59" s="8">
        <v>0</v>
      </c>
      <c r="AI59" s="8">
        <v>0</v>
      </c>
      <c r="AJ59" s="8">
        <v>0</v>
      </c>
      <c r="AK59" s="8">
        <v>0</v>
      </c>
      <c r="AL59" s="8">
        <v>1</v>
      </c>
      <c r="AM59" s="8">
        <v>1</v>
      </c>
      <c r="AN59" s="8">
        <v>0</v>
      </c>
      <c r="AO59" s="8">
        <v>0</v>
      </c>
      <c r="AP59" s="8">
        <v>0</v>
      </c>
      <c r="AQ59" s="8">
        <v>1</v>
      </c>
      <c r="AR59" s="8">
        <v>1</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f t="shared" si="84"/>
        <v>4</v>
      </c>
      <c r="BT59" s="8"/>
      <c r="BU59" s="2">
        <f t="shared" si="2"/>
        <v>0</v>
      </c>
      <c r="BV59" s="2">
        <f t="shared" si="3"/>
        <v>2</v>
      </c>
      <c r="BW59" s="2">
        <f t="shared" si="4"/>
        <v>0</v>
      </c>
      <c r="BX59" s="2">
        <f t="shared" si="5"/>
        <v>0</v>
      </c>
      <c r="BY59" s="2">
        <f t="shared" si="6"/>
        <v>0</v>
      </c>
      <c r="BZ59" s="2">
        <f t="shared" ref="BZ59:CA59" si="91">SUM(AQ59)</f>
        <v>1</v>
      </c>
      <c r="CA59" s="2">
        <f t="shared" si="91"/>
        <v>1</v>
      </c>
      <c r="CB59" s="2">
        <f t="shared" si="8"/>
        <v>0</v>
      </c>
    </row>
    <row r="60" spans="1:80" ht="16" x14ac:dyDescent="0.2">
      <c r="A60" s="3" t="s">
        <v>85</v>
      </c>
      <c r="B60" s="4">
        <v>124</v>
      </c>
      <c r="C60" s="5">
        <v>1</v>
      </c>
      <c r="D60" s="5">
        <v>0</v>
      </c>
      <c r="E60" s="5">
        <v>1</v>
      </c>
      <c r="F60" s="10">
        <v>1985</v>
      </c>
      <c r="G60" s="10" t="s">
        <v>73</v>
      </c>
      <c r="H60" s="7" t="str">
        <f t="shared" si="0"/>
        <v>No</v>
      </c>
      <c r="I60" s="54" t="s">
        <v>55</v>
      </c>
      <c r="J60" s="8">
        <v>5</v>
      </c>
      <c r="K60" s="8" t="s">
        <v>59</v>
      </c>
      <c r="L60" s="8" t="s">
        <v>64</v>
      </c>
      <c r="M60" s="8" t="s">
        <v>52</v>
      </c>
      <c r="N60" s="8">
        <v>1</v>
      </c>
      <c r="O60" s="8">
        <v>1</v>
      </c>
      <c r="P60" s="8">
        <v>0</v>
      </c>
      <c r="Q60" s="8" t="s">
        <v>92</v>
      </c>
      <c r="R60" s="6" t="s">
        <v>88</v>
      </c>
      <c r="S60" s="8">
        <v>0</v>
      </c>
      <c r="T60" s="8">
        <v>1</v>
      </c>
      <c r="U60" s="8">
        <v>1</v>
      </c>
      <c r="V60" s="8">
        <v>0</v>
      </c>
      <c r="W60" s="8">
        <v>1</v>
      </c>
      <c r="X60" s="8">
        <v>1</v>
      </c>
      <c r="Y60" s="8">
        <v>0</v>
      </c>
      <c r="Z60" s="8">
        <v>1</v>
      </c>
      <c r="AA60" s="8" t="s">
        <v>89</v>
      </c>
      <c r="AB60" s="8">
        <v>0</v>
      </c>
      <c r="AC60" s="8">
        <v>0</v>
      </c>
      <c r="AD60" s="8">
        <v>1</v>
      </c>
      <c r="AE60" s="8">
        <v>0</v>
      </c>
      <c r="AF60" s="8">
        <v>0</v>
      </c>
      <c r="AG60" s="8">
        <v>0</v>
      </c>
      <c r="AH60" s="8">
        <v>0</v>
      </c>
      <c r="AI60" s="8">
        <v>0</v>
      </c>
      <c r="AJ60" s="8">
        <v>0</v>
      </c>
      <c r="AK60" s="8">
        <v>0</v>
      </c>
      <c r="AL60" s="8">
        <v>1</v>
      </c>
      <c r="AM60" s="8">
        <v>1</v>
      </c>
      <c r="AN60" s="8">
        <v>0</v>
      </c>
      <c r="AO60" s="8">
        <v>0</v>
      </c>
      <c r="AP60" s="8">
        <v>0</v>
      </c>
      <c r="AQ60" s="8">
        <v>1</v>
      </c>
      <c r="AR60" s="8">
        <v>1</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0</v>
      </c>
      <c r="BQ60" s="8">
        <v>0</v>
      </c>
      <c r="BR60" s="8">
        <v>0</v>
      </c>
      <c r="BS60" s="8">
        <f t="shared" si="84"/>
        <v>4</v>
      </c>
      <c r="BT60" s="8"/>
      <c r="BU60" s="2">
        <f t="shared" si="2"/>
        <v>0</v>
      </c>
      <c r="BV60" s="2">
        <f t="shared" si="3"/>
        <v>2</v>
      </c>
      <c r="BW60" s="2">
        <f t="shared" si="4"/>
        <v>0</v>
      </c>
      <c r="BX60" s="2">
        <f t="shared" si="5"/>
        <v>0</v>
      </c>
      <c r="BY60" s="2">
        <f t="shared" si="6"/>
        <v>0</v>
      </c>
      <c r="BZ60" s="2">
        <f t="shared" ref="BZ60:CA60" si="92">SUM(AQ60)</f>
        <v>1</v>
      </c>
      <c r="CA60" s="2">
        <f t="shared" si="92"/>
        <v>1</v>
      </c>
      <c r="CB60" s="2">
        <f t="shared" si="8"/>
        <v>0</v>
      </c>
    </row>
    <row r="61" spans="1:80" ht="16" x14ac:dyDescent="0.2">
      <c r="A61" s="3" t="s">
        <v>85</v>
      </c>
      <c r="B61" s="4">
        <v>124</v>
      </c>
      <c r="C61" s="5">
        <v>1</v>
      </c>
      <c r="D61" s="5">
        <v>0</v>
      </c>
      <c r="E61" s="5">
        <v>1</v>
      </c>
      <c r="F61" s="10">
        <v>1985</v>
      </c>
      <c r="G61" s="10" t="s">
        <v>74</v>
      </c>
      <c r="H61" s="7" t="str">
        <f t="shared" si="0"/>
        <v>Yes</v>
      </c>
      <c r="I61" s="54" t="s">
        <v>56</v>
      </c>
      <c r="J61" s="8">
        <v>5</v>
      </c>
      <c r="K61" s="8" t="s">
        <v>59</v>
      </c>
      <c r="L61" s="8" t="s">
        <v>64</v>
      </c>
      <c r="M61" s="8" t="s">
        <v>52</v>
      </c>
      <c r="N61" s="8">
        <v>1</v>
      </c>
      <c r="O61" s="8">
        <v>1</v>
      </c>
      <c r="P61" s="8">
        <v>0</v>
      </c>
      <c r="Q61" s="8" t="s">
        <v>94</v>
      </c>
      <c r="R61" s="6" t="s">
        <v>88</v>
      </c>
      <c r="S61" s="8">
        <v>0</v>
      </c>
      <c r="T61" s="8">
        <v>1</v>
      </c>
      <c r="U61" s="8">
        <v>1</v>
      </c>
      <c r="V61" s="8">
        <v>0</v>
      </c>
      <c r="W61" s="8">
        <v>1</v>
      </c>
      <c r="X61" s="8">
        <v>1</v>
      </c>
      <c r="Y61" s="8">
        <v>0</v>
      </c>
      <c r="Z61" s="8">
        <v>1</v>
      </c>
      <c r="AA61" s="8" t="s">
        <v>89</v>
      </c>
      <c r="AB61" s="8">
        <v>0</v>
      </c>
      <c r="AC61" s="8">
        <v>0</v>
      </c>
      <c r="AD61" s="8">
        <v>1</v>
      </c>
      <c r="AE61" s="8">
        <v>0</v>
      </c>
      <c r="AF61" s="8">
        <v>0</v>
      </c>
      <c r="AG61" s="8">
        <v>0</v>
      </c>
      <c r="AH61" s="8">
        <v>0</v>
      </c>
      <c r="AI61" s="8">
        <v>0</v>
      </c>
      <c r="AJ61" s="8">
        <v>0</v>
      </c>
      <c r="AK61" s="8">
        <v>0</v>
      </c>
      <c r="AL61" s="8">
        <v>1</v>
      </c>
      <c r="AM61" s="8">
        <v>1</v>
      </c>
      <c r="AN61" s="8">
        <v>0</v>
      </c>
      <c r="AO61" s="8">
        <v>0</v>
      </c>
      <c r="AP61" s="8">
        <v>0</v>
      </c>
      <c r="AQ61" s="8">
        <v>1</v>
      </c>
      <c r="AR61" s="8">
        <v>1</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f t="shared" si="84"/>
        <v>4</v>
      </c>
      <c r="BT61" s="8"/>
      <c r="BU61" s="2">
        <f t="shared" si="2"/>
        <v>0</v>
      </c>
      <c r="BV61" s="2">
        <f t="shared" si="3"/>
        <v>2</v>
      </c>
      <c r="BW61" s="2">
        <f t="shared" si="4"/>
        <v>0</v>
      </c>
      <c r="BX61" s="2">
        <f t="shared" si="5"/>
        <v>0</v>
      </c>
      <c r="BY61" s="2">
        <f t="shared" si="6"/>
        <v>0</v>
      </c>
      <c r="BZ61" s="2">
        <f t="shared" ref="BZ61:CA61" si="93">SUM(AQ61)</f>
        <v>1</v>
      </c>
      <c r="CA61" s="2">
        <f t="shared" si="93"/>
        <v>1</v>
      </c>
      <c r="CB61" s="2">
        <f t="shared" si="8"/>
        <v>0</v>
      </c>
    </row>
    <row r="62" spans="1:80" ht="16" x14ac:dyDescent="0.2">
      <c r="A62" s="3" t="s">
        <v>85</v>
      </c>
      <c r="B62" s="4">
        <v>124</v>
      </c>
      <c r="C62" s="5">
        <v>1</v>
      </c>
      <c r="D62" s="5">
        <v>0</v>
      </c>
      <c r="E62" s="5">
        <v>1</v>
      </c>
      <c r="F62" s="10">
        <v>1985</v>
      </c>
      <c r="G62" s="10" t="s">
        <v>75</v>
      </c>
      <c r="H62" s="7" t="str">
        <f t="shared" si="0"/>
        <v>No</v>
      </c>
      <c r="I62" s="54" t="s">
        <v>55</v>
      </c>
      <c r="J62" s="8">
        <v>5</v>
      </c>
      <c r="K62" s="8" t="s">
        <v>59</v>
      </c>
      <c r="L62" s="8" t="s">
        <v>64</v>
      </c>
      <c r="M62" s="8" t="s">
        <v>52</v>
      </c>
      <c r="N62" s="8">
        <v>1</v>
      </c>
      <c r="O62" s="8">
        <v>1</v>
      </c>
      <c r="P62" s="8">
        <v>0</v>
      </c>
      <c r="Q62" s="8" t="s">
        <v>94</v>
      </c>
      <c r="R62" s="6" t="s">
        <v>88</v>
      </c>
      <c r="S62" s="8">
        <v>0</v>
      </c>
      <c r="T62" s="8">
        <v>1</v>
      </c>
      <c r="U62" s="8">
        <v>1</v>
      </c>
      <c r="V62" s="8">
        <v>0</v>
      </c>
      <c r="W62" s="8">
        <v>1</v>
      </c>
      <c r="X62" s="8">
        <v>1</v>
      </c>
      <c r="Y62" s="8">
        <v>0</v>
      </c>
      <c r="Z62" s="8">
        <v>1</v>
      </c>
      <c r="AA62" s="8" t="s">
        <v>89</v>
      </c>
      <c r="AB62" s="8">
        <v>0</v>
      </c>
      <c r="AC62" s="8">
        <v>0</v>
      </c>
      <c r="AD62" s="8">
        <v>1</v>
      </c>
      <c r="AE62" s="8">
        <v>0</v>
      </c>
      <c r="AF62" s="8">
        <v>0</v>
      </c>
      <c r="AG62" s="8">
        <v>0</v>
      </c>
      <c r="AH62" s="8">
        <v>0</v>
      </c>
      <c r="AI62" s="8">
        <v>0</v>
      </c>
      <c r="AJ62" s="8">
        <v>0</v>
      </c>
      <c r="AK62" s="8">
        <v>0</v>
      </c>
      <c r="AL62" s="8">
        <v>1</v>
      </c>
      <c r="AM62" s="8">
        <v>1</v>
      </c>
      <c r="AN62" s="8">
        <v>0</v>
      </c>
      <c r="AO62" s="8">
        <v>0</v>
      </c>
      <c r="AP62" s="8">
        <v>0</v>
      </c>
      <c r="AQ62" s="8">
        <v>1</v>
      </c>
      <c r="AR62" s="8">
        <v>1</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f t="shared" si="84"/>
        <v>4</v>
      </c>
      <c r="BT62" s="8"/>
      <c r="BU62" s="2">
        <f t="shared" si="2"/>
        <v>0</v>
      </c>
      <c r="BV62" s="2">
        <f t="shared" si="3"/>
        <v>2</v>
      </c>
      <c r="BW62" s="2">
        <f t="shared" si="4"/>
        <v>0</v>
      </c>
      <c r="BX62" s="2">
        <f t="shared" si="5"/>
        <v>0</v>
      </c>
      <c r="BY62" s="2">
        <f t="shared" si="6"/>
        <v>0</v>
      </c>
      <c r="BZ62" s="2">
        <f t="shared" ref="BZ62:CA62" si="94">SUM(AQ62)</f>
        <v>1</v>
      </c>
      <c r="CA62" s="2">
        <f t="shared" si="94"/>
        <v>1</v>
      </c>
      <c r="CB62" s="2">
        <f t="shared" si="8"/>
        <v>0</v>
      </c>
    </row>
    <row r="63" spans="1:80" ht="16" x14ac:dyDescent="0.2">
      <c r="A63" s="3" t="s">
        <v>85</v>
      </c>
      <c r="B63" s="4">
        <v>124</v>
      </c>
      <c r="C63" s="5">
        <v>1</v>
      </c>
      <c r="D63" s="5">
        <v>0</v>
      </c>
      <c r="E63" s="5">
        <v>1</v>
      </c>
      <c r="F63" s="10">
        <v>1985</v>
      </c>
      <c r="G63" s="10" t="s">
        <v>76</v>
      </c>
      <c r="H63" s="7" t="str">
        <f t="shared" si="0"/>
        <v>No</v>
      </c>
      <c r="I63" s="54" t="s">
        <v>55</v>
      </c>
      <c r="J63" s="8">
        <v>5</v>
      </c>
      <c r="K63" s="8" t="s">
        <v>59</v>
      </c>
      <c r="L63" s="8" t="s">
        <v>64</v>
      </c>
      <c r="M63" s="8" t="s">
        <v>52</v>
      </c>
      <c r="N63" s="8">
        <v>1</v>
      </c>
      <c r="O63" s="8">
        <v>1</v>
      </c>
      <c r="P63" s="8">
        <v>0</v>
      </c>
      <c r="Q63" s="8" t="s">
        <v>94</v>
      </c>
      <c r="R63" s="6" t="s">
        <v>88</v>
      </c>
      <c r="S63" s="8">
        <v>0</v>
      </c>
      <c r="T63" s="8">
        <v>1</v>
      </c>
      <c r="U63" s="8">
        <v>1</v>
      </c>
      <c r="V63" s="8">
        <v>0</v>
      </c>
      <c r="W63" s="8">
        <v>1</v>
      </c>
      <c r="X63" s="8">
        <v>1</v>
      </c>
      <c r="Y63" s="8">
        <v>0</v>
      </c>
      <c r="Z63" s="8">
        <v>1</v>
      </c>
      <c r="AA63" s="8" t="s">
        <v>89</v>
      </c>
      <c r="AB63" s="8">
        <v>0</v>
      </c>
      <c r="AC63" s="8">
        <v>0</v>
      </c>
      <c r="AD63" s="8">
        <v>1</v>
      </c>
      <c r="AE63" s="8">
        <v>0</v>
      </c>
      <c r="AF63" s="8">
        <v>0</v>
      </c>
      <c r="AG63" s="8">
        <v>0</v>
      </c>
      <c r="AH63" s="8">
        <v>0</v>
      </c>
      <c r="AI63" s="8">
        <v>0</v>
      </c>
      <c r="AJ63" s="8">
        <v>0</v>
      </c>
      <c r="AK63" s="8">
        <v>0</v>
      </c>
      <c r="AL63" s="8">
        <v>1</v>
      </c>
      <c r="AM63" s="8">
        <v>1</v>
      </c>
      <c r="AN63" s="8">
        <v>0</v>
      </c>
      <c r="AO63" s="8">
        <v>0</v>
      </c>
      <c r="AP63" s="8">
        <v>0</v>
      </c>
      <c r="AQ63" s="8">
        <v>1</v>
      </c>
      <c r="AR63" s="8">
        <v>1</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f t="shared" si="84"/>
        <v>4</v>
      </c>
      <c r="BT63" s="8"/>
      <c r="BU63" s="2">
        <f t="shared" si="2"/>
        <v>0</v>
      </c>
      <c r="BV63" s="2">
        <f t="shared" si="3"/>
        <v>2</v>
      </c>
      <c r="BW63" s="2">
        <f t="shared" si="4"/>
        <v>0</v>
      </c>
      <c r="BX63" s="2">
        <f t="shared" si="5"/>
        <v>0</v>
      </c>
      <c r="BY63" s="2">
        <f t="shared" si="6"/>
        <v>0</v>
      </c>
      <c r="BZ63" s="2">
        <f t="shared" ref="BZ63:CA63" si="95">SUM(AQ63)</f>
        <v>1</v>
      </c>
      <c r="CA63" s="2">
        <f t="shared" si="95"/>
        <v>1</v>
      </c>
      <c r="CB63" s="2">
        <f t="shared" si="8"/>
        <v>0</v>
      </c>
    </row>
    <row r="64" spans="1:80" ht="16" x14ac:dyDescent="0.2">
      <c r="A64" s="3" t="s">
        <v>85</v>
      </c>
      <c r="B64" s="4">
        <v>124</v>
      </c>
      <c r="C64" s="5">
        <v>1</v>
      </c>
      <c r="D64" s="5">
        <v>0</v>
      </c>
      <c r="E64" s="5">
        <v>1</v>
      </c>
      <c r="F64" s="10">
        <v>1985</v>
      </c>
      <c r="G64" s="10" t="s">
        <v>77</v>
      </c>
      <c r="H64" s="7" t="str">
        <f t="shared" si="0"/>
        <v>No</v>
      </c>
      <c r="I64" s="54" t="s">
        <v>55</v>
      </c>
      <c r="J64" s="8">
        <v>5</v>
      </c>
      <c r="K64" s="8" t="s">
        <v>59</v>
      </c>
      <c r="L64" s="8" t="s">
        <v>64</v>
      </c>
      <c r="M64" s="8" t="s">
        <v>52</v>
      </c>
      <c r="N64" s="8">
        <v>1</v>
      </c>
      <c r="O64" s="8">
        <v>1</v>
      </c>
      <c r="P64" s="8">
        <v>0</v>
      </c>
      <c r="Q64" s="8" t="s">
        <v>94</v>
      </c>
      <c r="R64" s="6" t="s">
        <v>88</v>
      </c>
      <c r="S64" s="8">
        <v>0</v>
      </c>
      <c r="T64" s="8">
        <v>1</v>
      </c>
      <c r="U64" s="8">
        <v>1</v>
      </c>
      <c r="V64" s="8">
        <v>0</v>
      </c>
      <c r="W64" s="8">
        <v>1</v>
      </c>
      <c r="X64" s="8">
        <v>1</v>
      </c>
      <c r="Y64" s="8">
        <v>0</v>
      </c>
      <c r="Z64" s="8">
        <v>1</v>
      </c>
      <c r="AA64" s="8" t="s">
        <v>89</v>
      </c>
      <c r="AB64" s="8">
        <v>0</v>
      </c>
      <c r="AC64" s="8">
        <v>0</v>
      </c>
      <c r="AD64" s="8">
        <v>1</v>
      </c>
      <c r="AE64" s="8">
        <v>0</v>
      </c>
      <c r="AF64" s="8">
        <v>0</v>
      </c>
      <c r="AG64" s="8">
        <v>0</v>
      </c>
      <c r="AH64" s="8">
        <v>0</v>
      </c>
      <c r="AI64" s="8">
        <v>0</v>
      </c>
      <c r="AJ64" s="8">
        <v>0</v>
      </c>
      <c r="AK64" s="8">
        <v>0</v>
      </c>
      <c r="AL64" s="8">
        <v>1</v>
      </c>
      <c r="AM64" s="8">
        <v>1</v>
      </c>
      <c r="AN64" s="8">
        <v>0</v>
      </c>
      <c r="AO64" s="8">
        <v>0</v>
      </c>
      <c r="AP64" s="8">
        <v>0</v>
      </c>
      <c r="AQ64" s="8">
        <v>1</v>
      </c>
      <c r="AR64" s="8">
        <v>1</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0</v>
      </c>
      <c r="BL64" s="8">
        <v>0</v>
      </c>
      <c r="BM64" s="8">
        <v>0</v>
      </c>
      <c r="BN64" s="8">
        <v>0</v>
      </c>
      <c r="BO64" s="8">
        <v>0</v>
      </c>
      <c r="BP64" s="8">
        <v>0</v>
      </c>
      <c r="BQ64" s="8">
        <v>0</v>
      </c>
      <c r="BR64" s="8">
        <v>0</v>
      </c>
      <c r="BS64" s="8">
        <f t="shared" si="84"/>
        <v>4</v>
      </c>
      <c r="BT64" s="8"/>
      <c r="BU64" s="2">
        <f t="shared" si="2"/>
        <v>0</v>
      </c>
      <c r="BV64" s="2">
        <f t="shared" si="3"/>
        <v>2</v>
      </c>
      <c r="BW64" s="2">
        <f t="shared" si="4"/>
        <v>0</v>
      </c>
      <c r="BX64" s="2">
        <f t="shared" si="5"/>
        <v>0</v>
      </c>
      <c r="BY64" s="2">
        <f t="shared" si="6"/>
        <v>0</v>
      </c>
      <c r="BZ64" s="2">
        <f t="shared" ref="BZ64:CA64" si="96">SUM(AQ64)</f>
        <v>1</v>
      </c>
      <c r="CA64" s="2">
        <f t="shared" si="96"/>
        <v>1</v>
      </c>
      <c r="CB64" s="2">
        <f t="shared" si="8"/>
        <v>0</v>
      </c>
    </row>
    <row r="65" spans="1:80" ht="16" x14ac:dyDescent="0.2">
      <c r="A65" s="3" t="s">
        <v>85</v>
      </c>
      <c r="B65" s="4">
        <v>124</v>
      </c>
      <c r="C65" s="5">
        <v>1</v>
      </c>
      <c r="D65" s="5">
        <v>0</v>
      </c>
      <c r="E65" s="5">
        <v>1</v>
      </c>
      <c r="F65" s="10">
        <v>1985</v>
      </c>
      <c r="G65" s="10" t="s">
        <v>78</v>
      </c>
      <c r="H65" s="7" t="str">
        <f t="shared" si="0"/>
        <v>No</v>
      </c>
      <c r="I65" s="54" t="s">
        <v>55</v>
      </c>
      <c r="J65" s="8">
        <v>5</v>
      </c>
      <c r="K65" s="8" t="s">
        <v>59</v>
      </c>
      <c r="L65" s="8" t="s">
        <v>64</v>
      </c>
      <c r="M65" s="8" t="s">
        <v>52</v>
      </c>
      <c r="N65" s="8">
        <v>1</v>
      </c>
      <c r="O65" s="8">
        <v>1</v>
      </c>
      <c r="P65" s="8">
        <v>0</v>
      </c>
      <c r="Q65" s="8" t="s">
        <v>94</v>
      </c>
      <c r="R65" s="6" t="s">
        <v>88</v>
      </c>
      <c r="S65" s="8">
        <v>0</v>
      </c>
      <c r="T65" s="8">
        <v>1</v>
      </c>
      <c r="U65" s="8">
        <v>1</v>
      </c>
      <c r="V65" s="8">
        <v>0</v>
      </c>
      <c r="W65" s="8">
        <v>1</v>
      </c>
      <c r="X65" s="8">
        <v>1</v>
      </c>
      <c r="Y65" s="8">
        <v>0</v>
      </c>
      <c r="Z65" s="8">
        <v>1</v>
      </c>
      <c r="AA65" s="8" t="s">
        <v>89</v>
      </c>
      <c r="AB65" s="8">
        <v>0</v>
      </c>
      <c r="AC65" s="8">
        <v>0</v>
      </c>
      <c r="AD65" s="8">
        <v>1</v>
      </c>
      <c r="AE65" s="8">
        <v>0</v>
      </c>
      <c r="AF65" s="8">
        <v>0</v>
      </c>
      <c r="AG65" s="8">
        <v>0</v>
      </c>
      <c r="AH65" s="8">
        <v>0</v>
      </c>
      <c r="AI65" s="8">
        <v>0</v>
      </c>
      <c r="AJ65" s="8">
        <v>0</v>
      </c>
      <c r="AK65" s="8">
        <v>0</v>
      </c>
      <c r="AL65" s="8">
        <v>1</v>
      </c>
      <c r="AM65" s="8">
        <v>1</v>
      </c>
      <c r="AN65" s="8">
        <v>0</v>
      </c>
      <c r="AO65" s="8">
        <v>0</v>
      </c>
      <c r="AP65" s="8">
        <v>0</v>
      </c>
      <c r="AQ65" s="8">
        <v>1</v>
      </c>
      <c r="AR65" s="8">
        <v>1</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f t="shared" si="84"/>
        <v>4</v>
      </c>
      <c r="BT65" s="8"/>
      <c r="BU65" s="2">
        <f t="shared" si="2"/>
        <v>0</v>
      </c>
      <c r="BV65" s="2">
        <f t="shared" si="3"/>
        <v>2</v>
      </c>
      <c r="BW65" s="2">
        <f t="shared" si="4"/>
        <v>0</v>
      </c>
      <c r="BX65" s="2">
        <f t="shared" si="5"/>
        <v>0</v>
      </c>
      <c r="BY65" s="2">
        <f t="shared" si="6"/>
        <v>0</v>
      </c>
      <c r="BZ65" s="2">
        <f t="shared" ref="BZ65:CA65" si="97">SUM(AQ65)</f>
        <v>1</v>
      </c>
      <c r="CA65" s="2">
        <f t="shared" si="97"/>
        <v>1</v>
      </c>
      <c r="CB65" s="2">
        <f t="shared" si="8"/>
        <v>0</v>
      </c>
    </row>
    <row r="66" spans="1:80" ht="15" customHeight="1" x14ac:dyDescent="0.2">
      <c r="A66" s="3" t="s">
        <v>85</v>
      </c>
      <c r="B66" s="4">
        <v>124</v>
      </c>
      <c r="C66" s="5">
        <v>1</v>
      </c>
      <c r="D66" s="5">
        <v>0</v>
      </c>
      <c r="E66" s="5">
        <v>1</v>
      </c>
      <c r="F66" s="10">
        <v>1985</v>
      </c>
      <c r="G66" s="10" t="s">
        <v>79</v>
      </c>
      <c r="H66" s="7" t="str">
        <f t="shared" si="0"/>
        <v>No</v>
      </c>
      <c r="I66" s="54" t="s">
        <v>57</v>
      </c>
      <c r="J66" s="8">
        <v>5</v>
      </c>
      <c r="K66" s="8" t="s">
        <v>59</v>
      </c>
      <c r="L66" s="8" t="s">
        <v>64</v>
      </c>
      <c r="M66" s="8" t="s">
        <v>52</v>
      </c>
      <c r="N66" s="8">
        <v>1</v>
      </c>
      <c r="O66" s="8">
        <v>1</v>
      </c>
      <c r="P66" s="8">
        <v>0</v>
      </c>
      <c r="Q66" s="8" t="s">
        <v>60</v>
      </c>
      <c r="R66" s="6" t="s">
        <v>88</v>
      </c>
      <c r="S66" s="8">
        <v>0</v>
      </c>
      <c r="T66" s="8">
        <v>1</v>
      </c>
      <c r="U66" s="8">
        <v>1</v>
      </c>
      <c r="V66" s="8">
        <v>0</v>
      </c>
      <c r="W66" s="8">
        <v>1</v>
      </c>
      <c r="X66" s="8">
        <v>1</v>
      </c>
      <c r="Y66" s="8">
        <v>0</v>
      </c>
      <c r="Z66" s="8">
        <v>1</v>
      </c>
      <c r="AA66" s="8" t="s">
        <v>89</v>
      </c>
      <c r="AB66" s="8">
        <v>0</v>
      </c>
      <c r="AC66" s="8">
        <v>0</v>
      </c>
      <c r="AD66" s="8">
        <v>1</v>
      </c>
      <c r="AE66" s="8">
        <v>0</v>
      </c>
      <c r="AF66" s="8">
        <v>0</v>
      </c>
      <c r="AG66" s="8">
        <v>0</v>
      </c>
      <c r="AH66" s="8">
        <v>1</v>
      </c>
      <c r="AI66" s="8">
        <v>0</v>
      </c>
      <c r="AJ66" s="8">
        <v>0</v>
      </c>
      <c r="AK66" s="8">
        <v>0</v>
      </c>
      <c r="AL66" s="8">
        <v>1</v>
      </c>
      <c r="AM66" s="8">
        <v>1</v>
      </c>
      <c r="AN66" s="8">
        <v>0</v>
      </c>
      <c r="AO66" s="8">
        <v>0</v>
      </c>
      <c r="AP66" s="8">
        <v>0</v>
      </c>
      <c r="AQ66" s="8">
        <v>1</v>
      </c>
      <c r="AR66" s="8">
        <v>1</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f t="shared" si="84"/>
        <v>4</v>
      </c>
      <c r="BT66" s="8"/>
      <c r="BU66" s="2">
        <f t="shared" si="2"/>
        <v>0</v>
      </c>
      <c r="BV66" s="2">
        <f t="shared" si="3"/>
        <v>2</v>
      </c>
      <c r="BW66" s="2">
        <f t="shared" si="4"/>
        <v>0</v>
      </c>
      <c r="BX66" s="2">
        <f t="shared" si="5"/>
        <v>0</v>
      </c>
      <c r="BY66" s="2">
        <f t="shared" si="6"/>
        <v>0</v>
      </c>
      <c r="BZ66" s="2">
        <f t="shared" ref="BZ66:CA66" si="98">SUM(AQ66)</f>
        <v>1</v>
      </c>
      <c r="CA66" s="2">
        <f t="shared" si="98"/>
        <v>1</v>
      </c>
      <c r="CB66" s="2">
        <f t="shared" si="8"/>
        <v>0</v>
      </c>
    </row>
    <row r="67" spans="1:80" ht="15" customHeight="1" x14ac:dyDescent="0.2">
      <c r="A67" s="3" t="s">
        <v>85</v>
      </c>
      <c r="B67" s="4">
        <v>124</v>
      </c>
      <c r="C67" s="5">
        <v>1</v>
      </c>
      <c r="D67" s="5">
        <v>0</v>
      </c>
      <c r="E67" s="5">
        <v>1</v>
      </c>
      <c r="F67" s="10">
        <v>1985</v>
      </c>
      <c r="G67" s="10" t="s">
        <v>80</v>
      </c>
      <c r="H67" s="7" t="str">
        <f t="shared" si="0"/>
        <v>Yes</v>
      </c>
      <c r="I67" s="54" t="s">
        <v>56</v>
      </c>
      <c r="J67" s="8">
        <v>5</v>
      </c>
      <c r="K67" s="8" t="s">
        <v>59</v>
      </c>
      <c r="L67" s="8" t="s">
        <v>64</v>
      </c>
      <c r="M67" s="8" t="s">
        <v>52</v>
      </c>
      <c r="N67" s="8">
        <v>1</v>
      </c>
      <c r="O67" s="8">
        <v>1</v>
      </c>
      <c r="P67" s="8">
        <v>0</v>
      </c>
      <c r="Q67" s="8" t="s">
        <v>95</v>
      </c>
      <c r="R67" s="6" t="s">
        <v>88</v>
      </c>
      <c r="S67" s="8">
        <v>0</v>
      </c>
      <c r="T67" s="8">
        <v>1</v>
      </c>
      <c r="U67" s="8">
        <v>1</v>
      </c>
      <c r="V67" s="8">
        <v>0</v>
      </c>
      <c r="W67" s="8">
        <v>1</v>
      </c>
      <c r="X67" s="8">
        <v>1</v>
      </c>
      <c r="Y67" s="8">
        <v>0</v>
      </c>
      <c r="Z67" s="8">
        <v>1</v>
      </c>
      <c r="AA67" s="8" t="s">
        <v>89</v>
      </c>
      <c r="AB67" s="8">
        <v>0</v>
      </c>
      <c r="AC67" s="8">
        <v>0</v>
      </c>
      <c r="AD67" s="8">
        <v>1</v>
      </c>
      <c r="AE67" s="8">
        <v>0</v>
      </c>
      <c r="AF67" s="8">
        <v>0</v>
      </c>
      <c r="AG67" s="8">
        <v>0</v>
      </c>
      <c r="AH67" s="8">
        <v>0</v>
      </c>
      <c r="AI67" s="8">
        <v>0</v>
      </c>
      <c r="AJ67" s="8">
        <v>0</v>
      </c>
      <c r="AK67" s="8">
        <v>0</v>
      </c>
      <c r="AL67" s="8">
        <v>1</v>
      </c>
      <c r="AM67" s="8">
        <v>1</v>
      </c>
      <c r="AN67" s="8">
        <v>0</v>
      </c>
      <c r="AO67" s="8">
        <v>0</v>
      </c>
      <c r="AP67" s="8">
        <v>0</v>
      </c>
      <c r="AQ67" s="8">
        <v>1</v>
      </c>
      <c r="AR67" s="8">
        <v>1</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f t="shared" si="84"/>
        <v>4</v>
      </c>
      <c r="BT67" s="8"/>
      <c r="BU67" s="2">
        <f t="shared" si="2"/>
        <v>0</v>
      </c>
      <c r="BV67" s="2">
        <f t="shared" si="3"/>
        <v>2</v>
      </c>
      <c r="BW67" s="2">
        <f t="shared" si="4"/>
        <v>0</v>
      </c>
      <c r="BX67" s="2">
        <f t="shared" si="5"/>
        <v>0</v>
      </c>
      <c r="BY67" s="2">
        <f t="shared" si="6"/>
        <v>0</v>
      </c>
      <c r="BZ67" s="2">
        <f t="shared" ref="BZ67:CA67" si="99">SUM(AQ67)</f>
        <v>1</v>
      </c>
      <c r="CA67" s="2">
        <f t="shared" si="99"/>
        <v>1</v>
      </c>
      <c r="CB67" s="2">
        <f t="shared" si="8"/>
        <v>0</v>
      </c>
    </row>
    <row r="68" spans="1:80" ht="15" customHeight="1" x14ac:dyDescent="0.2">
      <c r="A68" s="3" t="s">
        <v>85</v>
      </c>
      <c r="B68" s="4">
        <v>124</v>
      </c>
      <c r="C68" s="5">
        <v>1</v>
      </c>
      <c r="D68" s="5">
        <v>0</v>
      </c>
      <c r="E68" s="5">
        <v>1</v>
      </c>
      <c r="F68" s="10">
        <v>1985</v>
      </c>
      <c r="G68" s="10">
        <v>2022</v>
      </c>
      <c r="H68" s="7" t="s">
        <v>82</v>
      </c>
      <c r="I68" s="54" t="s">
        <v>56</v>
      </c>
      <c r="J68" s="8">
        <v>5</v>
      </c>
      <c r="K68" s="8" t="s">
        <v>59</v>
      </c>
      <c r="L68" s="8" t="s">
        <v>64</v>
      </c>
      <c r="M68" s="8" t="s">
        <v>52</v>
      </c>
      <c r="N68" s="8">
        <v>1</v>
      </c>
      <c r="O68" s="8">
        <v>1</v>
      </c>
      <c r="P68" s="8">
        <v>1</v>
      </c>
      <c r="Q68" s="8" t="s">
        <v>87</v>
      </c>
      <c r="R68" s="6" t="s">
        <v>88</v>
      </c>
      <c r="S68" s="6">
        <v>0</v>
      </c>
      <c r="T68" s="8">
        <v>1</v>
      </c>
      <c r="U68" s="8">
        <v>1</v>
      </c>
      <c r="V68" s="8">
        <v>0</v>
      </c>
      <c r="W68" s="8">
        <v>1</v>
      </c>
      <c r="X68" s="8">
        <v>1</v>
      </c>
      <c r="Y68" s="8">
        <v>0</v>
      </c>
      <c r="Z68" s="8">
        <v>1</v>
      </c>
      <c r="AA68" s="8" t="s">
        <v>89</v>
      </c>
      <c r="AB68" s="8">
        <v>0</v>
      </c>
      <c r="AC68" s="8">
        <v>0</v>
      </c>
      <c r="AD68" s="8">
        <v>1</v>
      </c>
      <c r="AE68" s="8">
        <v>0</v>
      </c>
      <c r="AF68" s="8">
        <v>0</v>
      </c>
      <c r="AG68" s="8">
        <v>0</v>
      </c>
      <c r="AH68" s="8">
        <v>0</v>
      </c>
      <c r="AI68" s="8">
        <v>0</v>
      </c>
      <c r="AJ68" s="8">
        <v>0</v>
      </c>
      <c r="AK68" s="8">
        <v>0</v>
      </c>
      <c r="AL68" s="8">
        <v>1</v>
      </c>
      <c r="AM68" s="8">
        <v>1</v>
      </c>
      <c r="AN68" s="8">
        <v>0</v>
      </c>
      <c r="AO68" s="8">
        <v>0</v>
      </c>
      <c r="AP68" s="8">
        <v>0</v>
      </c>
      <c r="AQ68" s="8">
        <v>1</v>
      </c>
      <c r="AR68" s="8">
        <v>1</v>
      </c>
      <c r="AS68" s="8">
        <v>0</v>
      </c>
      <c r="AT68" s="8">
        <v>0</v>
      </c>
      <c r="AU68" s="8">
        <v>0</v>
      </c>
      <c r="AV68" s="8">
        <v>0</v>
      </c>
      <c r="AW68" s="8">
        <v>0</v>
      </c>
      <c r="AX68" s="8">
        <v>0</v>
      </c>
      <c r="AY68" s="8">
        <v>0</v>
      </c>
      <c r="AZ68" s="8">
        <v>0</v>
      </c>
      <c r="BA68" s="8">
        <v>0</v>
      </c>
      <c r="BB68" s="8">
        <v>0</v>
      </c>
      <c r="BC68" s="8">
        <v>0</v>
      </c>
      <c r="BD68" s="8">
        <v>0</v>
      </c>
      <c r="BE68" s="8">
        <v>0</v>
      </c>
      <c r="BF68" s="8">
        <v>0</v>
      </c>
      <c r="BG68" s="8">
        <v>0</v>
      </c>
      <c r="BH68" s="8">
        <v>0</v>
      </c>
      <c r="BI68" s="8">
        <v>0</v>
      </c>
      <c r="BJ68" s="8">
        <v>0</v>
      </c>
      <c r="BK68" s="8">
        <v>0</v>
      </c>
      <c r="BL68" s="8">
        <v>0</v>
      </c>
      <c r="BM68" s="8">
        <v>0</v>
      </c>
      <c r="BN68" s="8">
        <v>0</v>
      </c>
      <c r="BO68" s="8">
        <v>1</v>
      </c>
      <c r="BP68" s="8">
        <v>0</v>
      </c>
      <c r="BQ68" s="8">
        <v>0</v>
      </c>
      <c r="BR68" s="8">
        <v>0</v>
      </c>
      <c r="BS68" s="8">
        <f>SUM(AI68:BR68)</f>
        <v>5</v>
      </c>
      <c r="BT68" s="8"/>
      <c r="BU68" s="2">
        <f t="shared" ref="BU68" si="100">SUM(AI68,BK68)</f>
        <v>0</v>
      </c>
      <c r="BV68" s="2">
        <f t="shared" ref="BV68" si="101">SUM(AK68, AL68, AM68,AJ68,BL68,BO68, AP68)</f>
        <v>3</v>
      </c>
      <c r="BW68" s="2">
        <f t="shared" ref="BW68" si="102">SUM(AN68, AO68, AS68)</f>
        <v>0</v>
      </c>
      <c r="BX68" s="2">
        <f t="shared" ref="BX68" si="103">SUM(AU68,AV68,AW68,AX68,AY68,AZ68,BA68,BB68,BC68,BD68,BE68,BF68,BG68,BH68,BI68,BJ68,BQ68,BR68,BM68)</f>
        <v>0</v>
      </c>
      <c r="BY68" s="2">
        <f t="shared" ref="BY68" si="104">SUM(BP68, BN68)</f>
        <v>0</v>
      </c>
      <c r="BZ68" s="2">
        <f t="shared" ref="BZ68" si="105">SUM(AQ68)</f>
        <v>1</v>
      </c>
      <c r="CA68" s="2">
        <f t="shared" ref="CA68" si="106">SUM(AR68)</f>
        <v>1</v>
      </c>
      <c r="CB68" s="2">
        <f t="shared" ref="CB68" si="107">SUM(AT68)</f>
        <v>0</v>
      </c>
    </row>
    <row r="69" spans="1:80" s="33" customFormat="1" ht="16" x14ac:dyDescent="0.2">
      <c r="A69" s="21" t="s">
        <v>85</v>
      </c>
      <c r="B69" s="34">
        <v>124</v>
      </c>
      <c r="C69" s="31">
        <v>1</v>
      </c>
      <c r="D69" s="31">
        <v>0</v>
      </c>
      <c r="E69" s="31">
        <v>1</v>
      </c>
      <c r="F69" s="30">
        <v>1985</v>
      </c>
      <c r="G69" s="30">
        <v>2023</v>
      </c>
      <c r="H69" s="22" t="s">
        <v>82</v>
      </c>
      <c r="I69" s="55" t="s">
        <v>56</v>
      </c>
      <c r="J69" s="23">
        <v>5</v>
      </c>
      <c r="K69" s="23" t="s">
        <v>59</v>
      </c>
      <c r="L69" s="23" t="s">
        <v>64</v>
      </c>
      <c r="M69" s="23" t="s">
        <v>52</v>
      </c>
      <c r="N69" s="23">
        <v>1</v>
      </c>
      <c r="O69" s="23">
        <v>1</v>
      </c>
      <c r="P69" s="23">
        <v>1</v>
      </c>
      <c r="Q69" s="23" t="s">
        <v>87</v>
      </c>
      <c r="R69" s="24" t="s">
        <v>88</v>
      </c>
      <c r="S69" s="24">
        <v>0</v>
      </c>
      <c r="T69" s="23">
        <v>1</v>
      </c>
      <c r="U69" s="23">
        <v>1</v>
      </c>
      <c r="V69" s="23">
        <v>1</v>
      </c>
      <c r="W69" s="23">
        <v>1</v>
      </c>
      <c r="X69" s="23">
        <v>1</v>
      </c>
      <c r="Y69" s="23">
        <v>0</v>
      </c>
      <c r="Z69" s="23">
        <v>1</v>
      </c>
      <c r="AA69" s="23" t="s">
        <v>89</v>
      </c>
      <c r="AB69" s="23">
        <v>0</v>
      </c>
      <c r="AC69" s="23">
        <v>0</v>
      </c>
      <c r="AD69" s="23">
        <v>1</v>
      </c>
      <c r="AE69" s="23">
        <v>0</v>
      </c>
      <c r="AF69" s="23">
        <v>0</v>
      </c>
      <c r="AG69" s="23">
        <v>0</v>
      </c>
      <c r="AH69" s="23">
        <v>1</v>
      </c>
      <c r="AI69" s="23">
        <v>0</v>
      </c>
      <c r="AJ69" s="23">
        <v>0</v>
      </c>
      <c r="AK69" s="23">
        <v>0</v>
      </c>
      <c r="AL69" s="23">
        <v>1</v>
      </c>
      <c r="AM69" s="23">
        <v>1</v>
      </c>
      <c r="AN69" s="23">
        <v>0</v>
      </c>
      <c r="AO69" s="23">
        <v>0</v>
      </c>
      <c r="AP69" s="23">
        <v>0</v>
      </c>
      <c r="AQ69" s="23">
        <v>1</v>
      </c>
      <c r="AR69" s="23">
        <v>1</v>
      </c>
      <c r="AS69" s="23">
        <v>0</v>
      </c>
      <c r="AT69" s="23">
        <v>0</v>
      </c>
      <c r="AU69" s="23">
        <v>0</v>
      </c>
      <c r="AV69" s="23">
        <v>0</v>
      </c>
      <c r="AW69" s="23">
        <v>0</v>
      </c>
      <c r="AX69" s="23">
        <v>0</v>
      </c>
      <c r="AY69" s="23">
        <v>0</v>
      </c>
      <c r="AZ69" s="23">
        <v>0</v>
      </c>
      <c r="BA69" s="23">
        <v>0</v>
      </c>
      <c r="BB69" s="23">
        <v>0</v>
      </c>
      <c r="BC69" s="23">
        <v>0</v>
      </c>
      <c r="BD69" s="23">
        <v>0</v>
      </c>
      <c r="BE69" s="23">
        <v>0</v>
      </c>
      <c r="BF69" s="23">
        <v>0</v>
      </c>
      <c r="BG69" s="23">
        <v>0</v>
      </c>
      <c r="BH69" s="23">
        <v>0</v>
      </c>
      <c r="BI69" s="23">
        <v>0</v>
      </c>
      <c r="BJ69" s="23">
        <v>0</v>
      </c>
      <c r="BK69" s="23">
        <v>0</v>
      </c>
      <c r="BL69" s="23">
        <v>0</v>
      </c>
      <c r="BM69" s="23">
        <v>0</v>
      </c>
      <c r="BN69" s="23">
        <v>0</v>
      </c>
      <c r="BO69" s="23">
        <v>1</v>
      </c>
      <c r="BP69" s="23">
        <v>0</v>
      </c>
      <c r="BQ69" s="23">
        <v>0</v>
      </c>
      <c r="BR69" s="23">
        <v>0</v>
      </c>
      <c r="BS69" s="23">
        <f>SUM(AI69:BR69)</f>
        <v>5</v>
      </c>
      <c r="BT69" s="23"/>
      <c r="BU69" s="32">
        <f>SUM(AI68,BK68)</f>
        <v>0</v>
      </c>
      <c r="BV69" s="32">
        <f>SUM(AK68, AL68, AM68,AJ68,BL68,BO68, AP68)</f>
        <v>3</v>
      </c>
      <c r="BW69" s="32">
        <f>SUM(AN68, AO68, AS68)</f>
        <v>0</v>
      </c>
      <c r="BX69" s="32">
        <f>SUM(AU68,AV68,AW68,AX68,AY68,AZ68,BA68,BB68,BC68,BD68,BE68,BF68,BG68,BH68,BI68,BJ68,BQ68,BR68,BM68)</f>
        <v>0</v>
      </c>
      <c r="BY69" s="32">
        <f>SUM(BP68, BN68)</f>
        <v>0</v>
      </c>
      <c r="BZ69" s="32">
        <f>SUM(AQ68)</f>
        <v>1</v>
      </c>
      <c r="CA69" s="32">
        <f>SUM(AR68)</f>
        <v>1</v>
      </c>
      <c r="CB69" s="32">
        <f>SUM(AT68)</f>
        <v>0</v>
      </c>
    </row>
    <row r="70" spans="1:80" ht="16" x14ac:dyDescent="0.2">
      <c r="A70" s="3" t="s">
        <v>96</v>
      </c>
      <c r="B70" s="4">
        <v>152</v>
      </c>
      <c r="C70" s="5">
        <v>1</v>
      </c>
      <c r="D70" s="5">
        <v>0</v>
      </c>
      <c r="E70" s="5">
        <v>0</v>
      </c>
      <c r="F70" s="10"/>
      <c r="G70" s="10" t="s">
        <v>86</v>
      </c>
      <c r="H70" s="7" t="str">
        <f t="shared" si="0"/>
        <v>No</v>
      </c>
      <c r="I70" s="54" t="s">
        <v>55</v>
      </c>
      <c r="J70" s="8">
        <v>0</v>
      </c>
      <c r="K70" s="8"/>
      <c r="L70" s="8"/>
      <c r="M70" s="8"/>
      <c r="N70" s="8"/>
      <c r="O70" s="8"/>
      <c r="P70" s="8"/>
      <c r="Q70" s="8"/>
      <c r="R70" s="6"/>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v>0</v>
      </c>
      <c r="BT70" s="8"/>
      <c r="BU70" s="2">
        <f t="shared" si="2"/>
        <v>0</v>
      </c>
      <c r="BV70" s="2">
        <f t="shared" si="3"/>
        <v>0</v>
      </c>
      <c r="BW70" s="2">
        <f t="shared" si="4"/>
        <v>0</v>
      </c>
      <c r="BX70" s="2">
        <f t="shared" si="5"/>
        <v>0</v>
      </c>
      <c r="BY70" s="2">
        <f t="shared" si="6"/>
        <v>0</v>
      </c>
      <c r="BZ70" s="2">
        <f t="shared" ref="BZ70:CA70" si="108">SUM(AQ70)</f>
        <v>0</v>
      </c>
      <c r="CA70" s="2">
        <f t="shared" si="108"/>
        <v>0</v>
      </c>
      <c r="CB70" s="2">
        <f t="shared" si="8"/>
        <v>0</v>
      </c>
    </row>
    <row r="71" spans="1:80" ht="16" x14ac:dyDescent="0.2">
      <c r="A71" s="3" t="s">
        <v>96</v>
      </c>
      <c r="B71" s="4">
        <v>152</v>
      </c>
      <c r="C71" s="5">
        <v>1</v>
      </c>
      <c r="D71" s="5">
        <v>0</v>
      </c>
      <c r="E71" s="5">
        <v>0</v>
      </c>
      <c r="F71" s="10"/>
      <c r="G71" s="10" t="s">
        <v>90</v>
      </c>
      <c r="H71" s="7" t="str">
        <f t="shared" si="0"/>
        <v>No</v>
      </c>
      <c r="I71" s="54" t="s">
        <v>55</v>
      </c>
      <c r="J71" s="8">
        <v>0</v>
      </c>
      <c r="K71" s="8"/>
      <c r="L71" s="8"/>
      <c r="M71" s="8"/>
      <c r="N71" s="8"/>
      <c r="O71" s="8"/>
      <c r="P71" s="8"/>
      <c r="Q71" s="8"/>
      <c r="R71" s="6"/>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v>0</v>
      </c>
      <c r="BT71" s="8"/>
      <c r="BU71" s="2">
        <f t="shared" si="2"/>
        <v>0</v>
      </c>
      <c r="BV71" s="2">
        <f t="shared" si="3"/>
        <v>0</v>
      </c>
      <c r="BW71" s="2">
        <f t="shared" si="4"/>
        <v>0</v>
      </c>
      <c r="BX71" s="2">
        <f t="shared" si="5"/>
        <v>0</v>
      </c>
      <c r="BY71" s="2">
        <f t="shared" si="6"/>
        <v>0</v>
      </c>
      <c r="BZ71" s="2">
        <f t="shared" ref="BZ71:CA71" si="109">SUM(AQ71)</f>
        <v>0</v>
      </c>
      <c r="CA71" s="2">
        <f t="shared" si="109"/>
        <v>0</v>
      </c>
      <c r="CB71" s="2">
        <f t="shared" si="8"/>
        <v>0</v>
      </c>
    </row>
    <row r="72" spans="1:80" ht="16" x14ac:dyDescent="0.2">
      <c r="A72" s="3" t="s">
        <v>96</v>
      </c>
      <c r="B72" s="4">
        <v>152</v>
      </c>
      <c r="C72" s="5">
        <v>1</v>
      </c>
      <c r="D72" s="5">
        <v>0</v>
      </c>
      <c r="E72" s="5">
        <v>0</v>
      </c>
      <c r="F72" s="10"/>
      <c r="G72" s="10" t="s">
        <v>91</v>
      </c>
      <c r="H72" s="7" t="str">
        <f t="shared" si="0"/>
        <v>No</v>
      </c>
      <c r="I72" s="54" t="s">
        <v>55</v>
      </c>
      <c r="J72" s="8">
        <v>0</v>
      </c>
      <c r="K72" s="8"/>
      <c r="L72" s="8"/>
      <c r="M72" s="8"/>
      <c r="N72" s="8"/>
      <c r="O72" s="8"/>
      <c r="P72" s="8"/>
      <c r="Q72" s="8"/>
      <c r="R72" s="6"/>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v>0</v>
      </c>
      <c r="BT72" s="8"/>
      <c r="BU72" s="2">
        <f t="shared" si="2"/>
        <v>0</v>
      </c>
      <c r="BV72" s="2">
        <f t="shared" si="3"/>
        <v>0</v>
      </c>
      <c r="BW72" s="2">
        <f t="shared" si="4"/>
        <v>0</v>
      </c>
      <c r="BX72" s="2">
        <f t="shared" si="5"/>
        <v>0</v>
      </c>
      <c r="BY72" s="2">
        <f t="shared" si="6"/>
        <v>0</v>
      </c>
      <c r="BZ72" s="2">
        <f t="shared" ref="BZ72:CA72" si="110">SUM(AQ72)</f>
        <v>0</v>
      </c>
      <c r="CA72" s="2">
        <f t="shared" si="110"/>
        <v>0</v>
      </c>
      <c r="CB72" s="2">
        <f t="shared" si="8"/>
        <v>0</v>
      </c>
    </row>
    <row r="73" spans="1:80" ht="16" x14ac:dyDescent="0.2">
      <c r="A73" s="3" t="s">
        <v>96</v>
      </c>
      <c r="B73" s="4">
        <v>152</v>
      </c>
      <c r="C73" s="5">
        <v>1</v>
      </c>
      <c r="D73" s="5">
        <v>0</v>
      </c>
      <c r="E73" s="5">
        <v>0</v>
      </c>
      <c r="F73" s="10"/>
      <c r="G73" s="10" t="s">
        <v>93</v>
      </c>
      <c r="H73" s="7" t="str">
        <f t="shared" si="0"/>
        <v>No</v>
      </c>
      <c r="I73" s="54" t="s">
        <v>55</v>
      </c>
      <c r="J73" s="8">
        <v>0</v>
      </c>
      <c r="K73" s="8"/>
      <c r="L73" s="8"/>
      <c r="M73" s="8"/>
      <c r="N73" s="8"/>
      <c r="O73" s="8"/>
      <c r="P73" s="8"/>
      <c r="Q73" s="8"/>
      <c r="R73" s="6"/>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v>0</v>
      </c>
      <c r="BT73" s="8"/>
      <c r="BU73" s="2">
        <f t="shared" si="2"/>
        <v>0</v>
      </c>
      <c r="BV73" s="2">
        <f t="shared" si="3"/>
        <v>0</v>
      </c>
      <c r="BW73" s="2">
        <f t="shared" si="4"/>
        <v>0</v>
      </c>
      <c r="BX73" s="2">
        <f t="shared" si="5"/>
        <v>0</v>
      </c>
      <c r="BY73" s="2">
        <f t="shared" si="6"/>
        <v>0</v>
      </c>
      <c r="BZ73" s="2">
        <f t="shared" ref="BZ73:CA73" si="111">SUM(AQ73)</f>
        <v>0</v>
      </c>
      <c r="CA73" s="2">
        <f t="shared" si="111"/>
        <v>0</v>
      </c>
      <c r="CB73" s="2">
        <f t="shared" si="8"/>
        <v>0</v>
      </c>
    </row>
    <row r="74" spans="1:80" ht="16" x14ac:dyDescent="0.2">
      <c r="A74" s="3" t="s">
        <v>96</v>
      </c>
      <c r="B74" s="4">
        <v>152</v>
      </c>
      <c r="C74" s="5">
        <v>1</v>
      </c>
      <c r="D74" s="5">
        <v>0</v>
      </c>
      <c r="E74" s="5">
        <v>0</v>
      </c>
      <c r="F74" s="10"/>
      <c r="G74" s="10" t="s">
        <v>70</v>
      </c>
      <c r="H74" s="7" t="str">
        <f t="shared" si="0"/>
        <v>No</v>
      </c>
      <c r="I74" s="54" t="s">
        <v>55</v>
      </c>
      <c r="J74" s="8">
        <v>0</v>
      </c>
      <c r="K74" s="8"/>
      <c r="L74" s="8"/>
      <c r="M74" s="8"/>
      <c r="N74" s="8"/>
      <c r="O74" s="8"/>
      <c r="P74" s="8"/>
      <c r="Q74" s="8"/>
      <c r="R74" s="6"/>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v>0</v>
      </c>
      <c r="BT74" s="8"/>
      <c r="BU74" s="2">
        <f t="shared" si="2"/>
        <v>0</v>
      </c>
      <c r="BV74" s="2">
        <f t="shared" si="3"/>
        <v>0</v>
      </c>
      <c r="BW74" s="2">
        <f t="shared" si="4"/>
        <v>0</v>
      </c>
      <c r="BX74" s="2">
        <f t="shared" si="5"/>
        <v>0</v>
      </c>
      <c r="BY74" s="2">
        <f t="shared" si="6"/>
        <v>0</v>
      </c>
      <c r="BZ74" s="2">
        <f t="shared" ref="BZ74:CA74" si="112">SUM(AQ74)</f>
        <v>0</v>
      </c>
      <c r="CA74" s="2">
        <f t="shared" si="112"/>
        <v>0</v>
      </c>
      <c r="CB74" s="2">
        <f t="shared" si="8"/>
        <v>0</v>
      </c>
    </row>
    <row r="75" spans="1:80" ht="16" x14ac:dyDescent="0.2">
      <c r="A75" s="3" t="s">
        <v>96</v>
      </c>
      <c r="B75" s="4">
        <v>152</v>
      </c>
      <c r="C75" s="5">
        <v>1</v>
      </c>
      <c r="D75" s="5">
        <v>0</v>
      </c>
      <c r="E75" s="5">
        <v>0</v>
      </c>
      <c r="F75" s="10"/>
      <c r="G75" s="10" t="s">
        <v>71</v>
      </c>
      <c r="H75" s="7" t="str">
        <f t="shared" si="0"/>
        <v>No</v>
      </c>
      <c r="I75" s="54" t="s">
        <v>55</v>
      </c>
      <c r="J75" s="8">
        <v>0</v>
      </c>
      <c r="K75" s="8"/>
      <c r="L75" s="8"/>
      <c r="M75" s="8"/>
      <c r="N75" s="8"/>
      <c r="O75" s="8"/>
      <c r="P75" s="8"/>
      <c r="Q75" s="8"/>
      <c r="R75" s="6"/>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v>0</v>
      </c>
      <c r="BT75" s="8"/>
      <c r="BU75" s="2">
        <f t="shared" si="2"/>
        <v>0</v>
      </c>
      <c r="BV75" s="2">
        <f t="shared" si="3"/>
        <v>0</v>
      </c>
      <c r="BW75" s="2">
        <f t="shared" si="4"/>
        <v>0</v>
      </c>
      <c r="BX75" s="2">
        <f t="shared" si="5"/>
        <v>0</v>
      </c>
      <c r="BY75" s="2">
        <f t="shared" si="6"/>
        <v>0</v>
      </c>
      <c r="BZ75" s="2">
        <f t="shared" ref="BZ75:CA75" si="113">SUM(AQ75)</f>
        <v>0</v>
      </c>
      <c r="CA75" s="2">
        <f t="shared" si="113"/>
        <v>0</v>
      </c>
      <c r="CB75" s="2">
        <f t="shared" si="8"/>
        <v>0</v>
      </c>
    </row>
    <row r="76" spans="1:80" ht="16" x14ac:dyDescent="0.2">
      <c r="A76" s="3" t="s">
        <v>96</v>
      </c>
      <c r="B76" s="4">
        <v>152</v>
      </c>
      <c r="C76" s="5">
        <v>1</v>
      </c>
      <c r="D76" s="5">
        <v>0</v>
      </c>
      <c r="E76" s="5">
        <v>0</v>
      </c>
      <c r="F76" s="10"/>
      <c r="G76" s="10" t="s">
        <v>72</v>
      </c>
      <c r="H76" s="7" t="str">
        <f t="shared" si="0"/>
        <v>No</v>
      </c>
      <c r="I76" s="54" t="s">
        <v>55</v>
      </c>
      <c r="J76" s="8">
        <v>0</v>
      </c>
      <c r="K76" s="8"/>
      <c r="L76" s="8"/>
      <c r="M76" s="8"/>
      <c r="N76" s="8"/>
      <c r="O76" s="8"/>
      <c r="P76" s="8"/>
      <c r="Q76" s="8"/>
      <c r="R76" s="6"/>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v>0</v>
      </c>
      <c r="BT76" s="8"/>
      <c r="BU76" s="2">
        <f t="shared" si="2"/>
        <v>0</v>
      </c>
      <c r="BV76" s="2">
        <f t="shared" si="3"/>
        <v>0</v>
      </c>
      <c r="BW76" s="2">
        <f t="shared" si="4"/>
        <v>0</v>
      </c>
      <c r="BX76" s="2">
        <f t="shared" si="5"/>
        <v>0</v>
      </c>
      <c r="BY76" s="2">
        <f t="shared" si="6"/>
        <v>0</v>
      </c>
      <c r="BZ76" s="2">
        <f t="shared" ref="BZ76:CA76" si="114">SUM(AQ76)</f>
        <v>0</v>
      </c>
      <c r="CA76" s="2">
        <f t="shared" si="114"/>
        <v>0</v>
      </c>
      <c r="CB76" s="2">
        <f t="shared" si="8"/>
        <v>0</v>
      </c>
    </row>
    <row r="77" spans="1:80" ht="16" x14ac:dyDescent="0.2">
      <c r="A77" s="3" t="s">
        <v>96</v>
      </c>
      <c r="B77" s="4">
        <v>152</v>
      </c>
      <c r="C77" s="5">
        <v>1</v>
      </c>
      <c r="D77" s="5">
        <v>0</v>
      </c>
      <c r="E77" s="5">
        <v>0</v>
      </c>
      <c r="F77" s="10"/>
      <c r="G77" s="10" t="s">
        <v>73</v>
      </c>
      <c r="H77" s="7" t="str">
        <f t="shared" si="0"/>
        <v>No</v>
      </c>
      <c r="I77" s="54" t="s">
        <v>55</v>
      </c>
      <c r="J77" s="8">
        <v>0</v>
      </c>
      <c r="K77" s="8"/>
      <c r="L77" s="8"/>
      <c r="M77" s="8"/>
      <c r="N77" s="8"/>
      <c r="O77" s="8"/>
      <c r="P77" s="8"/>
      <c r="Q77" s="8"/>
      <c r="R77" s="6"/>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v>0</v>
      </c>
      <c r="BT77" s="8"/>
      <c r="BU77" s="2">
        <f t="shared" si="2"/>
        <v>0</v>
      </c>
      <c r="BV77" s="2">
        <f t="shared" si="3"/>
        <v>0</v>
      </c>
      <c r="BW77" s="2">
        <f t="shared" si="4"/>
        <v>0</v>
      </c>
      <c r="BX77" s="2">
        <f t="shared" si="5"/>
        <v>0</v>
      </c>
      <c r="BY77" s="2">
        <f t="shared" si="6"/>
        <v>0</v>
      </c>
      <c r="BZ77" s="2">
        <f t="shared" ref="BZ77:CA77" si="115">SUM(AQ77)</f>
        <v>0</v>
      </c>
      <c r="CA77" s="2">
        <f t="shared" si="115"/>
        <v>0</v>
      </c>
      <c r="CB77" s="2">
        <f t="shared" si="8"/>
        <v>0</v>
      </c>
    </row>
    <row r="78" spans="1:80" ht="16" x14ac:dyDescent="0.2">
      <c r="A78" s="3" t="s">
        <v>96</v>
      </c>
      <c r="B78" s="4">
        <v>152</v>
      </c>
      <c r="C78" s="5">
        <v>1</v>
      </c>
      <c r="D78" s="5">
        <v>0</v>
      </c>
      <c r="E78" s="5">
        <v>0</v>
      </c>
      <c r="F78" s="10"/>
      <c r="G78" s="10" t="s">
        <v>74</v>
      </c>
      <c r="H78" s="7" t="str">
        <f t="shared" si="0"/>
        <v>No</v>
      </c>
      <c r="I78" s="54" t="s">
        <v>55</v>
      </c>
      <c r="J78" s="8">
        <v>0</v>
      </c>
      <c r="K78" s="8"/>
      <c r="L78" s="8"/>
      <c r="M78" s="8"/>
      <c r="N78" s="8"/>
      <c r="O78" s="8"/>
      <c r="P78" s="8"/>
      <c r="Q78" s="8"/>
      <c r="R78" s="6"/>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v>0</v>
      </c>
      <c r="BT78" s="8"/>
      <c r="BU78" s="2">
        <f t="shared" si="2"/>
        <v>0</v>
      </c>
      <c r="BV78" s="2">
        <f t="shared" si="3"/>
        <v>0</v>
      </c>
      <c r="BW78" s="2">
        <f t="shared" si="4"/>
        <v>0</v>
      </c>
      <c r="BX78" s="2">
        <f t="shared" si="5"/>
        <v>0</v>
      </c>
      <c r="BY78" s="2">
        <f t="shared" si="6"/>
        <v>0</v>
      </c>
      <c r="BZ78" s="2">
        <f t="shared" ref="BZ78:CA78" si="116">SUM(AQ78)</f>
        <v>0</v>
      </c>
      <c r="CA78" s="2">
        <f t="shared" si="116"/>
        <v>0</v>
      </c>
      <c r="CB78" s="2">
        <f t="shared" si="8"/>
        <v>0</v>
      </c>
    </row>
    <row r="79" spans="1:80" ht="16" x14ac:dyDescent="0.2">
      <c r="A79" s="3" t="s">
        <v>96</v>
      </c>
      <c r="B79" s="4">
        <v>152</v>
      </c>
      <c r="C79" s="5">
        <v>1</v>
      </c>
      <c r="D79" s="5">
        <v>0</v>
      </c>
      <c r="E79" s="5">
        <v>0</v>
      </c>
      <c r="F79" s="10"/>
      <c r="G79" s="10" t="s">
        <v>75</v>
      </c>
      <c r="H79" s="7" t="str">
        <f t="shared" si="0"/>
        <v>No</v>
      </c>
      <c r="I79" s="54" t="s">
        <v>55</v>
      </c>
      <c r="J79" s="8">
        <v>0</v>
      </c>
      <c r="K79" s="8"/>
      <c r="L79" s="8"/>
      <c r="M79" s="8"/>
      <c r="N79" s="8"/>
      <c r="O79" s="8"/>
      <c r="P79" s="8"/>
      <c r="Q79" s="8"/>
      <c r="R79" s="6"/>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v>0</v>
      </c>
      <c r="BT79" s="8"/>
      <c r="BU79" s="2">
        <f t="shared" si="2"/>
        <v>0</v>
      </c>
      <c r="BV79" s="2">
        <f t="shared" si="3"/>
        <v>0</v>
      </c>
      <c r="BW79" s="2">
        <f t="shared" si="4"/>
        <v>0</v>
      </c>
      <c r="BX79" s="2">
        <f t="shared" si="5"/>
        <v>0</v>
      </c>
      <c r="BY79" s="2">
        <f t="shared" si="6"/>
        <v>0</v>
      </c>
      <c r="BZ79" s="2">
        <f t="shared" ref="BZ79:CA79" si="117">SUM(AQ79)</f>
        <v>0</v>
      </c>
      <c r="CA79" s="2">
        <f t="shared" si="117"/>
        <v>0</v>
      </c>
      <c r="CB79" s="2">
        <f t="shared" si="8"/>
        <v>0</v>
      </c>
    </row>
    <row r="80" spans="1:80" ht="16" x14ac:dyDescent="0.2">
      <c r="A80" s="3" t="s">
        <v>96</v>
      </c>
      <c r="B80" s="4">
        <v>152</v>
      </c>
      <c r="C80" s="5">
        <v>1</v>
      </c>
      <c r="D80" s="5">
        <v>0</v>
      </c>
      <c r="E80" s="5">
        <v>0</v>
      </c>
      <c r="F80" s="10"/>
      <c r="G80" s="10" t="s">
        <v>76</v>
      </c>
      <c r="H80" s="7" t="str">
        <f t="shared" si="0"/>
        <v>No</v>
      </c>
      <c r="I80" s="54" t="s">
        <v>55</v>
      </c>
      <c r="J80" s="8">
        <v>0</v>
      </c>
      <c r="K80" s="8"/>
      <c r="L80" s="8"/>
      <c r="M80" s="8"/>
      <c r="N80" s="8"/>
      <c r="O80" s="8"/>
      <c r="P80" s="8"/>
      <c r="Q80" s="8"/>
      <c r="R80" s="6"/>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v>0</v>
      </c>
      <c r="BT80" s="8"/>
      <c r="BU80" s="2">
        <f t="shared" si="2"/>
        <v>0</v>
      </c>
      <c r="BV80" s="2">
        <f t="shared" si="3"/>
        <v>0</v>
      </c>
      <c r="BW80" s="2">
        <f t="shared" si="4"/>
        <v>0</v>
      </c>
      <c r="BX80" s="2">
        <f t="shared" si="5"/>
        <v>0</v>
      </c>
      <c r="BY80" s="2">
        <f t="shared" si="6"/>
        <v>0</v>
      </c>
      <c r="BZ80" s="2">
        <f t="shared" ref="BZ80:CA80" si="118">SUM(AQ80)</f>
        <v>0</v>
      </c>
      <c r="CA80" s="2">
        <f t="shared" si="118"/>
        <v>0</v>
      </c>
      <c r="CB80" s="2">
        <f t="shared" si="8"/>
        <v>0</v>
      </c>
    </row>
    <row r="81" spans="1:80" ht="15" customHeight="1" x14ac:dyDescent="0.2">
      <c r="A81" s="3" t="s">
        <v>96</v>
      </c>
      <c r="B81" s="4">
        <v>152</v>
      </c>
      <c r="C81" s="5">
        <v>1</v>
      </c>
      <c r="D81" s="5">
        <v>0</v>
      </c>
      <c r="E81" s="5">
        <v>0</v>
      </c>
      <c r="F81" s="10"/>
      <c r="G81" s="10" t="s">
        <v>77</v>
      </c>
      <c r="H81" s="7" t="str">
        <f t="shared" si="0"/>
        <v>No</v>
      </c>
      <c r="I81" s="54" t="s">
        <v>55</v>
      </c>
      <c r="J81" s="8">
        <v>0</v>
      </c>
      <c r="K81" s="8"/>
      <c r="L81" s="8"/>
      <c r="M81" s="8"/>
      <c r="N81" s="8"/>
      <c r="O81" s="8"/>
      <c r="P81" s="8"/>
      <c r="Q81" s="8"/>
      <c r="R81" s="6"/>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v>0</v>
      </c>
      <c r="BT81" s="8"/>
      <c r="BU81" s="2">
        <f t="shared" si="2"/>
        <v>0</v>
      </c>
      <c r="BV81" s="2">
        <f t="shared" si="3"/>
        <v>0</v>
      </c>
      <c r="BW81" s="2">
        <f t="shared" si="4"/>
        <v>0</v>
      </c>
      <c r="BX81" s="2">
        <f t="shared" si="5"/>
        <v>0</v>
      </c>
      <c r="BY81" s="2">
        <f t="shared" si="6"/>
        <v>0</v>
      </c>
      <c r="BZ81" s="2">
        <f t="shared" ref="BZ81:CA81" si="119">SUM(AQ81)</f>
        <v>0</v>
      </c>
      <c r="CA81" s="2">
        <f t="shared" si="119"/>
        <v>0</v>
      </c>
      <c r="CB81" s="2">
        <f t="shared" si="8"/>
        <v>0</v>
      </c>
    </row>
    <row r="82" spans="1:80" ht="15" customHeight="1" x14ac:dyDescent="0.2">
      <c r="A82" s="3" t="s">
        <v>96</v>
      </c>
      <c r="B82" s="4">
        <v>152</v>
      </c>
      <c r="C82" s="5">
        <v>1</v>
      </c>
      <c r="D82" s="5">
        <v>0</v>
      </c>
      <c r="E82" s="5">
        <v>0</v>
      </c>
      <c r="F82" s="10"/>
      <c r="G82" s="10" t="s">
        <v>78</v>
      </c>
      <c r="H82" s="7" t="str">
        <f t="shared" si="0"/>
        <v>No</v>
      </c>
      <c r="I82" s="54" t="s">
        <v>55</v>
      </c>
      <c r="J82" s="8">
        <v>0</v>
      </c>
      <c r="K82" s="8"/>
      <c r="L82" s="8"/>
      <c r="M82" s="8"/>
      <c r="N82" s="8"/>
      <c r="O82" s="8"/>
      <c r="P82" s="8"/>
      <c r="Q82" s="8"/>
      <c r="R82" s="6"/>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v>0</v>
      </c>
      <c r="BT82" s="8"/>
      <c r="BU82" s="2">
        <f t="shared" si="2"/>
        <v>0</v>
      </c>
      <c r="BV82" s="2">
        <f t="shared" si="3"/>
        <v>0</v>
      </c>
      <c r="BW82" s="2">
        <f t="shared" si="4"/>
        <v>0</v>
      </c>
      <c r="BX82" s="2">
        <f t="shared" si="5"/>
        <v>0</v>
      </c>
      <c r="BY82" s="2">
        <f t="shared" si="6"/>
        <v>0</v>
      </c>
      <c r="BZ82" s="2">
        <f t="shared" ref="BZ82:CA82" si="120">SUM(AQ82)</f>
        <v>0</v>
      </c>
      <c r="CA82" s="2">
        <f t="shared" si="120"/>
        <v>0</v>
      </c>
      <c r="CB82" s="2">
        <f t="shared" si="8"/>
        <v>0</v>
      </c>
    </row>
    <row r="83" spans="1:80" ht="15" customHeight="1" x14ac:dyDescent="0.2">
      <c r="A83" s="3" t="s">
        <v>96</v>
      </c>
      <c r="B83" s="4">
        <v>152</v>
      </c>
      <c r="C83" s="5">
        <v>1</v>
      </c>
      <c r="D83" s="5">
        <v>0</v>
      </c>
      <c r="E83" s="5">
        <v>0</v>
      </c>
      <c r="F83" s="10"/>
      <c r="G83" s="10" t="s">
        <v>79</v>
      </c>
      <c r="H83" s="7" t="str">
        <f t="shared" si="0"/>
        <v>No</v>
      </c>
      <c r="I83" s="54" t="s">
        <v>55</v>
      </c>
      <c r="J83" s="8">
        <v>0</v>
      </c>
      <c r="K83" s="8"/>
      <c r="L83" s="8"/>
      <c r="M83" s="8"/>
      <c r="N83" s="8"/>
      <c r="O83" s="8"/>
      <c r="P83" s="8"/>
      <c r="Q83" s="8"/>
      <c r="R83" s="6"/>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v>0</v>
      </c>
      <c r="BT83" s="8"/>
      <c r="BU83" s="2">
        <f t="shared" si="2"/>
        <v>0</v>
      </c>
      <c r="BV83" s="2">
        <f t="shared" si="3"/>
        <v>0</v>
      </c>
      <c r="BW83" s="2">
        <f t="shared" si="4"/>
        <v>0</v>
      </c>
      <c r="BX83" s="2">
        <f t="shared" si="5"/>
        <v>0</v>
      </c>
      <c r="BY83" s="2">
        <f t="shared" si="6"/>
        <v>0</v>
      </c>
      <c r="BZ83" s="2">
        <f t="shared" ref="BZ83:CA83" si="121">SUM(AQ83)</f>
        <v>0</v>
      </c>
      <c r="CA83" s="2">
        <f t="shared" si="121"/>
        <v>0</v>
      </c>
      <c r="CB83" s="2">
        <f t="shared" si="8"/>
        <v>0</v>
      </c>
    </row>
    <row r="84" spans="1:80" ht="16" x14ac:dyDescent="0.2">
      <c r="A84" s="3" t="s">
        <v>96</v>
      </c>
      <c r="B84" s="10">
        <v>152</v>
      </c>
      <c r="C84" s="5">
        <v>1</v>
      </c>
      <c r="D84" s="5">
        <v>0</v>
      </c>
      <c r="E84" s="5">
        <v>0</v>
      </c>
      <c r="F84" s="10"/>
      <c r="G84" s="10" t="s">
        <v>80</v>
      </c>
      <c r="H84" s="7" t="str">
        <f t="shared" si="0"/>
        <v>No</v>
      </c>
      <c r="I84" s="54" t="s">
        <v>55</v>
      </c>
      <c r="J84" s="8">
        <v>0</v>
      </c>
      <c r="K84" s="8"/>
      <c r="L84" s="8"/>
      <c r="M84" s="8"/>
      <c r="N84" s="8"/>
      <c r="O84" s="8"/>
      <c r="P84" s="8"/>
      <c r="Q84" s="8"/>
      <c r="R84" s="6"/>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v>0</v>
      </c>
      <c r="BT84" s="8"/>
      <c r="BU84" s="2">
        <f t="shared" si="2"/>
        <v>0</v>
      </c>
      <c r="BV84" s="2">
        <f t="shared" si="3"/>
        <v>0</v>
      </c>
      <c r="BW84" s="2">
        <f t="shared" si="4"/>
        <v>0</v>
      </c>
      <c r="BX84" s="2">
        <f t="shared" si="5"/>
        <v>0</v>
      </c>
      <c r="BY84" s="2">
        <f t="shared" si="6"/>
        <v>0</v>
      </c>
      <c r="BZ84" s="2">
        <f t="shared" ref="BZ84:CA84" si="122">SUM(AQ84)</f>
        <v>0</v>
      </c>
      <c r="CA84" s="2">
        <f t="shared" si="122"/>
        <v>0</v>
      </c>
      <c r="CB84" s="2">
        <f t="shared" si="8"/>
        <v>0</v>
      </c>
    </row>
    <row r="85" spans="1:80" ht="16" x14ac:dyDescent="0.2">
      <c r="A85" s="3" t="s">
        <v>96</v>
      </c>
      <c r="B85" s="10">
        <v>152</v>
      </c>
      <c r="C85" s="5">
        <v>1</v>
      </c>
      <c r="D85" s="5">
        <v>0</v>
      </c>
      <c r="E85" s="5">
        <v>0</v>
      </c>
      <c r="F85" s="10"/>
      <c r="G85" s="10">
        <v>2022</v>
      </c>
      <c r="H85" s="7" t="str">
        <f t="shared" ref="H85:H86" si="123">IF($I85="1", "Yes", "No")</f>
        <v>No</v>
      </c>
      <c r="I85" s="54" t="s">
        <v>55</v>
      </c>
      <c r="J85" s="8">
        <v>0</v>
      </c>
      <c r="K85" s="8"/>
      <c r="L85" s="8"/>
      <c r="M85" s="8"/>
      <c r="N85" s="8"/>
      <c r="O85" s="8"/>
      <c r="P85" s="8"/>
      <c r="Q85" s="8"/>
      <c r="R85" s="6"/>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v>0</v>
      </c>
      <c r="BT85" s="8"/>
      <c r="BU85" s="2">
        <f t="shared" ref="BU85:BU86" si="124">SUM(AI85,BK85)</f>
        <v>0</v>
      </c>
      <c r="BV85" s="2">
        <f t="shared" ref="BV85:BV86" si="125">SUM(AK85, AL85, AM85,AJ85,BL85,BO85, AP85)</f>
        <v>0</v>
      </c>
      <c r="BW85" s="2">
        <f t="shared" ref="BW85:BW86" si="126">SUM(AN85, AO85, AS85)</f>
        <v>0</v>
      </c>
      <c r="BX85" s="2">
        <f t="shared" ref="BX85:BX86" si="127">SUM(AU85,AV85,AW85,AX85,AY85,AZ85,BA85,BB85,BC85,BD85,BE85,BF85,BG85,BH85,BI85,BJ85,BQ85,BR85,BM85)</f>
        <v>0</v>
      </c>
      <c r="BY85" s="2">
        <f t="shared" ref="BY85:BY86" si="128">SUM(BP85, BN85)</f>
        <v>0</v>
      </c>
      <c r="BZ85" s="2">
        <f t="shared" ref="BZ85:BZ86" si="129">SUM(AQ85)</f>
        <v>0</v>
      </c>
      <c r="CA85" s="2">
        <f t="shared" ref="CA85:CA86" si="130">SUM(AR85)</f>
        <v>0</v>
      </c>
      <c r="CB85" s="2">
        <f t="shared" ref="CB85:CB86" si="131">SUM(AT85)</f>
        <v>0</v>
      </c>
    </row>
    <row r="86" spans="1:80" ht="16" x14ac:dyDescent="0.2">
      <c r="A86" s="3" t="s">
        <v>96</v>
      </c>
      <c r="B86" s="10">
        <v>152</v>
      </c>
      <c r="C86" s="5">
        <v>1</v>
      </c>
      <c r="D86" s="5">
        <v>0</v>
      </c>
      <c r="E86" s="5">
        <v>0</v>
      </c>
      <c r="F86" s="10"/>
      <c r="G86" s="10">
        <v>2023</v>
      </c>
      <c r="H86" s="7" t="str">
        <f t="shared" si="123"/>
        <v>No</v>
      </c>
      <c r="I86" s="54" t="s">
        <v>55</v>
      </c>
      <c r="J86" s="8">
        <v>0</v>
      </c>
      <c r="K86" s="8"/>
      <c r="L86" s="8"/>
      <c r="M86" s="8"/>
      <c r="N86" s="8"/>
      <c r="O86" s="8"/>
      <c r="P86" s="8"/>
      <c r="Q86" s="8"/>
      <c r="R86" s="6"/>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v>0</v>
      </c>
      <c r="BT86" s="8"/>
      <c r="BU86" s="2">
        <f t="shared" si="124"/>
        <v>0</v>
      </c>
      <c r="BV86" s="2">
        <f t="shared" si="125"/>
        <v>0</v>
      </c>
      <c r="BW86" s="2">
        <f t="shared" si="126"/>
        <v>0</v>
      </c>
      <c r="BX86" s="2">
        <f t="shared" si="127"/>
        <v>0</v>
      </c>
      <c r="BY86" s="2">
        <f t="shared" si="128"/>
        <v>0</v>
      </c>
      <c r="BZ86" s="2">
        <f t="shared" si="129"/>
        <v>0</v>
      </c>
      <c r="CA86" s="2">
        <f t="shared" si="130"/>
        <v>0</v>
      </c>
      <c r="CB86" s="2">
        <f t="shared" si="131"/>
        <v>0</v>
      </c>
    </row>
    <row r="87" spans="1:80" ht="16" x14ac:dyDescent="0.2">
      <c r="A87" s="3" t="s">
        <v>97</v>
      </c>
      <c r="B87" s="10">
        <v>170</v>
      </c>
      <c r="C87" s="5">
        <v>1</v>
      </c>
      <c r="D87" s="5">
        <v>0</v>
      </c>
      <c r="E87" s="5">
        <v>0</v>
      </c>
      <c r="F87" s="10"/>
      <c r="G87" s="10" t="s">
        <v>86</v>
      </c>
      <c r="H87" s="7" t="str">
        <f t="shared" si="0"/>
        <v>No</v>
      </c>
      <c r="I87" s="54" t="s">
        <v>55</v>
      </c>
      <c r="J87" s="8">
        <v>0</v>
      </c>
      <c r="K87" s="8"/>
      <c r="L87" s="8"/>
      <c r="M87" s="8"/>
      <c r="N87" s="8"/>
      <c r="O87" s="8"/>
      <c r="P87" s="8"/>
      <c r="Q87" s="8"/>
      <c r="R87" s="6"/>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v>0</v>
      </c>
      <c r="BT87" s="8"/>
      <c r="BU87" s="2">
        <f t="shared" si="2"/>
        <v>0</v>
      </c>
      <c r="BV87" s="2">
        <f t="shared" si="3"/>
        <v>0</v>
      </c>
      <c r="BW87" s="2">
        <f t="shared" si="4"/>
        <v>0</v>
      </c>
      <c r="BX87" s="2">
        <f t="shared" si="5"/>
        <v>0</v>
      </c>
      <c r="BY87" s="2">
        <f t="shared" si="6"/>
        <v>0</v>
      </c>
      <c r="BZ87" s="2">
        <f t="shared" ref="BZ87:CA87" si="132">SUM(AQ87)</f>
        <v>0</v>
      </c>
      <c r="CA87" s="2">
        <f t="shared" si="132"/>
        <v>0</v>
      </c>
      <c r="CB87" s="2">
        <f t="shared" si="8"/>
        <v>0</v>
      </c>
    </row>
    <row r="88" spans="1:80" ht="16" x14ac:dyDescent="0.2">
      <c r="A88" s="3" t="s">
        <v>97</v>
      </c>
      <c r="B88" s="10">
        <v>170</v>
      </c>
      <c r="C88" s="5">
        <v>1</v>
      </c>
      <c r="D88" s="5">
        <v>0</v>
      </c>
      <c r="E88" s="5">
        <v>0</v>
      </c>
      <c r="F88" s="10"/>
      <c r="G88" s="10" t="s">
        <v>90</v>
      </c>
      <c r="H88" s="7" t="str">
        <f t="shared" si="0"/>
        <v>No</v>
      </c>
      <c r="I88" s="54" t="s">
        <v>55</v>
      </c>
      <c r="J88" s="8">
        <v>0</v>
      </c>
      <c r="K88" s="8"/>
      <c r="L88" s="8"/>
      <c r="M88" s="8"/>
      <c r="N88" s="8"/>
      <c r="O88" s="8"/>
      <c r="P88" s="8"/>
      <c r="Q88" s="8"/>
      <c r="R88" s="6"/>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v>0</v>
      </c>
      <c r="BT88" s="8"/>
      <c r="BU88" s="2">
        <f t="shared" si="2"/>
        <v>0</v>
      </c>
      <c r="BV88" s="2">
        <f t="shared" si="3"/>
        <v>0</v>
      </c>
      <c r="BW88" s="2">
        <f t="shared" si="4"/>
        <v>0</v>
      </c>
      <c r="BX88" s="2">
        <f t="shared" si="5"/>
        <v>0</v>
      </c>
      <c r="BY88" s="2">
        <f t="shared" si="6"/>
        <v>0</v>
      </c>
      <c r="BZ88" s="2">
        <f t="shared" ref="BZ88:CA88" si="133">SUM(AQ88)</f>
        <v>0</v>
      </c>
      <c r="CA88" s="2">
        <f t="shared" si="133"/>
        <v>0</v>
      </c>
      <c r="CB88" s="2">
        <f t="shared" si="8"/>
        <v>0</v>
      </c>
    </row>
    <row r="89" spans="1:80" ht="16" x14ac:dyDescent="0.2">
      <c r="A89" s="3" t="s">
        <v>97</v>
      </c>
      <c r="B89" s="10">
        <v>170</v>
      </c>
      <c r="C89" s="5">
        <v>1</v>
      </c>
      <c r="D89" s="5">
        <v>0</v>
      </c>
      <c r="E89" s="5">
        <v>0</v>
      </c>
      <c r="F89" s="10"/>
      <c r="G89" s="10" t="s">
        <v>91</v>
      </c>
      <c r="H89" s="7" t="str">
        <f t="shared" si="0"/>
        <v>No</v>
      </c>
      <c r="I89" s="54" t="s">
        <v>55</v>
      </c>
      <c r="J89" s="8">
        <v>0</v>
      </c>
      <c r="K89" s="8"/>
      <c r="L89" s="8"/>
      <c r="M89" s="8"/>
      <c r="N89" s="8"/>
      <c r="O89" s="8"/>
      <c r="P89" s="8"/>
      <c r="Q89" s="8"/>
      <c r="R89" s="6"/>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v>0</v>
      </c>
      <c r="BT89" s="8"/>
      <c r="BU89" s="2">
        <f t="shared" si="2"/>
        <v>0</v>
      </c>
      <c r="BV89" s="2">
        <f t="shared" si="3"/>
        <v>0</v>
      </c>
      <c r="BW89" s="2">
        <f t="shared" si="4"/>
        <v>0</v>
      </c>
      <c r="BX89" s="2">
        <f t="shared" si="5"/>
        <v>0</v>
      </c>
      <c r="BY89" s="2">
        <f t="shared" si="6"/>
        <v>0</v>
      </c>
      <c r="BZ89" s="2">
        <f t="shared" ref="BZ89:CA89" si="134">SUM(AQ89)</f>
        <v>0</v>
      </c>
      <c r="CA89" s="2">
        <f t="shared" si="134"/>
        <v>0</v>
      </c>
      <c r="CB89" s="2">
        <f t="shared" si="8"/>
        <v>0</v>
      </c>
    </row>
    <row r="90" spans="1:80" ht="16" x14ac:dyDescent="0.2">
      <c r="A90" s="3" t="s">
        <v>97</v>
      </c>
      <c r="B90" s="10">
        <v>170</v>
      </c>
      <c r="C90" s="5">
        <v>1</v>
      </c>
      <c r="D90" s="5">
        <v>0</v>
      </c>
      <c r="E90" s="5">
        <v>0</v>
      </c>
      <c r="F90" s="10"/>
      <c r="G90" s="10" t="s">
        <v>93</v>
      </c>
      <c r="H90" s="7" t="str">
        <f t="shared" si="0"/>
        <v>No</v>
      </c>
      <c r="I90" s="54" t="s">
        <v>55</v>
      </c>
      <c r="J90" s="8">
        <v>0</v>
      </c>
      <c r="K90" s="8"/>
      <c r="L90" s="8"/>
      <c r="M90" s="8"/>
      <c r="N90" s="8"/>
      <c r="O90" s="8"/>
      <c r="P90" s="8"/>
      <c r="Q90" s="8"/>
      <c r="R90" s="6"/>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v>0</v>
      </c>
      <c r="BT90" s="8"/>
      <c r="BU90" s="2">
        <f t="shared" si="2"/>
        <v>0</v>
      </c>
      <c r="BV90" s="2">
        <f t="shared" si="3"/>
        <v>0</v>
      </c>
      <c r="BW90" s="2">
        <f t="shared" si="4"/>
        <v>0</v>
      </c>
      <c r="BX90" s="2">
        <f t="shared" si="5"/>
        <v>0</v>
      </c>
      <c r="BY90" s="2">
        <f t="shared" si="6"/>
        <v>0</v>
      </c>
      <c r="BZ90" s="2">
        <f t="shared" ref="BZ90:CA90" si="135">SUM(AQ90)</f>
        <v>0</v>
      </c>
      <c r="CA90" s="2">
        <f t="shared" si="135"/>
        <v>0</v>
      </c>
      <c r="CB90" s="2">
        <f t="shared" si="8"/>
        <v>0</v>
      </c>
    </row>
    <row r="91" spans="1:80" ht="16" x14ac:dyDescent="0.2">
      <c r="A91" s="3" t="s">
        <v>97</v>
      </c>
      <c r="B91" s="10">
        <v>170</v>
      </c>
      <c r="C91" s="5">
        <v>1</v>
      </c>
      <c r="D91" s="5">
        <v>0</v>
      </c>
      <c r="E91" s="5">
        <v>0</v>
      </c>
      <c r="F91" s="10"/>
      <c r="G91" s="10" t="s">
        <v>70</v>
      </c>
      <c r="H91" s="7" t="str">
        <f t="shared" si="0"/>
        <v>No</v>
      </c>
      <c r="I91" s="54" t="s">
        <v>55</v>
      </c>
      <c r="J91" s="8">
        <v>0</v>
      </c>
      <c r="K91" s="8"/>
      <c r="L91" s="8"/>
      <c r="M91" s="8"/>
      <c r="N91" s="8"/>
      <c r="O91" s="8"/>
      <c r="P91" s="8"/>
      <c r="Q91" s="8"/>
      <c r="R91" s="6"/>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v>0</v>
      </c>
      <c r="BT91" s="8"/>
      <c r="BU91" s="2">
        <f t="shared" si="2"/>
        <v>0</v>
      </c>
      <c r="BV91" s="2">
        <f t="shared" si="3"/>
        <v>0</v>
      </c>
      <c r="BW91" s="2">
        <f t="shared" si="4"/>
        <v>0</v>
      </c>
      <c r="BX91" s="2">
        <f t="shared" si="5"/>
        <v>0</v>
      </c>
      <c r="BY91" s="2">
        <f t="shared" si="6"/>
        <v>0</v>
      </c>
      <c r="BZ91" s="2">
        <f t="shared" ref="BZ91:CA91" si="136">SUM(AQ91)</f>
        <v>0</v>
      </c>
      <c r="CA91" s="2">
        <f t="shared" si="136"/>
        <v>0</v>
      </c>
      <c r="CB91" s="2">
        <f t="shared" si="8"/>
        <v>0</v>
      </c>
    </row>
    <row r="92" spans="1:80" ht="15" customHeight="1" x14ac:dyDescent="0.2">
      <c r="A92" s="3" t="s">
        <v>97</v>
      </c>
      <c r="B92" s="10">
        <v>170</v>
      </c>
      <c r="C92" s="5">
        <v>1</v>
      </c>
      <c r="D92" s="5">
        <v>0</v>
      </c>
      <c r="E92" s="5">
        <v>0</v>
      </c>
      <c r="F92" s="10"/>
      <c r="G92" s="10" t="s">
        <v>71</v>
      </c>
      <c r="H92" s="7" t="str">
        <f t="shared" si="0"/>
        <v>No</v>
      </c>
      <c r="I92" s="54" t="s">
        <v>55</v>
      </c>
      <c r="J92" s="8">
        <v>0</v>
      </c>
      <c r="K92" s="8"/>
      <c r="L92" s="8"/>
      <c r="M92" s="8"/>
      <c r="N92" s="8"/>
      <c r="O92" s="8"/>
      <c r="P92" s="8"/>
      <c r="Q92" s="8"/>
      <c r="R92" s="6"/>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v>0</v>
      </c>
      <c r="BT92" s="8"/>
      <c r="BU92" s="2">
        <f t="shared" si="2"/>
        <v>0</v>
      </c>
      <c r="BV92" s="2">
        <f t="shared" si="3"/>
        <v>0</v>
      </c>
      <c r="BW92" s="2">
        <f t="shared" si="4"/>
        <v>0</v>
      </c>
      <c r="BX92" s="2">
        <f t="shared" si="5"/>
        <v>0</v>
      </c>
      <c r="BY92" s="2">
        <f t="shared" si="6"/>
        <v>0</v>
      </c>
      <c r="BZ92" s="2">
        <f t="shared" ref="BZ92:CA92" si="137">SUM(AQ92)</f>
        <v>0</v>
      </c>
      <c r="CA92" s="2">
        <f t="shared" si="137"/>
        <v>0</v>
      </c>
      <c r="CB92" s="2">
        <f t="shared" si="8"/>
        <v>0</v>
      </c>
    </row>
    <row r="93" spans="1:80" ht="15" customHeight="1" x14ac:dyDescent="0.2">
      <c r="A93" s="3" t="s">
        <v>97</v>
      </c>
      <c r="B93" s="10">
        <v>170</v>
      </c>
      <c r="C93" s="5">
        <v>1</v>
      </c>
      <c r="D93" s="5">
        <v>0</v>
      </c>
      <c r="E93" s="5">
        <v>0</v>
      </c>
      <c r="F93" s="10"/>
      <c r="G93" s="10" t="s">
        <v>72</v>
      </c>
      <c r="H93" s="7" t="str">
        <f t="shared" si="0"/>
        <v>No</v>
      </c>
      <c r="I93" s="54" t="s">
        <v>55</v>
      </c>
      <c r="J93" s="8">
        <v>0</v>
      </c>
      <c r="K93" s="8"/>
      <c r="L93" s="8"/>
      <c r="M93" s="8"/>
      <c r="N93" s="8"/>
      <c r="O93" s="8"/>
      <c r="P93" s="8"/>
      <c r="Q93" s="8"/>
      <c r="R93" s="6"/>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v>0</v>
      </c>
      <c r="BT93" s="8"/>
      <c r="BU93" s="2">
        <f t="shared" si="2"/>
        <v>0</v>
      </c>
      <c r="BV93" s="2">
        <f t="shared" si="3"/>
        <v>0</v>
      </c>
      <c r="BW93" s="2">
        <f t="shared" si="4"/>
        <v>0</v>
      </c>
      <c r="BX93" s="2">
        <f t="shared" si="5"/>
        <v>0</v>
      </c>
      <c r="BY93" s="2">
        <f t="shared" si="6"/>
        <v>0</v>
      </c>
      <c r="BZ93" s="2">
        <f t="shared" ref="BZ93:CA93" si="138">SUM(AQ93)</f>
        <v>0</v>
      </c>
      <c r="CA93" s="2">
        <f t="shared" si="138"/>
        <v>0</v>
      </c>
      <c r="CB93" s="2">
        <f t="shared" si="8"/>
        <v>0</v>
      </c>
    </row>
    <row r="94" spans="1:80" ht="15" customHeight="1" x14ac:dyDescent="0.2">
      <c r="A94" s="3" t="s">
        <v>97</v>
      </c>
      <c r="B94" s="10">
        <v>170</v>
      </c>
      <c r="C94" s="5">
        <v>1</v>
      </c>
      <c r="D94" s="5">
        <v>0</v>
      </c>
      <c r="E94" s="5">
        <v>0</v>
      </c>
      <c r="F94" s="10"/>
      <c r="G94" s="10" t="s">
        <v>73</v>
      </c>
      <c r="H94" s="7" t="str">
        <f t="shared" si="0"/>
        <v>No</v>
      </c>
      <c r="I94" s="54" t="s">
        <v>55</v>
      </c>
      <c r="J94" s="8">
        <v>0</v>
      </c>
      <c r="K94" s="8"/>
      <c r="L94" s="8"/>
      <c r="M94" s="8"/>
      <c r="N94" s="8"/>
      <c r="O94" s="8"/>
      <c r="P94" s="8"/>
      <c r="Q94" s="8"/>
      <c r="R94" s="6"/>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v>0</v>
      </c>
      <c r="BT94" s="8"/>
      <c r="BU94" s="2">
        <f t="shared" si="2"/>
        <v>0</v>
      </c>
      <c r="BV94" s="2">
        <f t="shared" si="3"/>
        <v>0</v>
      </c>
      <c r="BW94" s="2">
        <f t="shared" si="4"/>
        <v>0</v>
      </c>
      <c r="BX94" s="2">
        <f t="shared" si="5"/>
        <v>0</v>
      </c>
      <c r="BY94" s="2">
        <f t="shared" si="6"/>
        <v>0</v>
      </c>
      <c r="BZ94" s="2">
        <f t="shared" ref="BZ94:CA94" si="139">SUM(AQ94)</f>
        <v>0</v>
      </c>
      <c r="CA94" s="2">
        <f t="shared" si="139"/>
        <v>0</v>
      </c>
      <c r="CB94" s="2">
        <f t="shared" si="8"/>
        <v>0</v>
      </c>
    </row>
    <row r="95" spans="1:80" ht="15" customHeight="1" x14ac:dyDescent="0.2">
      <c r="A95" s="3" t="s">
        <v>97</v>
      </c>
      <c r="B95" s="10">
        <v>170</v>
      </c>
      <c r="C95" s="5">
        <v>1</v>
      </c>
      <c r="D95" s="5">
        <v>0</v>
      </c>
      <c r="E95" s="5">
        <v>0</v>
      </c>
      <c r="F95" s="10"/>
      <c r="G95" s="10" t="s">
        <v>74</v>
      </c>
      <c r="H95" s="7" t="str">
        <f t="shared" si="0"/>
        <v>No</v>
      </c>
      <c r="I95" s="54" t="s">
        <v>55</v>
      </c>
      <c r="J95" s="8">
        <v>0</v>
      </c>
      <c r="K95" s="8"/>
      <c r="L95" s="8"/>
      <c r="M95" s="8"/>
      <c r="N95" s="8"/>
      <c r="O95" s="8"/>
      <c r="P95" s="8"/>
      <c r="Q95" s="8"/>
      <c r="R95" s="6"/>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v>0</v>
      </c>
      <c r="BT95" s="8"/>
      <c r="BU95" s="2">
        <f t="shared" si="2"/>
        <v>0</v>
      </c>
      <c r="BV95" s="2">
        <f t="shared" si="3"/>
        <v>0</v>
      </c>
      <c r="BW95" s="2">
        <f t="shared" si="4"/>
        <v>0</v>
      </c>
      <c r="BX95" s="2">
        <f t="shared" si="5"/>
        <v>0</v>
      </c>
      <c r="BY95" s="2">
        <f t="shared" si="6"/>
        <v>0</v>
      </c>
      <c r="BZ95" s="2">
        <f t="shared" ref="BZ95:CA95" si="140">SUM(AQ95)</f>
        <v>0</v>
      </c>
      <c r="CA95" s="2">
        <f t="shared" si="140"/>
        <v>0</v>
      </c>
      <c r="CB95" s="2">
        <f t="shared" si="8"/>
        <v>0</v>
      </c>
    </row>
    <row r="96" spans="1:80" ht="15" customHeight="1" x14ac:dyDescent="0.2">
      <c r="A96" s="3" t="s">
        <v>97</v>
      </c>
      <c r="B96" s="10">
        <v>170</v>
      </c>
      <c r="C96" s="5">
        <v>1</v>
      </c>
      <c r="D96" s="5">
        <v>0</v>
      </c>
      <c r="E96" s="5">
        <v>0</v>
      </c>
      <c r="F96" s="10"/>
      <c r="G96" s="10" t="s">
        <v>75</v>
      </c>
      <c r="H96" s="7" t="str">
        <f t="shared" si="0"/>
        <v>No</v>
      </c>
      <c r="I96" s="54" t="s">
        <v>55</v>
      </c>
      <c r="J96" s="8">
        <v>0</v>
      </c>
      <c r="K96" s="8"/>
      <c r="L96" s="8"/>
      <c r="M96" s="8"/>
      <c r="N96" s="8"/>
      <c r="O96" s="8"/>
      <c r="P96" s="8"/>
      <c r="Q96" s="8"/>
      <c r="R96" s="6"/>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v>0</v>
      </c>
      <c r="BT96" s="8"/>
      <c r="BU96" s="2">
        <f t="shared" si="2"/>
        <v>0</v>
      </c>
      <c r="BV96" s="2">
        <f t="shared" si="3"/>
        <v>0</v>
      </c>
      <c r="BW96" s="2">
        <f t="shared" si="4"/>
        <v>0</v>
      </c>
      <c r="BX96" s="2">
        <f t="shared" si="5"/>
        <v>0</v>
      </c>
      <c r="BY96" s="2">
        <f t="shared" si="6"/>
        <v>0</v>
      </c>
      <c r="BZ96" s="2">
        <f t="shared" ref="BZ96:CA96" si="141">SUM(AQ96)</f>
        <v>0</v>
      </c>
      <c r="CA96" s="2">
        <f t="shared" si="141"/>
        <v>0</v>
      </c>
      <c r="CB96" s="2">
        <f t="shared" si="8"/>
        <v>0</v>
      </c>
    </row>
    <row r="97" spans="1:80" ht="15" customHeight="1" x14ac:dyDescent="0.2">
      <c r="A97" s="3" t="s">
        <v>97</v>
      </c>
      <c r="B97" s="10">
        <v>170</v>
      </c>
      <c r="C97" s="5">
        <v>1</v>
      </c>
      <c r="D97" s="5">
        <v>0</v>
      </c>
      <c r="E97" s="5">
        <v>0</v>
      </c>
      <c r="F97" s="10"/>
      <c r="G97" s="10" t="s">
        <v>76</v>
      </c>
      <c r="H97" s="7" t="str">
        <f t="shared" si="0"/>
        <v>No</v>
      </c>
      <c r="I97" s="54" t="s">
        <v>55</v>
      </c>
      <c r="J97" s="8">
        <v>0</v>
      </c>
      <c r="K97" s="8"/>
      <c r="L97" s="8"/>
      <c r="M97" s="8"/>
      <c r="N97" s="8"/>
      <c r="O97" s="8"/>
      <c r="P97" s="8"/>
      <c r="Q97" s="8"/>
      <c r="R97" s="6"/>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v>0</v>
      </c>
      <c r="BT97" s="8"/>
      <c r="BU97" s="2">
        <f t="shared" si="2"/>
        <v>0</v>
      </c>
      <c r="BV97" s="2">
        <f t="shared" si="3"/>
        <v>0</v>
      </c>
      <c r="BW97" s="2">
        <f t="shared" si="4"/>
        <v>0</v>
      </c>
      <c r="BX97" s="2">
        <f t="shared" si="5"/>
        <v>0</v>
      </c>
      <c r="BY97" s="2">
        <f t="shared" si="6"/>
        <v>0</v>
      </c>
      <c r="BZ97" s="2">
        <f t="shared" ref="BZ97:CA97" si="142">SUM(AQ97)</f>
        <v>0</v>
      </c>
      <c r="CA97" s="2">
        <f t="shared" si="142"/>
        <v>0</v>
      </c>
      <c r="CB97" s="2">
        <f t="shared" si="8"/>
        <v>0</v>
      </c>
    </row>
    <row r="98" spans="1:80" ht="15" customHeight="1" x14ac:dyDescent="0.2">
      <c r="A98" s="3" t="s">
        <v>97</v>
      </c>
      <c r="B98" s="10">
        <v>170</v>
      </c>
      <c r="C98" s="5">
        <v>1</v>
      </c>
      <c r="D98" s="5">
        <v>0</v>
      </c>
      <c r="E98" s="5">
        <v>0</v>
      </c>
      <c r="F98" s="10"/>
      <c r="G98" s="10" t="s">
        <v>77</v>
      </c>
      <c r="H98" s="7" t="str">
        <f t="shared" si="0"/>
        <v>No</v>
      </c>
      <c r="I98" s="54" t="s">
        <v>55</v>
      </c>
      <c r="J98" s="8">
        <v>0</v>
      </c>
      <c r="K98" s="8"/>
      <c r="L98" s="8"/>
      <c r="M98" s="8"/>
      <c r="N98" s="8"/>
      <c r="O98" s="8"/>
      <c r="P98" s="8"/>
      <c r="Q98" s="8"/>
      <c r="R98" s="6"/>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v>0</v>
      </c>
      <c r="BT98" s="8"/>
      <c r="BU98" s="2">
        <f t="shared" si="2"/>
        <v>0</v>
      </c>
      <c r="BV98" s="2">
        <f t="shared" si="3"/>
        <v>0</v>
      </c>
      <c r="BW98" s="2">
        <f t="shared" si="4"/>
        <v>0</v>
      </c>
      <c r="BX98" s="2">
        <f t="shared" si="5"/>
        <v>0</v>
      </c>
      <c r="BY98" s="2">
        <f t="shared" si="6"/>
        <v>0</v>
      </c>
      <c r="BZ98" s="2">
        <f t="shared" ref="BZ98:CA98" si="143">SUM(AQ98)</f>
        <v>0</v>
      </c>
      <c r="CA98" s="2">
        <f t="shared" si="143"/>
        <v>0</v>
      </c>
      <c r="CB98" s="2">
        <f t="shared" si="8"/>
        <v>0</v>
      </c>
    </row>
    <row r="99" spans="1:80" ht="15" customHeight="1" x14ac:dyDescent="0.2">
      <c r="A99" s="3" t="s">
        <v>97</v>
      </c>
      <c r="B99" s="10">
        <v>170</v>
      </c>
      <c r="C99" s="5">
        <v>1</v>
      </c>
      <c r="D99" s="5">
        <v>0</v>
      </c>
      <c r="E99" s="5">
        <v>0</v>
      </c>
      <c r="F99" s="10"/>
      <c r="G99" s="10" t="s">
        <v>78</v>
      </c>
      <c r="H99" s="7" t="str">
        <f t="shared" si="0"/>
        <v>No</v>
      </c>
      <c r="I99" s="54" t="s">
        <v>55</v>
      </c>
      <c r="J99" s="8">
        <v>0</v>
      </c>
      <c r="K99" s="8"/>
      <c r="L99" s="8"/>
      <c r="M99" s="8"/>
      <c r="N99" s="8"/>
      <c r="O99" s="8"/>
      <c r="P99" s="8"/>
      <c r="Q99" s="8"/>
      <c r="R99" s="6"/>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v>0</v>
      </c>
      <c r="BT99" s="8"/>
      <c r="BU99" s="2">
        <f t="shared" si="2"/>
        <v>0</v>
      </c>
      <c r="BV99" s="2">
        <f t="shared" si="3"/>
        <v>0</v>
      </c>
      <c r="BW99" s="2">
        <f t="shared" si="4"/>
        <v>0</v>
      </c>
      <c r="BX99" s="2">
        <f t="shared" si="5"/>
        <v>0</v>
      </c>
      <c r="BY99" s="2">
        <f t="shared" si="6"/>
        <v>0</v>
      </c>
      <c r="BZ99" s="2">
        <f t="shared" ref="BZ99:CA99" si="144">SUM(AQ99)</f>
        <v>0</v>
      </c>
      <c r="CA99" s="2">
        <f t="shared" si="144"/>
        <v>0</v>
      </c>
      <c r="CB99" s="2">
        <f t="shared" si="8"/>
        <v>0</v>
      </c>
    </row>
    <row r="100" spans="1:80" ht="15" customHeight="1" x14ac:dyDescent="0.2">
      <c r="A100" s="3" t="s">
        <v>97</v>
      </c>
      <c r="B100" s="10">
        <v>170</v>
      </c>
      <c r="C100" s="5">
        <v>1</v>
      </c>
      <c r="D100" s="5">
        <v>0</v>
      </c>
      <c r="E100" s="5">
        <v>0</v>
      </c>
      <c r="F100" s="10"/>
      <c r="G100" s="10" t="s">
        <v>79</v>
      </c>
      <c r="H100" s="7" t="str">
        <f t="shared" si="0"/>
        <v>No</v>
      </c>
      <c r="I100" s="54" t="s">
        <v>55</v>
      </c>
      <c r="J100" s="8">
        <v>0</v>
      </c>
      <c r="K100" s="8"/>
      <c r="L100" s="8"/>
      <c r="M100" s="8"/>
      <c r="N100" s="8"/>
      <c r="O100" s="8"/>
      <c r="P100" s="8"/>
      <c r="Q100" s="8"/>
      <c r="R100" s="6"/>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v>0</v>
      </c>
      <c r="BT100" s="8"/>
      <c r="BU100" s="2">
        <f t="shared" si="2"/>
        <v>0</v>
      </c>
      <c r="BV100" s="2">
        <f t="shared" si="3"/>
        <v>0</v>
      </c>
      <c r="BW100" s="2">
        <f t="shared" si="4"/>
        <v>0</v>
      </c>
      <c r="BX100" s="2">
        <f t="shared" si="5"/>
        <v>0</v>
      </c>
      <c r="BY100" s="2">
        <f t="shared" si="6"/>
        <v>0</v>
      </c>
      <c r="BZ100" s="2">
        <f t="shared" ref="BZ100:CA100" si="145">SUM(AQ100)</f>
        <v>0</v>
      </c>
      <c r="CA100" s="2">
        <f t="shared" si="145"/>
        <v>0</v>
      </c>
      <c r="CB100" s="2">
        <f t="shared" si="8"/>
        <v>0</v>
      </c>
    </row>
    <row r="101" spans="1:80" ht="15" customHeight="1" x14ac:dyDescent="0.2">
      <c r="A101" s="3" t="s">
        <v>97</v>
      </c>
      <c r="B101" s="10">
        <v>170</v>
      </c>
      <c r="C101" s="5">
        <v>1</v>
      </c>
      <c r="D101" s="5">
        <v>0</v>
      </c>
      <c r="E101" s="5">
        <v>0</v>
      </c>
      <c r="F101" s="10"/>
      <c r="G101" s="10" t="s">
        <v>80</v>
      </c>
      <c r="H101" s="7" t="str">
        <f t="shared" si="0"/>
        <v>No</v>
      </c>
      <c r="I101" s="54" t="s">
        <v>55</v>
      </c>
      <c r="J101" s="8">
        <v>0</v>
      </c>
      <c r="K101" s="8"/>
      <c r="L101" s="8"/>
      <c r="M101" s="8"/>
      <c r="N101" s="8"/>
      <c r="O101" s="8"/>
      <c r="P101" s="8"/>
      <c r="Q101" s="8"/>
      <c r="R101" s="6"/>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v>0</v>
      </c>
      <c r="BT101" s="8"/>
      <c r="BU101" s="2">
        <f t="shared" si="2"/>
        <v>0</v>
      </c>
      <c r="BV101" s="2">
        <f t="shared" si="3"/>
        <v>0</v>
      </c>
      <c r="BW101" s="2">
        <f t="shared" si="4"/>
        <v>0</v>
      </c>
      <c r="BX101" s="2">
        <f t="shared" si="5"/>
        <v>0</v>
      </c>
      <c r="BY101" s="2">
        <f t="shared" si="6"/>
        <v>0</v>
      </c>
      <c r="BZ101" s="2">
        <f t="shared" ref="BZ101:CA101" si="146">SUM(AQ101)</f>
        <v>0</v>
      </c>
      <c r="CA101" s="2">
        <f t="shared" si="146"/>
        <v>0</v>
      </c>
      <c r="CB101" s="2">
        <f t="shared" si="8"/>
        <v>0</v>
      </c>
    </row>
    <row r="102" spans="1:80" ht="15" customHeight="1" x14ac:dyDescent="0.2">
      <c r="A102" s="3" t="s">
        <v>97</v>
      </c>
      <c r="B102" s="10">
        <v>170</v>
      </c>
      <c r="C102" s="5">
        <v>1</v>
      </c>
      <c r="D102" s="5">
        <v>0</v>
      </c>
      <c r="E102" s="5">
        <v>0</v>
      </c>
      <c r="F102" s="10"/>
      <c r="G102" s="10">
        <v>2022</v>
      </c>
      <c r="H102" s="7" t="str">
        <f t="shared" ref="H102" si="147">IF($I102="1", "Yes", "No")</f>
        <v>No</v>
      </c>
      <c r="I102" s="54" t="s">
        <v>55</v>
      </c>
      <c r="J102" s="8">
        <v>0</v>
      </c>
      <c r="K102" s="8"/>
      <c r="L102" s="8"/>
      <c r="M102" s="8"/>
      <c r="N102" s="8"/>
      <c r="O102" s="8"/>
      <c r="P102" s="8"/>
      <c r="Q102" s="8"/>
      <c r="R102" s="6"/>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v>0</v>
      </c>
      <c r="BT102" s="8"/>
      <c r="BU102" s="2">
        <f t="shared" ref="BU102" si="148">SUM(AI102,BK102)</f>
        <v>0</v>
      </c>
      <c r="BV102" s="2">
        <f t="shared" ref="BV102" si="149">SUM(AK102, AL102, AM102,AJ102,BL102,BO102, AP102)</f>
        <v>0</v>
      </c>
      <c r="BW102" s="2">
        <f t="shared" ref="BW102" si="150">SUM(AN102, AO102, AS102)</f>
        <v>0</v>
      </c>
      <c r="BX102" s="2">
        <f t="shared" ref="BX102" si="151">SUM(AU102,AV102,AW102,AX102,AY102,AZ102,BA102,BB102,BC102,BD102,BE102,BF102,BG102,BH102,BI102,BJ102,BQ102,BR102,BM102)</f>
        <v>0</v>
      </c>
      <c r="BY102" s="2">
        <f t="shared" ref="BY102" si="152">SUM(BP102, BN102)</f>
        <v>0</v>
      </c>
      <c r="BZ102" s="2">
        <f t="shared" ref="BZ102" si="153">SUM(AQ102)</f>
        <v>0</v>
      </c>
      <c r="CA102" s="2">
        <f t="shared" ref="CA102" si="154">SUM(AR102)</f>
        <v>0</v>
      </c>
      <c r="CB102" s="2">
        <f t="shared" ref="CB102" si="155">SUM(AT102)</f>
        <v>0</v>
      </c>
    </row>
    <row r="103" spans="1:80" ht="15" customHeight="1" x14ac:dyDescent="0.2">
      <c r="A103" s="42" t="s">
        <v>97</v>
      </c>
      <c r="B103" s="43">
        <v>170</v>
      </c>
      <c r="C103" s="44">
        <v>1</v>
      </c>
      <c r="D103" s="44">
        <v>0</v>
      </c>
      <c r="E103" s="44">
        <v>0</v>
      </c>
      <c r="F103" s="43"/>
      <c r="G103" s="43">
        <v>2023</v>
      </c>
      <c r="H103" s="45" t="s">
        <v>98</v>
      </c>
      <c r="I103" s="56" t="s">
        <v>55</v>
      </c>
      <c r="J103" s="46">
        <v>0</v>
      </c>
      <c r="K103" s="46"/>
      <c r="L103" s="46"/>
      <c r="M103" s="46"/>
      <c r="N103" s="46"/>
      <c r="O103" s="46"/>
      <c r="P103" s="46"/>
      <c r="Q103" s="46"/>
      <c r="R103" s="47"/>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v>0</v>
      </c>
      <c r="BT103" s="46"/>
      <c r="BU103" s="48">
        <v>0</v>
      </c>
      <c r="BV103" s="48">
        <v>0</v>
      </c>
      <c r="BW103" s="48">
        <v>0</v>
      </c>
      <c r="BX103" s="48">
        <v>0</v>
      </c>
      <c r="BY103" s="48">
        <v>0</v>
      </c>
      <c r="BZ103" s="48">
        <v>0</v>
      </c>
      <c r="CA103" s="48">
        <v>0</v>
      </c>
      <c r="CB103" s="48">
        <v>0</v>
      </c>
    </row>
    <row r="104" spans="1:80" ht="16" x14ac:dyDescent="0.2">
      <c r="A104" s="3" t="s">
        <v>99</v>
      </c>
      <c r="B104" s="10">
        <v>188</v>
      </c>
      <c r="C104" s="5">
        <v>1</v>
      </c>
      <c r="D104" s="5">
        <v>0</v>
      </c>
      <c r="E104" s="5">
        <v>0</v>
      </c>
      <c r="F104" s="10"/>
      <c r="G104" s="10" t="s">
        <v>86</v>
      </c>
      <c r="H104" s="7" t="str">
        <f t="shared" si="0"/>
        <v>No</v>
      </c>
      <c r="I104" s="54" t="s">
        <v>55</v>
      </c>
      <c r="J104" s="8">
        <v>0</v>
      </c>
      <c r="K104" s="8"/>
      <c r="L104" s="8"/>
      <c r="M104" s="8"/>
      <c r="N104" s="8"/>
      <c r="O104" s="8"/>
      <c r="P104" s="8"/>
      <c r="Q104" s="8"/>
      <c r="R104" s="6"/>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v>0</v>
      </c>
      <c r="BT104" s="8"/>
      <c r="BU104" s="2">
        <f t="shared" si="2"/>
        <v>0</v>
      </c>
      <c r="BV104" s="2">
        <f t="shared" si="3"/>
        <v>0</v>
      </c>
      <c r="BW104" s="2">
        <f t="shared" si="4"/>
        <v>0</v>
      </c>
      <c r="BX104" s="2">
        <f t="shared" si="5"/>
        <v>0</v>
      </c>
      <c r="BY104" s="2">
        <f t="shared" si="6"/>
        <v>0</v>
      </c>
      <c r="BZ104" s="2">
        <f t="shared" ref="BZ104:CA104" si="156">SUM(AQ104)</f>
        <v>0</v>
      </c>
      <c r="CA104" s="2">
        <f t="shared" si="156"/>
        <v>0</v>
      </c>
      <c r="CB104" s="2">
        <f t="shared" si="8"/>
        <v>0</v>
      </c>
    </row>
    <row r="105" spans="1:80" ht="16" x14ac:dyDescent="0.2">
      <c r="A105" s="3" t="s">
        <v>99</v>
      </c>
      <c r="B105" s="10">
        <v>188</v>
      </c>
      <c r="C105" s="5">
        <v>1</v>
      </c>
      <c r="D105" s="5">
        <v>0</v>
      </c>
      <c r="E105" s="5">
        <v>0</v>
      </c>
      <c r="F105" s="10"/>
      <c r="G105" s="10" t="s">
        <v>90</v>
      </c>
      <c r="H105" s="7" t="str">
        <f t="shared" si="0"/>
        <v>No</v>
      </c>
      <c r="I105" s="54" t="s">
        <v>55</v>
      </c>
      <c r="J105" s="8">
        <v>0</v>
      </c>
      <c r="K105" s="8"/>
      <c r="L105" s="8"/>
      <c r="M105" s="8"/>
      <c r="N105" s="8"/>
      <c r="O105" s="8"/>
      <c r="P105" s="8"/>
      <c r="Q105" s="8"/>
      <c r="R105" s="6"/>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v>0</v>
      </c>
      <c r="BT105" s="8"/>
      <c r="BU105" s="2">
        <f t="shared" si="2"/>
        <v>0</v>
      </c>
      <c r="BV105" s="2">
        <f t="shared" si="3"/>
        <v>0</v>
      </c>
      <c r="BW105" s="2">
        <f t="shared" si="4"/>
        <v>0</v>
      </c>
      <c r="BX105" s="2">
        <f t="shared" si="5"/>
        <v>0</v>
      </c>
      <c r="BY105" s="2">
        <f t="shared" si="6"/>
        <v>0</v>
      </c>
      <c r="BZ105" s="2">
        <f t="shared" ref="BZ105:CA105" si="157">SUM(AQ105)</f>
        <v>0</v>
      </c>
      <c r="CA105" s="2">
        <f t="shared" si="157"/>
        <v>0</v>
      </c>
      <c r="CB105" s="2">
        <f t="shared" si="8"/>
        <v>0</v>
      </c>
    </row>
    <row r="106" spans="1:80" ht="16" x14ac:dyDescent="0.2">
      <c r="A106" s="3" t="s">
        <v>99</v>
      </c>
      <c r="B106" s="10">
        <v>188</v>
      </c>
      <c r="C106" s="5">
        <v>1</v>
      </c>
      <c r="D106" s="5">
        <v>0</v>
      </c>
      <c r="E106" s="5">
        <v>0</v>
      </c>
      <c r="F106" s="10"/>
      <c r="G106" s="10" t="s">
        <v>91</v>
      </c>
      <c r="H106" s="7" t="str">
        <f t="shared" si="0"/>
        <v>No</v>
      </c>
      <c r="I106" s="54" t="s">
        <v>55</v>
      </c>
      <c r="J106" s="8">
        <v>0</v>
      </c>
      <c r="K106" s="8"/>
      <c r="L106" s="8"/>
      <c r="M106" s="8"/>
      <c r="N106" s="8"/>
      <c r="O106" s="8"/>
      <c r="P106" s="8"/>
      <c r="Q106" s="8"/>
      <c r="R106" s="6"/>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v>0</v>
      </c>
      <c r="BT106" s="8"/>
      <c r="BU106" s="2">
        <f t="shared" si="2"/>
        <v>0</v>
      </c>
      <c r="BV106" s="2">
        <f t="shared" si="3"/>
        <v>0</v>
      </c>
      <c r="BW106" s="2">
        <f t="shared" si="4"/>
        <v>0</v>
      </c>
      <c r="BX106" s="2">
        <f t="shared" si="5"/>
        <v>0</v>
      </c>
      <c r="BY106" s="2">
        <f t="shared" si="6"/>
        <v>0</v>
      </c>
      <c r="BZ106" s="2">
        <f t="shared" ref="BZ106:CA106" si="158">SUM(AQ106)</f>
        <v>0</v>
      </c>
      <c r="CA106" s="2">
        <f t="shared" si="158"/>
        <v>0</v>
      </c>
      <c r="CB106" s="2">
        <f t="shared" si="8"/>
        <v>0</v>
      </c>
    </row>
    <row r="107" spans="1:80" ht="16" x14ac:dyDescent="0.2">
      <c r="A107" s="3" t="s">
        <v>99</v>
      </c>
      <c r="B107" s="10">
        <v>188</v>
      </c>
      <c r="C107" s="5">
        <v>1</v>
      </c>
      <c r="D107" s="5">
        <v>0</v>
      </c>
      <c r="E107" s="5">
        <v>0</v>
      </c>
      <c r="F107" s="10"/>
      <c r="G107" s="10" t="s">
        <v>93</v>
      </c>
      <c r="H107" s="7" t="str">
        <f t="shared" si="0"/>
        <v>No</v>
      </c>
      <c r="I107" s="54" t="s">
        <v>55</v>
      </c>
      <c r="J107" s="8">
        <v>0</v>
      </c>
      <c r="K107" s="8"/>
      <c r="L107" s="8"/>
      <c r="M107" s="8"/>
      <c r="N107" s="8"/>
      <c r="O107" s="8"/>
      <c r="P107" s="8"/>
      <c r="Q107" s="8"/>
      <c r="R107" s="6"/>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v>0</v>
      </c>
      <c r="BT107" s="8"/>
      <c r="BU107" s="2">
        <f t="shared" si="2"/>
        <v>0</v>
      </c>
      <c r="BV107" s="2">
        <f t="shared" si="3"/>
        <v>0</v>
      </c>
      <c r="BW107" s="2">
        <f t="shared" si="4"/>
        <v>0</v>
      </c>
      <c r="BX107" s="2">
        <f t="shared" si="5"/>
        <v>0</v>
      </c>
      <c r="BY107" s="2">
        <f t="shared" si="6"/>
        <v>0</v>
      </c>
      <c r="BZ107" s="2">
        <f t="shared" ref="BZ107:CA107" si="159">SUM(AQ107)</f>
        <v>0</v>
      </c>
      <c r="CA107" s="2">
        <f t="shared" si="159"/>
        <v>0</v>
      </c>
      <c r="CB107" s="2">
        <f t="shared" si="8"/>
        <v>0</v>
      </c>
    </row>
    <row r="108" spans="1:80" ht="16" x14ac:dyDescent="0.2">
      <c r="A108" s="3" t="s">
        <v>99</v>
      </c>
      <c r="B108" s="10">
        <v>188</v>
      </c>
      <c r="C108" s="5">
        <v>1</v>
      </c>
      <c r="D108" s="5">
        <v>0</v>
      </c>
      <c r="E108" s="5">
        <v>0</v>
      </c>
      <c r="F108" s="10"/>
      <c r="G108" s="10" t="s">
        <v>70</v>
      </c>
      <c r="H108" s="7" t="str">
        <f t="shared" si="0"/>
        <v>No</v>
      </c>
      <c r="I108" s="54" t="s">
        <v>55</v>
      </c>
      <c r="J108" s="8">
        <v>0</v>
      </c>
      <c r="K108" s="8"/>
      <c r="L108" s="8"/>
      <c r="M108" s="8"/>
      <c r="N108" s="8"/>
      <c r="O108" s="8"/>
      <c r="P108" s="8"/>
      <c r="Q108" s="8"/>
      <c r="R108" s="6"/>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v>0</v>
      </c>
      <c r="BT108" s="8"/>
      <c r="BU108" s="2">
        <f t="shared" si="2"/>
        <v>0</v>
      </c>
      <c r="BV108" s="2">
        <f t="shared" si="3"/>
        <v>0</v>
      </c>
      <c r="BW108" s="2">
        <f t="shared" si="4"/>
        <v>0</v>
      </c>
      <c r="BX108" s="2">
        <f t="shared" si="5"/>
        <v>0</v>
      </c>
      <c r="BY108" s="2">
        <f t="shared" si="6"/>
        <v>0</v>
      </c>
      <c r="BZ108" s="2">
        <f t="shared" ref="BZ108:CA108" si="160">SUM(AQ108)</f>
        <v>0</v>
      </c>
      <c r="CA108" s="2">
        <f t="shared" si="160"/>
        <v>0</v>
      </c>
      <c r="CB108" s="2">
        <f t="shared" si="8"/>
        <v>0</v>
      </c>
    </row>
    <row r="109" spans="1:80" ht="16" x14ac:dyDescent="0.2">
      <c r="A109" s="3" t="s">
        <v>99</v>
      </c>
      <c r="B109" s="10">
        <v>188</v>
      </c>
      <c r="C109" s="5">
        <v>1</v>
      </c>
      <c r="D109" s="5">
        <v>0</v>
      </c>
      <c r="E109" s="5">
        <v>0</v>
      </c>
      <c r="F109" s="10"/>
      <c r="G109" s="10" t="s">
        <v>71</v>
      </c>
      <c r="H109" s="7" t="str">
        <f t="shared" si="0"/>
        <v>No</v>
      </c>
      <c r="I109" s="54" t="s">
        <v>55</v>
      </c>
      <c r="J109" s="8">
        <v>0</v>
      </c>
      <c r="K109" s="8"/>
      <c r="L109" s="8"/>
      <c r="M109" s="8"/>
      <c r="N109" s="8"/>
      <c r="O109" s="8"/>
      <c r="P109" s="8"/>
      <c r="Q109" s="8"/>
      <c r="R109" s="6"/>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v>0</v>
      </c>
      <c r="BT109" s="8"/>
      <c r="BU109" s="2">
        <f t="shared" si="2"/>
        <v>0</v>
      </c>
      <c r="BV109" s="2">
        <f t="shared" si="3"/>
        <v>0</v>
      </c>
      <c r="BW109" s="2">
        <f t="shared" si="4"/>
        <v>0</v>
      </c>
      <c r="BX109" s="2">
        <f t="shared" si="5"/>
        <v>0</v>
      </c>
      <c r="BY109" s="2">
        <f t="shared" si="6"/>
        <v>0</v>
      </c>
      <c r="BZ109" s="2">
        <f t="shared" ref="BZ109:CA109" si="161">SUM(AQ109)</f>
        <v>0</v>
      </c>
      <c r="CA109" s="2">
        <f t="shared" si="161"/>
        <v>0</v>
      </c>
      <c r="CB109" s="2">
        <f t="shared" si="8"/>
        <v>0</v>
      </c>
    </row>
    <row r="110" spans="1:80" ht="16" x14ac:dyDescent="0.2">
      <c r="A110" s="3" t="s">
        <v>99</v>
      </c>
      <c r="B110" s="10">
        <v>188</v>
      </c>
      <c r="C110" s="5">
        <v>1</v>
      </c>
      <c r="D110" s="5">
        <v>0</v>
      </c>
      <c r="E110" s="5">
        <v>0</v>
      </c>
      <c r="F110" s="10"/>
      <c r="G110" s="10" t="s">
        <v>72</v>
      </c>
      <c r="H110" s="7" t="str">
        <f t="shared" si="0"/>
        <v>No</v>
      </c>
      <c r="I110" s="54" t="s">
        <v>55</v>
      </c>
      <c r="J110" s="8">
        <v>0</v>
      </c>
      <c r="K110" s="8"/>
      <c r="L110" s="8"/>
      <c r="M110" s="8"/>
      <c r="N110" s="8"/>
      <c r="O110" s="8"/>
      <c r="P110" s="8"/>
      <c r="Q110" s="8"/>
      <c r="R110" s="6"/>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v>0</v>
      </c>
      <c r="BT110" s="8"/>
      <c r="BU110" s="2">
        <f t="shared" si="2"/>
        <v>0</v>
      </c>
      <c r="BV110" s="2">
        <f t="shared" si="3"/>
        <v>0</v>
      </c>
      <c r="BW110" s="2">
        <f t="shared" si="4"/>
        <v>0</v>
      </c>
      <c r="BX110" s="2">
        <f t="shared" si="5"/>
        <v>0</v>
      </c>
      <c r="BY110" s="2">
        <f t="shared" si="6"/>
        <v>0</v>
      </c>
      <c r="BZ110" s="2">
        <f t="shared" ref="BZ110:CA110" si="162">SUM(AQ110)</f>
        <v>0</v>
      </c>
      <c r="CA110" s="2">
        <f t="shared" si="162"/>
        <v>0</v>
      </c>
      <c r="CB110" s="2">
        <f t="shared" si="8"/>
        <v>0</v>
      </c>
    </row>
    <row r="111" spans="1:80" ht="16" x14ac:dyDescent="0.2">
      <c r="A111" s="3" t="s">
        <v>99</v>
      </c>
      <c r="B111" s="10">
        <v>188</v>
      </c>
      <c r="C111" s="5">
        <v>1</v>
      </c>
      <c r="D111" s="5">
        <v>0</v>
      </c>
      <c r="E111" s="5">
        <v>0</v>
      </c>
      <c r="F111" s="10"/>
      <c r="G111" s="10" t="s">
        <v>73</v>
      </c>
      <c r="H111" s="7" t="str">
        <f t="shared" si="0"/>
        <v>No</v>
      </c>
      <c r="I111" s="54" t="s">
        <v>55</v>
      </c>
      <c r="J111" s="8">
        <v>0</v>
      </c>
      <c r="K111" s="8"/>
      <c r="L111" s="8"/>
      <c r="M111" s="8"/>
      <c r="N111" s="8"/>
      <c r="O111" s="8"/>
      <c r="P111" s="8"/>
      <c r="Q111" s="8"/>
      <c r="R111" s="6"/>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v>0</v>
      </c>
      <c r="BT111" s="8"/>
      <c r="BU111" s="2">
        <f t="shared" si="2"/>
        <v>0</v>
      </c>
      <c r="BV111" s="2">
        <f t="shared" si="3"/>
        <v>0</v>
      </c>
      <c r="BW111" s="2">
        <f t="shared" si="4"/>
        <v>0</v>
      </c>
      <c r="BX111" s="2">
        <f t="shared" si="5"/>
        <v>0</v>
      </c>
      <c r="BY111" s="2">
        <f t="shared" si="6"/>
        <v>0</v>
      </c>
      <c r="BZ111" s="2">
        <f t="shared" ref="BZ111:CA111" si="163">SUM(AQ111)</f>
        <v>0</v>
      </c>
      <c r="CA111" s="2">
        <f t="shared" si="163"/>
        <v>0</v>
      </c>
      <c r="CB111" s="2">
        <f t="shared" si="8"/>
        <v>0</v>
      </c>
    </row>
    <row r="112" spans="1:80" ht="16" x14ac:dyDescent="0.2">
      <c r="A112" s="3" t="s">
        <v>99</v>
      </c>
      <c r="B112" s="10">
        <v>188</v>
      </c>
      <c r="C112" s="5">
        <v>1</v>
      </c>
      <c r="D112" s="5">
        <v>0</v>
      </c>
      <c r="E112" s="5">
        <v>0</v>
      </c>
      <c r="F112" s="10"/>
      <c r="G112" s="10" t="s">
        <v>74</v>
      </c>
      <c r="H112" s="7" t="str">
        <f t="shared" si="0"/>
        <v>No</v>
      </c>
      <c r="I112" s="54" t="s">
        <v>55</v>
      </c>
      <c r="J112" s="8">
        <v>0</v>
      </c>
      <c r="K112" s="8"/>
      <c r="L112" s="8"/>
      <c r="M112" s="8"/>
      <c r="N112" s="8"/>
      <c r="O112" s="8"/>
      <c r="P112" s="8"/>
      <c r="Q112" s="8"/>
      <c r="R112" s="6"/>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v>0</v>
      </c>
      <c r="BT112" s="8"/>
      <c r="BU112" s="2">
        <f t="shared" si="2"/>
        <v>0</v>
      </c>
      <c r="BV112" s="2">
        <f t="shared" si="3"/>
        <v>0</v>
      </c>
      <c r="BW112" s="2">
        <f t="shared" si="4"/>
        <v>0</v>
      </c>
      <c r="BX112" s="2">
        <f t="shared" si="5"/>
        <v>0</v>
      </c>
      <c r="BY112" s="2">
        <f t="shared" si="6"/>
        <v>0</v>
      </c>
      <c r="BZ112" s="2">
        <f t="shared" ref="BZ112:CA112" si="164">SUM(AQ112)</f>
        <v>0</v>
      </c>
      <c r="CA112" s="2">
        <f t="shared" si="164"/>
        <v>0</v>
      </c>
      <c r="CB112" s="2">
        <f t="shared" si="8"/>
        <v>0</v>
      </c>
    </row>
    <row r="113" spans="1:80" ht="16" x14ac:dyDescent="0.2">
      <c r="A113" s="3" t="s">
        <v>99</v>
      </c>
      <c r="B113" s="10">
        <v>188</v>
      </c>
      <c r="C113" s="5">
        <v>1</v>
      </c>
      <c r="D113" s="5">
        <v>0</v>
      </c>
      <c r="E113" s="5">
        <v>0</v>
      </c>
      <c r="F113" s="10"/>
      <c r="G113" s="10" t="s">
        <v>75</v>
      </c>
      <c r="H113" s="7" t="str">
        <f t="shared" si="0"/>
        <v>No</v>
      </c>
      <c r="I113" s="54" t="s">
        <v>55</v>
      </c>
      <c r="J113" s="8">
        <v>0</v>
      </c>
      <c r="K113" s="8"/>
      <c r="L113" s="8"/>
      <c r="M113" s="8"/>
      <c r="N113" s="8"/>
      <c r="O113" s="8"/>
      <c r="P113" s="8"/>
      <c r="Q113" s="8"/>
      <c r="R113" s="6"/>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v>0</v>
      </c>
      <c r="BT113" s="8"/>
      <c r="BU113" s="2">
        <f t="shared" si="2"/>
        <v>0</v>
      </c>
      <c r="BV113" s="2">
        <f t="shared" si="3"/>
        <v>0</v>
      </c>
      <c r="BW113" s="2">
        <f t="shared" si="4"/>
        <v>0</v>
      </c>
      <c r="BX113" s="2">
        <f t="shared" si="5"/>
        <v>0</v>
      </c>
      <c r="BY113" s="2">
        <f t="shared" si="6"/>
        <v>0</v>
      </c>
      <c r="BZ113" s="2">
        <f t="shared" ref="BZ113:CA113" si="165">SUM(AQ113)</f>
        <v>0</v>
      </c>
      <c r="CA113" s="2">
        <f t="shared" si="165"/>
        <v>0</v>
      </c>
      <c r="CB113" s="2">
        <f t="shared" si="8"/>
        <v>0</v>
      </c>
    </row>
    <row r="114" spans="1:80" ht="16" x14ac:dyDescent="0.2">
      <c r="A114" s="3" t="s">
        <v>99</v>
      </c>
      <c r="B114" s="10">
        <v>188</v>
      </c>
      <c r="C114" s="5">
        <v>1</v>
      </c>
      <c r="D114" s="5">
        <v>0</v>
      </c>
      <c r="E114" s="5">
        <v>0</v>
      </c>
      <c r="F114" s="10"/>
      <c r="G114" s="10" t="s">
        <v>76</v>
      </c>
      <c r="H114" s="7" t="str">
        <f t="shared" si="0"/>
        <v>No</v>
      </c>
      <c r="I114" s="54" t="s">
        <v>55</v>
      </c>
      <c r="J114" s="8">
        <v>0</v>
      </c>
      <c r="K114" s="8"/>
      <c r="L114" s="8"/>
      <c r="M114" s="8"/>
      <c r="N114" s="8"/>
      <c r="O114" s="8"/>
      <c r="P114" s="8"/>
      <c r="Q114" s="8"/>
      <c r="R114" s="6"/>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v>0</v>
      </c>
      <c r="BT114" s="8"/>
      <c r="BU114" s="2">
        <f t="shared" si="2"/>
        <v>0</v>
      </c>
      <c r="BV114" s="2">
        <f t="shared" si="3"/>
        <v>0</v>
      </c>
      <c r="BW114" s="2">
        <f t="shared" si="4"/>
        <v>0</v>
      </c>
      <c r="BX114" s="2">
        <f t="shared" si="5"/>
        <v>0</v>
      </c>
      <c r="BY114" s="2">
        <f t="shared" si="6"/>
        <v>0</v>
      </c>
      <c r="BZ114" s="2">
        <f t="shared" ref="BZ114:CA114" si="166">SUM(AQ114)</f>
        <v>0</v>
      </c>
      <c r="CA114" s="2">
        <f t="shared" si="166"/>
        <v>0</v>
      </c>
      <c r="CB114" s="2">
        <f t="shared" si="8"/>
        <v>0</v>
      </c>
    </row>
    <row r="115" spans="1:80" ht="16" x14ac:dyDescent="0.2">
      <c r="A115" s="3" t="s">
        <v>99</v>
      </c>
      <c r="B115" s="10">
        <v>188</v>
      </c>
      <c r="C115" s="5">
        <v>1</v>
      </c>
      <c r="D115" s="5">
        <v>0</v>
      </c>
      <c r="E115" s="5">
        <v>0</v>
      </c>
      <c r="F115" s="10"/>
      <c r="G115" s="10" t="s">
        <v>77</v>
      </c>
      <c r="H115" s="7" t="str">
        <f t="shared" si="0"/>
        <v>No</v>
      </c>
      <c r="I115" s="54" t="s">
        <v>55</v>
      </c>
      <c r="J115" s="8">
        <v>0</v>
      </c>
      <c r="K115" s="8"/>
      <c r="L115" s="8"/>
      <c r="M115" s="8"/>
      <c r="N115" s="8"/>
      <c r="O115" s="8"/>
      <c r="P115" s="8"/>
      <c r="Q115" s="8"/>
      <c r="R115" s="6"/>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v>0</v>
      </c>
      <c r="BT115" s="8"/>
      <c r="BU115" s="2">
        <f t="shared" si="2"/>
        <v>0</v>
      </c>
      <c r="BV115" s="2">
        <f t="shared" si="3"/>
        <v>0</v>
      </c>
      <c r="BW115" s="2">
        <f t="shared" si="4"/>
        <v>0</v>
      </c>
      <c r="BX115" s="2">
        <f t="shared" si="5"/>
        <v>0</v>
      </c>
      <c r="BY115" s="2">
        <f t="shared" si="6"/>
        <v>0</v>
      </c>
      <c r="BZ115" s="2">
        <f t="shared" ref="BZ115:CA115" si="167">SUM(AQ115)</f>
        <v>0</v>
      </c>
      <c r="CA115" s="2">
        <f t="shared" si="167"/>
        <v>0</v>
      </c>
      <c r="CB115" s="2">
        <f t="shared" si="8"/>
        <v>0</v>
      </c>
    </row>
    <row r="116" spans="1:80" ht="16" x14ac:dyDescent="0.2">
      <c r="A116" s="3" t="s">
        <v>99</v>
      </c>
      <c r="B116" s="10">
        <v>188</v>
      </c>
      <c r="C116" s="5">
        <v>1</v>
      </c>
      <c r="D116" s="5">
        <v>0</v>
      </c>
      <c r="E116" s="5">
        <v>0</v>
      </c>
      <c r="F116" s="10"/>
      <c r="G116" s="10" t="s">
        <v>78</v>
      </c>
      <c r="H116" s="7" t="str">
        <f t="shared" si="0"/>
        <v>No</v>
      </c>
      <c r="I116" s="54" t="s">
        <v>55</v>
      </c>
      <c r="J116" s="8">
        <v>0</v>
      </c>
      <c r="K116" s="8"/>
      <c r="L116" s="8"/>
      <c r="M116" s="8"/>
      <c r="N116" s="8"/>
      <c r="O116" s="8"/>
      <c r="P116" s="8"/>
      <c r="Q116" s="8"/>
      <c r="R116" s="6"/>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v>0</v>
      </c>
      <c r="BT116" s="8"/>
      <c r="BU116" s="2">
        <f t="shared" si="2"/>
        <v>0</v>
      </c>
      <c r="BV116" s="2">
        <f t="shared" si="3"/>
        <v>0</v>
      </c>
      <c r="BW116" s="2">
        <f t="shared" si="4"/>
        <v>0</v>
      </c>
      <c r="BX116" s="2">
        <f t="shared" si="5"/>
        <v>0</v>
      </c>
      <c r="BY116" s="2">
        <f t="shared" si="6"/>
        <v>0</v>
      </c>
      <c r="BZ116" s="2">
        <f t="shared" ref="BZ116:CA116" si="168">SUM(AQ116)</f>
        <v>0</v>
      </c>
      <c r="CA116" s="2">
        <f t="shared" si="168"/>
        <v>0</v>
      </c>
      <c r="CB116" s="2">
        <f t="shared" si="8"/>
        <v>0</v>
      </c>
    </row>
    <row r="117" spans="1:80" ht="15" customHeight="1" x14ac:dyDescent="0.2">
      <c r="A117" s="3" t="s">
        <v>99</v>
      </c>
      <c r="B117" s="10">
        <v>188</v>
      </c>
      <c r="C117" s="5">
        <v>1</v>
      </c>
      <c r="D117" s="5">
        <v>0</v>
      </c>
      <c r="E117" s="5">
        <v>0</v>
      </c>
      <c r="F117" s="10"/>
      <c r="G117" s="10" t="s">
        <v>79</v>
      </c>
      <c r="H117" s="7" t="str">
        <f t="shared" si="0"/>
        <v>No</v>
      </c>
      <c r="I117" s="54" t="s">
        <v>55</v>
      </c>
      <c r="J117" s="8">
        <v>0</v>
      </c>
      <c r="K117" s="8"/>
      <c r="L117" s="8"/>
      <c r="M117" s="8"/>
      <c r="N117" s="8"/>
      <c r="O117" s="8"/>
      <c r="P117" s="8"/>
      <c r="Q117" s="8"/>
      <c r="R117" s="6"/>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v>0</v>
      </c>
      <c r="BT117" s="8"/>
      <c r="BU117" s="2">
        <f t="shared" si="2"/>
        <v>0</v>
      </c>
      <c r="BV117" s="2">
        <f t="shared" si="3"/>
        <v>0</v>
      </c>
      <c r="BW117" s="2">
        <f t="shared" si="4"/>
        <v>0</v>
      </c>
      <c r="BX117" s="2">
        <f t="shared" si="5"/>
        <v>0</v>
      </c>
      <c r="BY117" s="2">
        <f t="shared" si="6"/>
        <v>0</v>
      </c>
      <c r="BZ117" s="2">
        <f t="shared" ref="BZ117:CA117" si="169">SUM(AQ117)</f>
        <v>0</v>
      </c>
      <c r="CA117" s="2">
        <f t="shared" si="169"/>
        <v>0</v>
      </c>
      <c r="CB117" s="2">
        <f t="shared" si="8"/>
        <v>0</v>
      </c>
    </row>
    <row r="118" spans="1:80" ht="16" x14ac:dyDescent="0.2">
      <c r="A118" s="3" t="s">
        <v>99</v>
      </c>
      <c r="B118" s="10">
        <v>188</v>
      </c>
      <c r="C118" s="5">
        <v>1</v>
      </c>
      <c r="D118" s="5">
        <v>0</v>
      </c>
      <c r="E118" s="5">
        <v>0</v>
      </c>
      <c r="F118" s="10"/>
      <c r="G118" s="10" t="s">
        <v>80</v>
      </c>
      <c r="H118" s="7" t="str">
        <f t="shared" si="0"/>
        <v>No</v>
      </c>
      <c r="I118" s="54" t="s">
        <v>55</v>
      </c>
      <c r="J118" s="8">
        <v>0</v>
      </c>
      <c r="K118" s="8"/>
      <c r="L118" s="8"/>
      <c r="M118" s="8"/>
      <c r="N118" s="8"/>
      <c r="O118" s="8"/>
      <c r="P118" s="8"/>
      <c r="Q118" s="8"/>
      <c r="R118" s="6"/>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v>0</v>
      </c>
      <c r="BT118" s="8"/>
      <c r="BU118" s="2">
        <f t="shared" si="2"/>
        <v>0</v>
      </c>
      <c r="BV118" s="2">
        <f t="shared" si="3"/>
        <v>0</v>
      </c>
      <c r="BW118" s="2">
        <f t="shared" si="4"/>
        <v>0</v>
      </c>
      <c r="BX118" s="2">
        <f t="shared" si="5"/>
        <v>0</v>
      </c>
      <c r="BY118" s="2">
        <f t="shared" si="6"/>
        <v>0</v>
      </c>
      <c r="BZ118" s="2">
        <f t="shared" ref="BZ118:CA118" si="170">SUM(AQ118)</f>
        <v>0</v>
      </c>
      <c r="CA118" s="2">
        <f t="shared" si="170"/>
        <v>0</v>
      </c>
      <c r="CB118" s="2">
        <f t="shared" si="8"/>
        <v>0</v>
      </c>
    </row>
    <row r="119" spans="1:80" ht="16" x14ac:dyDescent="0.2">
      <c r="A119" s="3" t="s">
        <v>99</v>
      </c>
      <c r="B119" s="10">
        <v>188</v>
      </c>
      <c r="C119" s="5">
        <v>1</v>
      </c>
      <c r="D119" s="5">
        <v>0</v>
      </c>
      <c r="E119" s="5">
        <v>0</v>
      </c>
      <c r="F119" s="10"/>
      <c r="G119" s="10">
        <v>2022</v>
      </c>
      <c r="H119" s="7" t="str">
        <f t="shared" ref="H119:H120" si="171">IF($I119="1", "Yes", "No")</f>
        <v>No</v>
      </c>
      <c r="I119" s="54" t="s">
        <v>55</v>
      </c>
      <c r="J119" s="8">
        <v>0</v>
      </c>
      <c r="K119" s="8"/>
      <c r="L119" s="8"/>
      <c r="M119" s="8"/>
      <c r="N119" s="8"/>
      <c r="O119" s="8"/>
      <c r="P119" s="8"/>
      <c r="Q119" s="8"/>
      <c r="R119" s="6"/>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v>0</v>
      </c>
      <c r="BT119" s="8"/>
      <c r="BU119" s="2">
        <f t="shared" ref="BU119:BU120" si="172">SUM(AI119,BK119)</f>
        <v>0</v>
      </c>
      <c r="BV119" s="2">
        <f t="shared" ref="BV119:BV120" si="173">SUM(AK119, AL119, AM119,AJ119,BL119,BO119, AP119)</f>
        <v>0</v>
      </c>
      <c r="BW119" s="2">
        <f t="shared" ref="BW119:BW120" si="174">SUM(AN119, AO119, AS119)</f>
        <v>0</v>
      </c>
      <c r="BX119" s="2">
        <f t="shared" ref="BX119:BX120" si="175">SUM(AU119,AV119,AW119,AX119,AY119,AZ119,BA119,BB119,BC119,BD119,BE119,BF119,BG119,BH119,BI119,BJ119,BQ119,BR119,BM119)</f>
        <v>0</v>
      </c>
      <c r="BY119" s="2">
        <f t="shared" ref="BY119:BY120" si="176">SUM(BP119, BN119)</f>
        <v>0</v>
      </c>
      <c r="BZ119" s="2">
        <f t="shared" ref="BZ119:BZ120" si="177">SUM(AQ119)</f>
        <v>0</v>
      </c>
      <c r="CA119" s="2">
        <f t="shared" ref="CA119:CA120" si="178">SUM(AR119)</f>
        <v>0</v>
      </c>
      <c r="CB119" s="2">
        <f t="shared" ref="CB119:CB120" si="179">SUM(AT119)</f>
        <v>0</v>
      </c>
    </row>
    <row r="120" spans="1:80" ht="16" x14ac:dyDescent="0.2">
      <c r="A120" s="3" t="s">
        <v>99</v>
      </c>
      <c r="B120" s="10">
        <v>188</v>
      </c>
      <c r="C120" s="5">
        <v>1</v>
      </c>
      <c r="D120" s="5">
        <v>0</v>
      </c>
      <c r="E120" s="5">
        <v>0</v>
      </c>
      <c r="F120" s="10"/>
      <c r="G120" s="10">
        <v>2023</v>
      </c>
      <c r="H120" s="7" t="str">
        <f t="shared" si="171"/>
        <v>No</v>
      </c>
      <c r="I120" s="54" t="s">
        <v>55</v>
      </c>
      <c r="J120" s="8">
        <v>0</v>
      </c>
      <c r="K120" s="8"/>
      <c r="L120" s="8"/>
      <c r="M120" s="8"/>
      <c r="N120" s="8"/>
      <c r="O120" s="8"/>
      <c r="P120" s="8"/>
      <c r="Q120" s="8"/>
      <c r="R120" s="6"/>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v>0</v>
      </c>
      <c r="BT120" s="8"/>
      <c r="BU120" s="2">
        <f t="shared" si="172"/>
        <v>0</v>
      </c>
      <c r="BV120" s="2">
        <f t="shared" si="173"/>
        <v>0</v>
      </c>
      <c r="BW120" s="2">
        <f t="shared" si="174"/>
        <v>0</v>
      </c>
      <c r="BX120" s="2">
        <f t="shared" si="175"/>
        <v>0</v>
      </c>
      <c r="BY120" s="2">
        <f t="shared" si="176"/>
        <v>0</v>
      </c>
      <c r="BZ120" s="2">
        <f t="shared" si="177"/>
        <v>0</v>
      </c>
      <c r="CA120" s="2">
        <f t="shared" si="178"/>
        <v>0</v>
      </c>
      <c r="CB120" s="2">
        <f t="shared" si="179"/>
        <v>0</v>
      </c>
    </row>
    <row r="121" spans="1:80" ht="16" x14ac:dyDescent="0.2">
      <c r="A121" s="3" t="s">
        <v>100</v>
      </c>
      <c r="B121" s="10">
        <v>203</v>
      </c>
      <c r="C121" s="5">
        <v>1</v>
      </c>
      <c r="D121" s="10">
        <v>1</v>
      </c>
      <c r="E121" s="5">
        <v>0</v>
      </c>
      <c r="F121" s="10">
        <v>2021</v>
      </c>
      <c r="G121" s="10" t="s">
        <v>86</v>
      </c>
      <c r="H121" s="7" t="str">
        <f t="shared" si="0"/>
        <v>No</v>
      </c>
      <c r="I121" s="54" t="s">
        <v>55</v>
      </c>
      <c r="J121" s="8">
        <v>0</v>
      </c>
      <c r="K121" s="8"/>
      <c r="L121" s="8"/>
      <c r="M121" s="8"/>
      <c r="N121" s="8"/>
      <c r="O121" s="8"/>
      <c r="P121" s="8"/>
      <c r="Q121" s="8"/>
      <c r="R121" s="6"/>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v>0</v>
      </c>
      <c r="BT121" s="8"/>
      <c r="BU121" s="2">
        <f t="shared" si="2"/>
        <v>0</v>
      </c>
      <c r="BV121" s="2">
        <f t="shared" si="3"/>
        <v>0</v>
      </c>
      <c r="BW121" s="2">
        <f t="shared" si="4"/>
        <v>0</v>
      </c>
      <c r="BX121" s="2">
        <f t="shared" si="5"/>
        <v>0</v>
      </c>
      <c r="BY121" s="2">
        <f t="shared" si="6"/>
        <v>0</v>
      </c>
      <c r="BZ121" s="2">
        <f t="shared" ref="BZ121:CA121" si="180">SUM(AQ121)</f>
        <v>0</v>
      </c>
      <c r="CA121" s="2">
        <f t="shared" si="180"/>
        <v>0</v>
      </c>
      <c r="CB121" s="2">
        <f t="shared" si="8"/>
        <v>0</v>
      </c>
    </row>
    <row r="122" spans="1:80" ht="16" x14ac:dyDescent="0.2">
      <c r="A122" s="3" t="s">
        <v>100</v>
      </c>
      <c r="B122" s="10">
        <v>203</v>
      </c>
      <c r="C122" s="5">
        <v>1</v>
      </c>
      <c r="D122" s="10">
        <v>1</v>
      </c>
      <c r="E122" s="5">
        <v>0</v>
      </c>
      <c r="F122" s="10">
        <v>2021</v>
      </c>
      <c r="G122" s="10" t="s">
        <v>90</v>
      </c>
      <c r="H122" s="7" t="str">
        <f t="shared" si="0"/>
        <v>No</v>
      </c>
      <c r="I122" s="54" t="s">
        <v>55</v>
      </c>
      <c r="J122" s="8">
        <v>0</v>
      </c>
      <c r="K122" s="8"/>
      <c r="L122" s="8"/>
      <c r="M122" s="8"/>
      <c r="N122" s="8"/>
      <c r="O122" s="8"/>
      <c r="P122" s="8"/>
      <c r="Q122" s="8"/>
      <c r="R122" s="6"/>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v>0</v>
      </c>
      <c r="BT122" s="8"/>
      <c r="BU122" s="2">
        <f t="shared" si="2"/>
        <v>0</v>
      </c>
      <c r="BV122" s="2">
        <f t="shared" si="3"/>
        <v>0</v>
      </c>
      <c r="BW122" s="2">
        <f t="shared" si="4"/>
        <v>0</v>
      </c>
      <c r="BX122" s="2">
        <f t="shared" si="5"/>
        <v>0</v>
      </c>
      <c r="BY122" s="2">
        <f t="shared" si="6"/>
        <v>0</v>
      </c>
      <c r="BZ122" s="2">
        <f t="shared" ref="BZ122:CA122" si="181">SUM(AQ122)</f>
        <v>0</v>
      </c>
      <c r="CA122" s="2">
        <f t="shared" si="181"/>
        <v>0</v>
      </c>
      <c r="CB122" s="2">
        <f t="shared" si="8"/>
        <v>0</v>
      </c>
    </row>
    <row r="123" spans="1:80" ht="16" x14ac:dyDescent="0.2">
      <c r="A123" s="3" t="s">
        <v>100</v>
      </c>
      <c r="B123" s="10">
        <v>203</v>
      </c>
      <c r="C123" s="5">
        <v>1</v>
      </c>
      <c r="D123" s="10">
        <v>1</v>
      </c>
      <c r="E123" s="5">
        <v>0</v>
      </c>
      <c r="F123" s="10">
        <v>2021</v>
      </c>
      <c r="G123" s="10" t="s">
        <v>91</v>
      </c>
      <c r="H123" s="7" t="str">
        <f t="shared" si="0"/>
        <v>No</v>
      </c>
      <c r="I123" s="54" t="s">
        <v>55</v>
      </c>
      <c r="J123" s="8">
        <v>0</v>
      </c>
      <c r="K123" s="8"/>
      <c r="L123" s="8"/>
      <c r="M123" s="8"/>
      <c r="N123" s="8"/>
      <c r="O123" s="8"/>
      <c r="P123" s="8"/>
      <c r="Q123" s="8"/>
      <c r="R123" s="6"/>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v>0</v>
      </c>
      <c r="BT123" s="8"/>
      <c r="BU123" s="2">
        <f t="shared" si="2"/>
        <v>0</v>
      </c>
      <c r="BV123" s="2">
        <f t="shared" si="3"/>
        <v>0</v>
      </c>
      <c r="BW123" s="2">
        <f t="shared" si="4"/>
        <v>0</v>
      </c>
      <c r="BX123" s="2">
        <f t="shared" si="5"/>
        <v>0</v>
      </c>
      <c r="BY123" s="2">
        <f t="shared" si="6"/>
        <v>0</v>
      </c>
      <c r="BZ123" s="2">
        <f t="shared" ref="BZ123:CA123" si="182">SUM(AQ123)</f>
        <v>0</v>
      </c>
      <c r="CA123" s="2">
        <f t="shared" si="182"/>
        <v>0</v>
      </c>
      <c r="CB123" s="2">
        <f t="shared" si="8"/>
        <v>0</v>
      </c>
    </row>
    <row r="124" spans="1:80" ht="16" x14ac:dyDescent="0.2">
      <c r="A124" s="3" t="s">
        <v>100</v>
      </c>
      <c r="B124" s="10">
        <v>203</v>
      </c>
      <c r="C124" s="5">
        <v>1</v>
      </c>
      <c r="D124" s="10">
        <v>1</v>
      </c>
      <c r="E124" s="5">
        <v>0</v>
      </c>
      <c r="F124" s="10">
        <v>2021</v>
      </c>
      <c r="G124" s="10" t="s">
        <v>93</v>
      </c>
      <c r="H124" s="7" t="str">
        <f t="shared" si="0"/>
        <v>No</v>
      </c>
      <c r="I124" s="54" t="s">
        <v>55</v>
      </c>
      <c r="J124" s="8">
        <v>0</v>
      </c>
      <c r="K124" s="8"/>
      <c r="L124" s="8"/>
      <c r="M124" s="8"/>
      <c r="N124" s="8"/>
      <c r="O124" s="8"/>
      <c r="P124" s="8"/>
      <c r="Q124" s="8"/>
      <c r="R124" s="6"/>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v>0</v>
      </c>
      <c r="BT124" s="8"/>
      <c r="BU124" s="2">
        <f t="shared" si="2"/>
        <v>0</v>
      </c>
      <c r="BV124" s="2">
        <f t="shared" si="3"/>
        <v>0</v>
      </c>
      <c r="BW124" s="2">
        <f t="shared" si="4"/>
        <v>0</v>
      </c>
      <c r="BX124" s="2">
        <f t="shared" si="5"/>
        <v>0</v>
      </c>
      <c r="BY124" s="2">
        <f t="shared" si="6"/>
        <v>0</v>
      </c>
      <c r="BZ124" s="2">
        <f t="shared" ref="BZ124:CA124" si="183">SUM(AQ124)</f>
        <v>0</v>
      </c>
      <c r="CA124" s="2">
        <f t="shared" si="183"/>
        <v>0</v>
      </c>
      <c r="CB124" s="2">
        <f t="shared" si="8"/>
        <v>0</v>
      </c>
    </row>
    <row r="125" spans="1:80" ht="16" x14ac:dyDescent="0.2">
      <c r="A125" s="3" t="s">
        <v>100</v>
      </c>
      <c r="B125" s="10">
        <v>203</v>
      </c>
      <c r="C125" s="5">
        <v>1</v>
      </c>
      <c r="D125" s="10">
        <v>1</v>
      </c>
      <c r="E125" s="5">
        <v>0</v>
      </c>
      <c r="F125" s="10">
        <v>2021</v>
      </c>
      <c r="G125" s="10" t="s">
        <v>70</v>
      </c>
      <c r="H125" s="7" t="str">
        <f t="shared" si="0"/>
        <v>No</v>
      </c>
      <c r="I125" s="54" t="s">
        <v>55</v>
      </c>
      <c r="J125" s="8">
        <v>0</v>
      </c>
      <c r="K125" s="8"/>
      <c r="L125" s="8"/>
      <c r="M125" s="8"/>
      <c r="N125" s="8"/>
      <c r="O125" s="8"/>
      <c r="P125" s="8"/>
      <c r="Q125" s="8"/>
      <c r="R125" s="6"/>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v>0</v>
      </c>
      <c r="BT125" s="8"/>
      <c r="BU125" s="2">
        <f t="shared" si="2"/>
        <v>0</v>
      </c>
      <c r="BV125" s="2">
        <f t="shared" si="3"/>
        <v>0</v>
      </c>
      <c r="BW125" s="2">
        <f t="shared" si="4"/>
        <v>0</v>
      </c>
      <c r="BX125" s="2">
        <f t="shared" si="5"/>
        <v>0</v>
      </c>
      <c r="BY125" s="2">
        <f t="shared" si="6"/>
        <v>0</v>
      </c>
      <c r="BZ125" s="2">
        <f t="shared" ref="BZ125:CA125" si="184">SUM(AQ125)</f>
        <v>0</v>
      </c>
      <c r="CA125" s="2">
        <f t="shared" si="184"/>
        <v>0</v>
      </c>
      <c r="CB125" s="2">
        <f t="shared" si="8"/>
        <v>0</v>
      </c>
    </row>
    <row r="126" spans="1:80" ht="16" x14ac:dyDescent="0.2">
      <c r="A126" s="3" t="s">
        <v>100</v>
      </c>
      <c r="B126" s="10">
        <v>203</v>
      </c>
      <c r="C126" s="5">
        <v>1</v>
      </c>
      <c r="D126" s="10">
        <v>1</v>
      </c>
      <c r="E126" s="5">
        <v>0</v>
      </c>
      <c r="F126" s="10">
        <v>2021</v>
      </c>
      <c r="G126" s="10" t="s">
        <v>71</v>
      </c>
      <c r="H126" s="7" t="str">
        <f t="shared" si="0"/>
        <v>No</v>
      </c>
      <c r="I126" s="54" t="s">
        <v>55</v>
      </c>
      <c r="J126" s="8">
        <v>0</v>
      </c>
      <c r="K126" s="8"/>
      <c r="L126" s="8"/>
      <c r="M126" s="8"/>
      <c r="N126" s="8"/>
      <c r="O126" s="8"/>
      <c r="P126" s="8"/>
      <c r="Q126" s="8"/>
      <c r="R126" s="6"/>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v>0</v>
      </c>
      <c r="BT126" s="8"/>
      <c r="BU126" s="2">
        <f t="shared" si="2"/>
        <v>0</v>
      </c>
      <c r="BV126" s="2">
        <f t="shared" si="3"/>
        <v>0</v>
      </c>
      <c r="BW126" s="2">
        <f t="shared" si="4"/>
        <v>0</v>
      </c>
      <c r="BX126" s="2">
        <f t="shared" si="5"/>
        <v>0</v>
      </c>
      <c r="BY126" s="2">
        <f t="shared" si="6"/>
        <v>0</v>
      </c>
      <c r="BZ126" s="2">
        <f t="shared" ref="BZ126:CA126" si="185">SUM(AQ126)</f>
        <v>0</v>
      </c>
      <c r="CA126" s="2">
        <f t="shared" si="185"/>
        <v>0</v>
      </c>
      <c r="CB126" s="2">
        <f t="shared" si="8"/>
        <v>0</v>
      </c>
    </row>
    <row r="127" spans="1:80" ht="16" x14ac:dyDescent="0.2">
      <c r="A127" s="3" t="s">
        <v>100</v>
      </c>
      <c r="B127" s="10">
        <v>203</v>
      </c>
      <c r="C127" s="5">
        <v>1</v>
      </c>
      <c r="D127" s="10">
        <v>1</v>
      </c>
      <c r="E127" s="5">
        <v>0</v>
      </c>
      <c r="F127" s="10">
        <v>2021</v>
      </c>
      <c r="G127" s="10" t="s">
        <v>72</v>
      </c>
      <c r="H127" s="7" t="str">
        <f t="shared" si="0"/>
        <v>No</v>
      </c>
      <c r="I127" s="54" t="s">
        <v>55</v>
      </c>
      <c r="J127" s="8">
        <v>0</v>
      </c>
      <c r="K127" s="8"/>
      <c r="L127" s="8"/>
      <c r="M127" s="8"/>
      <c r="N127" s="8"/>
      <c r="O127" s="8"/>
      <c r="P127" s="8"/>
      <c r="Q127" s="8"/>
      <c r="R127" s="6"/>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v>0</v>
      </c>
      <c r="BT127" s="8"/>
      <c r="BU127" s="2">
        <f t="shared" si="2"/>
        <v>0</v>
      </c>
      <c r="BV127" s="2">
        <f t="shared" si="3"/>
        <v>0</v>
      </c>
      <c r="BW127" s="2">
        <f t="shared" si="4"/>
        <v>0</v>
      </c>
      <c r="BX127" s="2">
        <f t="shared" si="5"/>
        <v>0</v>
      </c>
      <c r="BY127" s="2">
        <f t="shared" si="6"/>
        <v>0</v>
      </c>
      <c r="BZ127" s="2">
        <f t="shared" ref="BZ127:CA127" si="186">SUM(AQ127)</f>
        <v>0</v>
      </c>
      <c r="CA127" s="2">
        <f t="shared" si="186"/>
        <v>0</v>
      </c>
      <c r="CB127" s="2">
        <f t="shared" si="8"/>
        <v>0</v>
      </c>
    </row>
    <row r="128" spans="1:80" ht="16" x14ac:dyDescent="0.2">
      <c r="A128" s="3" t="s">
        <v>100</v>
      </c>
      <c r="B128" s="10">
        <v>203</v>
      </c>
      <c r="C128" s="5">
        <v>1</v>
      </c>
      <c r="D128" s="10">
        <v>1</v>
      </c>
      <c r="E128" s="5">
        <v>0</v>
      </c>
      <c r="F128" s="10">
        <v>2021</v>
      </c>
      <c r="G128" s="10" t="s">
        <v>73</v>
      </c>
      <c r="H128" s="7" t="str">
        <f t="shared" si="0"/>
        <v>No</v>
      </c>
      <c r="I128" s="54" t="s">
        <v>55</v>
      </c>
      <c r="J128" s="8">
        <v>0</v>
      </c>
      <c r="K128" s="8"/>
      <c r="L128" s="8"/>
      <c r="M128" s="8"/>
      <c r="N128" s="8"/>
      <c r="O128" s="8"/>
      <c r="P128" s="8"/>
      <c r="Q128" s="8"/>
      <c r="R128" s="6"/>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v>0</v>
      </c>
      <c r="BT128" s="8"/>
      <c r="BU128" s="2">
        <f t="shared" si="2"/>
        <v>0</v>
      </c>
      <c r="BV128" s="2">
        <f t="shared" si="3"/>
        <v>0</v>
      </c>
      <c r="BW128" s="2">
        <f t="shared" si="4"/>
        <v>0</v>
      </c>
      <c r="BX128" s="2">
        <f t="shared" si="5"/>
        <v>0</v>
      </c>
      <c r="BY128" s="2">
        <f t="shared" si="6"/>
        <v>0</v>
      </c>
      <c r="BZ128" s="2">
        <f t="shared" ref="BZ128:CA128" si="187">SUM(AQ128)</f>
        <v>0</v>
      </c>
      <c r="CA128" s="2">
        <f t="shared" si="187"/>
        <v>0</v>
      </c>
      <c r="CB128" s="2">
        <f t="shared" si="8"/>
        <v>0</v>
      </c>
    </row>
    <row r="129" spans="1:80" ht="16" x14ac:dyDescent="0.2">
      <c r="A129" s="3" t="s">
        <v>100</v>
      </c>
      <c r="B129" s="10">
        <v>203</v>
      </c>
      <c r="C129" s="5">
        <v>1</v>
      </c>
      <c r="D129" s="10">
        <v>1</v>
      </c>
      <c r="E129" s="5">
        <v>0</v>
      </c>
      <c r="F129" s="10">
        <v>2021</v>
      </c>
      <c r="G129" s="10" t="s">
        <v>74</v>
      </c>
      <c r="H129" s="7" t="str">
        <f t="shared" si="0"/>
        <v>No</v>
      </c>
      <c r="I129" s="54" t="s">
        <v>55</v>
      </c>
      <c r="J129" s="8">
        <v>0</v>
      </c>
      <c r="K129" s="8"/>
      <c r="L129" s="8"/>
      <c r="M129" s="8"/>
      <c r="N129" s="8"/>
      <c r="O129" s="8"/>
      <c r="P129" s="8"/>
      <c r="Q129" s="8"/>
      <c r="R129" s="6"/>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v>0</v>
      </c>
      <c r="BT129" s="8"/>
      <c r="BU129" s="2">
        <f t="shared" si="2"/>
        <v>0</v>
      </c>
      <c r="BV129" s="2">
        <f t="shared" si="3"/>
        <v>0</v>
      </c>
      <c r="BW129" s="2">
        <f t="shared" si="4"/>
        <v>0</v>
      </c>
      <c r="BX129" s="2">
        <f t="shared" si="5"/>
        <v>0</v>
      </c>
      <c r="BY129" s="2">
        <f t="shared" si="6"/>
        <v>0</v>
      </c>
      <c r="BZ129" s="2">
        <f t="shared" ref="BZ129:CA129" si="188">SUM(AQ129)</f>
        <v>0</v>
      </c>
      <c r="CA129" s="2">
        <f t="shared" si="188"/>
        <v>0</v>
      </c>
      <c r="CB129" s="2">
        <f t="shared" si="8"/>
        <v>0</v>
      </c>
    </row>
    <row r="130" spans="1:80" ht="16" x14ac:dyDescent="0.2">
      <c r="A130" s="3" t="s">
        <v>100</v>
      </c>
      <c r="B130" s="10">
        <v>203</v>
      </c>
      <c r="C130" s="5">
        <v>1</v>
      </c>
      <c r="D130" s="10">
        <v>1</v>
      </c>
      <c r="E130" s="5">
        <v>0</v>
      </c>
      <c r="F130" s="10">
        <v>2021</v>
      </c>
      <c r="G130" s="10" t="s">
        <v>75</v>
      </c>
      <c r="H130" s="7" t="str">
        <f t="shared" si="0"/>
        <v>No</v>
      </c>
      <c r="I130" s="54" t="s">
        <v>55</v>
      </c>
      <c r="J130" s="8">
        <v>0</v>
      </c>
      <c r="K130" s="8"/>
      <c r="L130" s="8"/>
      <c r="M130" s="8"/>
      <c r="N130" s="8"/>
      <c r="O130" s="8"/>
      <c r="P130" s="8"/>
      <c r="Q130" s="8"/>
      <c r="R130" s="6"/>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v>0</v>
      </c>
      <c r="BT130" s="8"/>
      <c r="BU130" s="2">
        <f t="shared" si="2"/>
        <v>0</v>
      </c>
      <c r="BV130" s="2">
        <f t="shared" si="3"/>
        <v>0</v>
      </c>
      <c r="BW130" s="2">
        <f t="shared" si="4"/>
        <v>0</v>
      </c>
      <c r="BX130" s="2">
        <f t="shared" si="5"/>
        <v>0</v>
      </c>
      <c r="BY130" s="2">
        <f t="shared" si="6"/>
        <v>0</v>
      </c>
      <c r="BZ130" s="2">
        <f t="shared" ref="BZ130:CA130" si="189">SUM(AQ130)</f>
        <v>0</v>
      </c>
      <c r="CA130" s="2">
        <f t="shared" si="189"/>
        <v>0</v>
      </c>
      <c r="CB130" s="2">
        <f t="shared" si="8"/>
        <v>0</v>
      </c>
    </row>
    <row r="131" spans="1:80" ht="16" x14ac:dyDescent="0.2">
      <c r="A131" s="3" t="s">
        <v>100</v>
      </c>
      <c r="B131" s="10">
        <v>203</v>
      </c>
      <c r="C131" s="5">
        <v>1</v>
      </c>
      <c r="D131" s="10">
        <v>1</v>
      </c>
      <c r="E131" s="5">
        <v>0</v>
      </c>
      <c r="F131" s="10">
        <v>2021</v>
      </c>
      <c r="G131" s="10" t="s">
        <v>76</v>
      </c>
      <c r="H131" s="7" t="str">
        <f t="shared" si="0"/>
        <v>No</v>
      </c>
      <c r="I131" s="54" t="s">
        <v>55</v>
      </c>
      <c r="J131" s="8">
        <v>0</v>
      </c>
      <c r="K131" s="8"/>
      <c r="L131" s="8"/>
      <c r="M131" s="8"/>
      <c r="N131" s="8"/>
      <c r="O131" s="8"/>
      <c r="P131" s="8"/>
      <c r="Q131" s="8"/>
      <c r="R131" s="6"/>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v>0</v>
      </c>
      <c r="BT131" s="8"/>
      <c r="BU131" s="2">
        <f t="shared" si="2"/>
        <v>0</v>
      </c>
      <c r="BV131" s="2">
        <f t="shared" si="3"/>
        <v>0</v>
      </c>
      <c r="BW131" s="2">
        <f t="shared" si="4"/>
        <v>0</v>
      </c>
      <c r="BX131" s="2">
        <f t="shared" si="5"/>
        <v>0</v>
      </c>
      <c r="BY131" s="2">
        <f t="shared" si="6"/>
        <v>0</v>
      </c>
      <c r="BZ131" s="2">
        <f t="shared" ref="BZ131:CA131" si="190">SUM(AQ131)</f>
        <v>0</v>
      </c>
      <c r="CA131" s="2">
        <f t="shared" si="190"/>
        <v>0</v>
      </c>
      <c r="CB131" s="2">
        <f t="shared" si="8"/>
        <v>0</v>
      </c>
    </row>
    <row r="132" spans="1:80" ht="16" x14ac:dyDescent="0.2">
      <c r="A132" s="3" t="s">
        <v>100</v>
      </c>
      <c r="B132" s="10">
        <v>203</v>
      </c>
      <c r="C132" s="5">
        <v>1</v>
      </c>
      <c r="D132" s="10">
        <v>1</v>
      </c>
      <c r="E132" s="5">
        <v>0</v>
      </c>
      <c r="F132" s="10">
        <v>2021</v>
      </c>
      <c r="G132" s="10" t="s">
        <v>77</v>
      </c>
      <c r="H132" s="7" t="str">
        <f t="shared" si="0"/>
        <v>No</v>
      </c>
      <c r="I132" s="54" t="s">
        <v>55</v>
      </c>
      <c r="J132" s="8">
        <v>0</v>
      </c>
      <c r="K132" s="8"/>
      <c r="L132" s="8"/>
      <c r="M132" s="8"/>
      <c r="N132" s="8"/>
      <c r="O132" s="8"/>
      <c r="P132" s="8"/>
      <c r="Q132" s="8"/>
      <c r="R132" s="6"/>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v>0</v>
      </c>
      <c r="BT132" s="8"/>
      <c r="BU132" s="2">
        <f t="shared" si="2"/>
        <v>0</v>
      </c>
      <c r="BV132" s="2">
        <f t="shared" si="3"/>
        <v>0</v>
      </c>
      <c r="BW132" s="2">
        <f t="shared" si="4"/>
        <v>0</v>
      </c>
      <c r="BX132" s="2">
        <f t="shared" si="5"/>
        <v>0</v>
      </c>
      <c r="BY132" s="2">
        <f t="shared" si="6"/>
        <v>0</v>
      </c>
      <c r="BZ132" s="2">
        <f t="shared" ref="BZ132:CA132" si="191">SUM(AQ132)</f>
        <v>0</v>
      </c>
      <c r="CA132" s="2">
        <f t="shared" si="191"/>
        <v>0</v>
      </c>
      <c r="CB132" s="2">
        <f t="shared" si="8"/>
        <v>0</v>
      </c>
    </row>
    <row r="133" spans="1:80" ht="16" x14ac:dyDescent="0.2">
      <c r="A133" s="3" t="s">
        <v>100</v>
      </c>
      <c r="B133" s="10">
        <v>203</v>
      </c>
      <c r="C133" s="5">
        <v>1</v>
      </c>
      <c r="D133" s="10">
        <v>1</v>
      </c>
      <c r="E133" s="5">
        <v>0</v>
      </c>
      <c r="F133" s="10">
        <v>2021</v>
      </c>
      <c r="G133" s="10" t="s">
        <v>78</v>
      </c>
      <c r="H133" s="7" t="str">
        <f t="shared" si="0"/>
        <v>No</v>
      </c>
      <c r="I133" s="54" t="s">
        <v>55</v>
      </c>
      <c r="J133" s="8">
        <v>0</v>
      </c>
      <c r="K133" s="8"/>
      <c r="L133" s="8"/>
      <c r="M133" s="8"/>
      <c r="N133" s="8"/>
      <c r="O133" s="8"/>
      <c r="P133" s="8"/>
      <c r="Q133" s="8"/>
      <c r="R133" s="6"/>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v>0</v>
      </c>
      <c r="BT133" s="8"/>
      <c r="BU133" s="2">
        <f t="shared" si="2"/>
        <v>0</v>
      </c>
      <c r="BV133" s="2">
        <f t="shared" si="3"/>
        <v>0</v>
      </c>
      <c r="BW133" s="2">
        <f t="shared" si="4"/>
        <v>0</v>
      </c>
      <c r="BX133" s="2">
        <f t="shared" si="5"/>
        <v>0</v>
      </c>
      <c r="BY133" s="2">
        <f t="shared" si="6"/>
        <v>0</v>
      </c>
      <c r="BZ133" s="2">
        <f t="shared" ref="BZ133:CA133" si="192">SUM(AQ133)</f>
        <v>0</v>
      </c>
      <c r="CA133" s="2">
        <f t="shared" si="192"/>
        <v>0</v>
      </c>
      <c r="CB133" s="2">
        <f t="shared" si="8"/>
        <v>0</v>
      </c>
    </row>
    <row r="134" spans="1:80" ht="15" customHeight="1" x14ac:dyDescent="0.2">
      <c r="A134" s="3" t="s">
        <v>100</v>
      </c>
      <c r="B134" s="10">
        <v>203</v>
      </c>
      <c r="C134" s="5">
        <v>1</v>
      </c>
      <c r="D134" s="10">
        <v>1</v>
      </c>
      <c r="E134" s="5">
        <v>0</v>
      </c>
      <c r="F134" s="10">
        <v>2021</v>
      </c>
      <c r="G134" s="10" t="s">
        <v>79</v>
      </c>
      <c r="H134" s="7" t="str">
        <f t="shared" si="0"/>
        <v>No</v>
      </c>
      <c r="I134" s="54" t="s">
        <v>55</v>
      </c>
      <c r="J134" s="8">
        <v>0</v>
      </c>
      <c r="K134" s="8"/>
      <c r="L134" s="8"/>
      <c r="M134" s="8"/>
      <c r="N134" s="8"/>
      <c r="O134" s="8"/>
      <c r="P134" s="8"/>
      <c r="Q134" s="8"/>
      <c r="R134" s="6"/>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v>0</v>
      </c>
      <c r="BT134" s="8"/>
      <c r="BU134" s="2">
        <f t="shared" si="2"/>
        <v>0</v>
      </c>
      <c r="BV134" s="2">
        <f t="shared" si="3"/>
        <v>0</v>
      </c>
      <c r="BW134" s="2">
        <f t="shared" si="4"/>
        <v>0</v>
      </c>
      <c r="BX134" s="2">
        <f t="shared" si="5"/>
        <v>0</v>
      </c>
      <c r="BY134" s="2">
        <f t="shared" si="6"/>
        <v>0</v>
      </c>
      <c r="BZ134" s="2">
        <f t="shared" ref="BZ134:CA134" si="193">SUM(AQ134)</f>
        <v>0</v>
      </c>
      <c r="CA134" s="2">
        <f t="shared" si="193"/>
        <v>0</v>
      </c>
      <c r="CB134" s="2">
        <f t="shared" si="8"/>
        <v>0</v>
      </c>
    </row>
    <row r="135" spans="1:80" ht="15" customHeight="1" x14ac:dyDescent="0.2">
      <c r="A135" s="3" t="s">
        <v>100</v>
      </c>
      <c r="B135" s="10">
        <v>203</v>
      </c>
      <c r="C135" s="5">
        <v>1</v>
      </c>
      <c r="D135" s="10">
        <v>1</v>
      </c>
      <c r="E135" s="5">
        <v>0</v>
      </c>
      <c r="F135" s="10">
        <v>2021</v>
      </c>
      <c r="G135" s="10" t="s">
        <v>80</v>
      </c>
      <c r="H135" s="7" t="str">
        <f t="shared" si="0"/>
        <v>Yes</v>
      </c>
      <c r="I135" s="54" t="s">
        <v>56</v>
      </c>
      <c r="J135" s="8">
        <v>1</v>
      </c>
      <c r="K135" s="8" t="s">
        <v>51</v>
      </c>
      <c r="L135" s="8" t="s">
        <v>52</v>
      </c>
      <c r="M135" s="8" t="s">
        <v>52</v>
      </c>
      <c r="N135" s="8">
        <v>1</v>
      </c>
      <c r="O135" s="8">
        <v>0</v>
      </c>
      <c r="P135" s="8">
        <v>0</v>
      </c>
      <c r="Q135" s="8" t="s">
        <v>101</v>
      </c>
      <c r="R135" s="9">
        <v>0.1</v>
      </c>
      <c r="S135" s="8">
        <v>0</v>
      </c>
      <c r="T135" s="8">
        <v>0</v>
      </c>
      <c r="U135" s="8">
        <v>0</v>
      </c>
      <c r="V135" s="8">
        <v>1</v>
      </c>
      <c r="W135" s="8">
        <v>1</v>
      </c>
      <c r="X135" s="8">
        <v>0</v>
      </c>
      <c r="Y135" s="8">
        <v>0</v>
      </c>
      <c r="Z135" s="8">
        <v>0</v>
      </c>
      <c r="AA135" s="8" t="s">
        <v>102</v>
      </c>
      <c r="AB135" s="8">
        <v>0</v>
      </c>
      <c r="AC135" s="8">
        <v>0</v>
      </c>
      <c r="AD135" s="8">
        <v>0</v>
      </c>
      <c r="AE135" s="8">
        <v>0</v>
      </c>
      <c r="AF135" s="8">
        <v>1</v>
      </c>
      <c r="AG135" s="8">
        <v>0</v>
      </c>
      <c r="AH135" s="8">
        <v>0</v>
      </c>
      <c r="AI135" s="8">
        <v>1</v>
      </c>
      <c r="AJ135" s="8">
        <v>1</v>
      </c>
      <c r="AK135" s="8">
        <v>1</v>
      </c>
      <c r="AL135" s="8">
        <v>1</v>
      </c>
      <c r="AM135" s="8">
        <v>1</v>
      </c>
      <c r="AN135" s="8">
        <v>0</v>
      </c>
      <c r="AO135" s="8">
        <v>0</v>
      </c>
      <c r="AP135" s="8">
        <v>1</v>
      </c>
      <c r="AQ135" s="8">
        <v>0</v>
      </c>
      <c r="AR135" s="8">
        <v>1</v>
      </c>
      <c r="AS135" s="8">
        <v>0</v>
      </c>
      <c r="AT135" s="8">
        <v>0</v>
      </c>
      <c r="AU135" s="8">
        <v>1</v>
      </c>
      <c r="AV135" s="8">
        <v>0</v>
      </c>
      <c r="AW135" s="8">
        <v>0</v>
      </c>
      <c r="AX135" s="8">
        <v>0</v>
      </c>
      <c r="AY135" s="8">
        <v>0</v>
      </c>
      <c r="AZ135" s="8">
        <v>0</v>
      </c>
      <c r="BA135" s="8">
        <v>0</v>
      </c>
      <c r="BB135" s="8">
        <v>0</v>
      </c>
      <c r="BC135" s="8">
        <v>0</v>
      </c>
      <c r="BD135" s="8">
        <v>0</v>
      </c>
      <c r="BE135" s="8">
        <v>0</v>
      </c>
      <c r="BF135" s="8">
        <v>0</v>
      </c>
      <c r="BG135" s="8">
        <v>0</v>
      </c>
      <c r="BH135" s="8">
        <v>0</v>
      </c>
      <c r="BI135" s="8">
        <v>0</v>
      </c>
      <c r="BJ135" s="8">
        <v>1</v>
      </c>
      <c r="BK135" s="8">
        <v>1</v>
      </c>
      <c r="BL135" s="8">
        <v>0</v>
      </c>
      <c r="BM135" s="8">
        <v>0</v>
      </c>
      <c r="BN135" s="8">
        <v>0</v>
      </c>
      <c r="BO135" s="8">
        <v>0</v>
      </c>
      <c r="BP135" s="8">
        <v>0</v>
      </c>
      <c r="BQ135" s="8">
        <v>0</v>
      </c>
      <c r="BR135" s="8">
        <v>0</v>
      </c>
      <c r="BS135" s="8">
        <f t="shared" ref="BS135:BS154" si="194">SUM(AI135:BR135)</f>
        <v>10</v>
      </c>
      <c r="BT135" s="8"/>
      <c r="BU135" s="2">
        <f t="shared" si="2"/>
        <v>2</v>
      </c>
      <c r="BV135" s="2">
        <f t="shared" si="3"/>
        <v>5</v>
      </c>
      <c r="BW135" s="2">
        <f t="shared" si="4"/>
        <v>0</v>
      </c>
      <c r="BX135" s="2">
        <f t="shared" si="5"/>
        <v>2</v>
      </c>
      <c r="BY135" s="2">
        <f t="shared" si="6"/>
        <v>0</v>
      </c>
      <c r="BZ135" s="2">
        <f t="shared" ref="BZ135:CA135" si="195">SUM(AQ135)</f>
        <v>0</v>
      </c>
      <c r="CA135" s="2">
        <f t="shared" si="195"/>
        <v>1</v>
      </c>
      <c r="CB135" s="2">
        <f t="shared" si="8"/>
        <v>0</v>
      </c>
    </row>
    <row r="136" spans="1:80" ht="16" x14ac:dyDescent="0.2">
      <c r="A136" s="3" t="s">
        <v>100</v>
      </c>
      <c r="B136" s="10">
        <v>203</v>
      </c>
      <c r="C136" s="5">
        <v>1</v>
      </c>
      <c r="D136" s="10">
        <v>1</v>
      </c>
      <c r="E136" s="5">
        <v>0</v>
      </c>
      <c r="F136" s="10">
        <v>2021</v>
      </c>
      <c r="G136" s="10">
        <v>2022</v>
      </c>
      <c r="H136" s="7" t="str">
        <f t="shared" si="0"/>
        <v>No</v>
      </c>
      <c r="I136" s="54" t="s">
        <v>55</v>
      </c>
      <c r="J136" s="8">
        <v>1</v>
      </c>
      <c r="K136" s="8" t="s">
        <v>51</v>
      </c>
      <c r="L136" s="8" t="s">
        <v>52</v>
      </c>
      <c r="M136" s="8" t="s">
        <v>52</v>
      </c>
      <c r="N136" s="8">
        <v>1</v>
      </c>
      <c r="O136" s="8">
        <v>0</v>
      </c>
      <c r="P136" s="8">
        <v>0</v>
      </c>
      <c r="Q136" s="8" t="s">
        <v>101</v>
      </c>
      <c r="R136" s="9">
        <v>0.1</v>
      </c>
      <c r="S136" s="8">
        <v>0</v>
      </c>
      <c r="T136" s="8">
        <v>0</v>
      </c>
      <c r="U136" s="8">
        <v>0</v>
      </c>
      <c r="V136" s="8">
        <v>1</v>
      </c>
      <c r="W136" s="8">
        <v>1</v>
      </c>
      <c r="X136" s="8">
        <v>0</v>
      </c>
      <c r="Y136" s="8">
        <v>0</v>
      </c>
      <c r="Z136" s="8">
        <v>0</v>
      </c>
      <c r="AA136" s="8" t="s">
        <v>102</v>
      </c>
      <c r="AB136" s="8">
        <v>0</v>
      </c>
      <c r="AC136" s="8">
        <v>0</v>
      </c>
      <c r="AD136" s="8">
        <v>0</v>
      </c>
      <c r="AE136" s="8">
        <v>0</v>
      </c>
      <c r="AF136" s="8">
        <v>1</v>
      </c>
      <c r="AG136" s="8">
        <v>0</v>
      </c>
      <c r="AH136" s="8">
        <v>0</v>
      </c>
      <c r="AI136" s="8">
        <v>1</v>
      </c>
      <c r="AJ136" s="8">
        <v>1</v>
      </c>
      <c r="AK136" s="8">
        <v>1</v>
      </c>
      <c r="AL136" s="8">
        <v>1</v>
      </c>
      <c r="AM136" s="8">
        <v>1</v>
      </c>
      <c r="AN136" s="8">
        <v>0</v>
      </c>
      <c r="AO136" s="8">
        <v>0</v>
      </c>
      <c r="AP136" s="8">
        <v>1</v>
      </c>
      <c r="AQ136" s="8">
        <v>0</v>
      </c>
      <c r="AR136" s="8">
        <v>1</v>
      </c>
      <c r="AS136" s="8">
        <v>0</v>
      </c>
      <c r="AT136" s="8">
        <v>0</v>
      </c>
      <c r="AU136" s="8">
        <v>1</v>
      </c>
      <c r="AV136" s="8">
        <v>0</v>
      </c>
      <c r="AW136" s="8">
        <v>0</v>
      </c>
      <c r="AX136" s="8">
        <v>0</v>
      </c>
      <c r="AY136" s="8">
        <v>0</v>
      </c>
      <c r="AZ136" s="8">
        <v>0</v>
      </c>
      <c r="BA136" s="8">
        <v>0</v>
      </c>
      <c r="BB136" s="8">
        <v>0</v>
      </c>
      <c r="BC136" s="8">
        <v>0</v>
      </c>
      <c r="BD136" s="8">
        <v>0</v>
      </c>
      <c r="BE136" s="8">
        <v>0</v>
      </c>
      <c r="BF136" s="8">
        <v>0</v>
      </c>
      <c r="BG136" s="8">
        <v>0</v>
      </c>
      <c r="BH136" s="8">
        <v>0</v>
      </c>
      <c r="BI136" s="8">
        <v>0</v>
      </c>
      <c r="BJ136" s="8">
        <v>1</v>
      </c>
      <c r="BK136" s="8">
        <v>1</v>
      </c>
      <c r="BL136" s="8">
        <v>0</v>
      </c>
      <c r="BM136" s="8">
        <v>0</v>
      </c>
      <c r="BN136" s="8">
        <v>0</v>
      </c>
      <c r="BO136" s="8">
        <v>0</v>
      </c>
      <c r="BP136" s="8">
        <v>0</v>
      </c>
      <c r="BQ136" s="8">
        <v>0</v>
      </c>
      <c r="BR136" s="8">
        <v>0</v>
      </c>
      <c r="BS136" s="8">
        <f t="shared" si="194"/>
        <v>10</v>
      </c>
      <c r="BT136" s="8"/>
      <c r="BU136" s="2">
        <f t="shared" si="2"/>
        <v>2</v>
      </c>
      <c r="BV136" s="2">
        <f t="shared" si="3"/>
        <v>5</v>
      </c>
      <c r="BW136" s="2">
        <f t="shared" si="4"/>
        <v>0</v>
      </c>
      <c r="BX136" s="2">
        <f t="shared" si="5"/>
        <v>2</v>
      </c>
      <c r="BY136" s="2">
        <f t="shared" si="6"/>
        <v>0</v>
      </c>
      <c r="BZ136" s="2">
        <f t="shared" ref="BZ136:CA136" si="196">SUM(AQ136)</f>
        <v>0</v>
      </c>
      <c r="CA136" s="2">
        <f t="shared" si="196"/>
        <v>1</v>
      </c>
      <c r="CB136" s="2">
        <f t="shared" si="8"/>
        <v>0</v>
      </c>
    </row>
    <row r="137" spans="1:80" ht="16" x14ac:dyDescent="0.2">
      <c r="A137" s="3" t="s">
        <v>100</v>
      </c>
      <c r="B137" s="10">
        <v>203</v>
      </c>
      <c r="C137" s="5">
        <v>1</v>
      </c>
      <c r="D137" s="10">
        <v>1</v>
      </c>
      <c r="E137" s="5">
        <v>0</v>
      </c>
      <c r="F137" s="10">
        <v>2021</v>
      </c>
      <c r="G137" s="10">
        <v>2022</v>
      </c>
      <c r="H137" s="7" t="str">
        <f t="shared" ref="H137" si="197">IF($I137="1", "Yes", "No")</f>
        <v>No</v>
      </c>
      <c r="I137" s="54" t="s">
        <v>55</v>
      </c>
      <c r="J137" s="8">
        <v>1</v>
      </c>
      <c r="K137" s="8" t="s">
        <v>51</v>
      </c>
      <c r="L137" s="8" t="s">
        <v>52</v>
      </c>
      <c r="M137" s="8" t="s">
        <v>52</v>
      </c>
      <c r="N137" s="8">
        <v>1</v>
      </c>
      <c r="O137" s="8">
        <v>0</v>
      </c>
      <c r="P137" s="8">
        <v>0</v>
      </c>
      <c r="Q137" s="8" t="s">
        <v>101</v>
      </c>
      <c r="R137" s="9">
        <v>0.1</v>
      </c>
      <c r="S137" s="8">
        <v>0</v>
      </c>
      <c r="T137" s="8">
        <v>0</v>
      </c>
      <c r="U137" s="8">
        <v>0</v>
      </c>
      <c r="V137" s="8">
        <v>1</v>
      </c>
      <c r="W137" s="8">
        <v>1</v>
      </c>
      <c r="X137" s="8">
        <v>0</v>
      </c>
      <c r="Y137" s="8">
        <v>0</v>
      </c>
      <c r="Z137" s="8">
        <v>0</v>
      </c>
      <c r="AA137" s="8" t="s">
        <v>102</v>
      </c>
      <c r="AB137" s="8">
        <v>0</v>
      </c>
      <c r="AC137" s="8">
        <v>0</v>
      </c>
      <c r="AD137" s="8">
        <v>0</v>
      </c>
      <c r="AE137" s="8">
        <v>0</v>
      </c>
      <c r="AF137" s="8">
        <v>1</v>
      </c>
      <c r="AG137" s="8">
        <v>0</v>
      </c>
      <c r="AH137" s="8">
        <v>0</v>
      </c>
      <c r="AI137" s="8">
        <v>1</v>
      </c>
      <c r="AJ137" s="8">
        <v>1</v>
      </c>
      <c r="AK137" s="8">
        <v>1</v>
      </c>
      <c r="AL137" s="8">
        <v>1</v>
      </c>
      <c r="AM137" s="8">
        <v>1</v>
      </c>
      <c r="AN137" s="8">
        <v>0</v>
      </c>
      <c r="AO137" s="8">
        <v>0</v>
      </c>
      <c r="AP137" s="8">
        <v>1</v>
      </c>
      <c r="AQ137" s="8">
        <v>0</v>
      </c>
      <c r="AR137" s="8">
        <v>1</v>
      </c>
      <c r="AS137" s="8">
        <v>0</v>
      </c>
      <c r="AT137" s="8">
        <v>0</v>
      </c>
      <c r="AU137" s="8">
        <v>1</v>
      </c>
      <c r="AV137" s="8">
        <v>0</v>
      </c>
      <c r="AW137" s="8">
        <v>0</v>
      </c>
      <c r="AX137" s="8">
        <v>0</v>
      </c>
      <c r="AY137" s="8">
        <v>0</v>
      </c>
      <c r="AZ137" s="8">
        <v>0</v>
      </c>
      <c r="BA137" s="8">
        <v>0</v>
      </c>
      <c r="BB137" s="8">
        <v>0</v>
      </c>
      <c r="BC137" s="8">
        <v>0</v>
      </c>
      <c r="BD137" s="8">
        <v>0</v>
      </c>
      <c r="BE137" s="8">
        <v>0</v>
      </c>
      <c r="BF137" s="8">
        <v>0</v>
      </c>
      <c r="BG137" s="8">
        <v>0</v>
      </c>
      <c r="BH137" s="8">
        <v>0</v>
      </c>
      <c r="BI137" s="8">
        <v>0</v>
      </c>
      <c r="BJ137" s="8">
        <v>1</v>
      </c>
      <c r="BK137" s="8">
        <v>1</v>
      </c>
      <c r="BL137" s="8">
        <v>0</v>
      </c>
      <c r="BM137" s="8">
        <v>0</v>
      </c>
      <c r="BN137" s="8">
        <v>0</v>
      </c>
      <c r="BO137" s="8">
        <v>0</v>
      </c>
      <c r="BP137" s="8">
        <v>0</v>
      </c>
      <c r="BQ137" s="8">
        <v>0</v>
      </c>
      <c r="BR137" s="8">
        <v>0</v>
      </c>
      <c r="BS137" s="8">
        <f t="shared" ref="BS137" si="198">SUM(AI137:BR137)</f>
        <v>10</v>
      </c>
      <c r="BT137" s="8"/>
      <c r="BU137" s="2">
        <f t="shared" ref="BU137" si="199">SUM(AI137,BK137)</f>
        <v>2</v>
      </c>
      <c r="BV137" s="2">
        <f t="shared" ref="BV137" si="200">SUM(AK137, AL137, AM137,AJ137,BL137,BO137, AP137)</f>
        <v>5</v>
      </c>
      <c r="BW137" s="2">
        <f t="shared" ref="BW137" si="201">SUM(AN137, AO137, AS137)</f>
        <v>0</v>
      </c>
      <c r="BX137" s="2">
        <f t="shared" ref="BX137" si="202">SUM(AU137,AV137,AW137,AX137,AY137,AZ137,BA137,BB137,BC137,BD137,BE137,BF137,BG137,BH137,BI137,BJ137,BQ137,BR137,BM137)</f>
        <v>2</v>
      </c>
      <c r="BY137" s="2">
        <f t="shared" ref="BY137" si="203">SUM(BP137, BN137)</f>
        <v>0</v>
      </c>
      <c r="BZ137" s="2">
        <f t="shared" ref="BZ137" si="204">SUM(AQ137)</f>
        <v>0</v>
      </c>
      <c r="CA137" s="2">
        <f t="shared" ref="CA137" si="205">SUM(AR137)</f>
        <v>1</v>
      </c>
      <c r="CB137" s="2">
        <f t="shared" ref="CB137" si="206">SUM(AT137)</f>
        <v>0</v>
      </c>
    </row>
    <row r="138" spans="1:80" ht="16" x14ac:dyDescent="0.2">
      <c r="A138" s="3" t="s">
        <v>100</v>
      </c>
      <c r="B138" s="10">
        <v>203</v>
      </c>
      <c r="C138" s="5">
        <v>1</v>
      </c>
      <c r="D138" s="10">
        <v>1</v>
      </c>
      <c r="E138" s="5">
        <v>0</v>
      </c>
      <c r="F138" s="10">
        <v>2021</v>
      </c>
      <c r="G138" s="10">
        <v>2023</v>
      </c>
      <c r="H138" s="7" t="str">
        <f>IF($I138="1", "Yes", "No")</f>
        <v>No</v>
      </c>
      <c r="I138" s="54" t="s">
        <v>55</v>
      </c>
      <c r="J138" s="8">
        <v>1</v>
      </c>
      <c r="K138" s="8" t="s">
        <v>51</v>
      </c>
      <c r="L138" s="8" t="s">
        <v>52</v>
      </c>
      <c r="M138" s="8" t="s">
        <v>52</v>
      </c>
      <c r="N138" s="8">
        <v>1</v>
      </c>
      <c r="O138" s="8">
        <v>0</v>
      </c>
      <c r="P138" s="8">
        <v>0</v>
      </c>
      <c r="Q138" s="8" t="s">
        <v>101</v>
      </c>
      <c r="R138" s="9">
        <v>0.1</v>
      </c>
      <c r="S138" s="8">
        <v>0</v>
      </c>
      <c r="T138" s="8">
        <v>0</v>
      </c>
      <c r="U138" s="8">
        <v>0</v>
      </c>
      <c r="V138" s="8">
        <v>1</v>
      </c>
      <c r="W138" s="8">
        <v>1</v>
      </c>
      <c r="X138" s="8">
        <v>0</v>
      </c>
      <c r="Y138" s="8">
        <v>0</v>
      </c>
      <c r="Z138" s="8">
        <v>0</v>
      </c>
      <c r="AA138" s="8" t="s">
        <v>102</v>
      </c>
      <c r="AB138" s="8">
        <v>0</v>
      </c>
      <c r="AC138" s="8">
        <v>0</v>
      </c>
      <c r="AD138" s="8">
        <v>0</v>
      </c>
      <c r="AE138" s="8">
        <v>0</v>
      </c>
      <c r="AF138" s="8">
        <v>1</v>
      </c>
      <c r="AG138" s="8">
        <v>0</v>
      </c>
      <c r="AH138" s="8">
        <v>0</v>
      </c>
      <c r="AI138" s="8">
        <v>1</v>
      </c>
      <c r="AJ138" s="8">
        <v>1</v>
      </c>
      <c r="AK138" s="8">
        <v>1</v>
      </c>
      <c r="AL138" s="8">
        <v>1</v>
      </c>
      <c r="AM138" s="8">
        <v>1</v>
      </c>
      <c r="AN138" s="8">
        <v>0</v>
      </c>
      <c r="AO138" s="8">
        <v>0</v>
      </c>
      <c r="AP138" s="8">
        <v>1</v>
      </c>
      <c r="AQ138" s="8">
        <v>0</v>
      </c>
      <c r="AR138" s="8">
        <v>1</v>
      </c>
      <c r="AS138" s="8">
        <v>0</v>
      </c>
      <c r="AT138" s="8">
        <v>0</v>
      </c>
      <c r="AU138" s="8">
        <v>1</v>
      </c>
      <c r="AV138" s="8">
        <v>0</v>
      </c>
      <c r="AW138" s="8">
        <v>0</v>
      </c>
      <c r="AX138" s="8">
        <v>0</v>
      </c>
      <c r="AY138" s="8">
        <v>0</v>
      </c>
      <c r="AZ138" s="8">
        <v>0</v>
      </c>
      <c r="BA138" s="8">
        <v>0</v>
      </c>
      <c r="BB138" s="8">
        <v>0</v>
      </c>
      <c r="BC138" s="8">
        <v>0</v>
      </c>
      <c r="BD138" s="8">
        <v>0</v>
      </c>
      <c r="BE138" s="8">
        <v>0</v>
      </c>
      <c r="BF138" s="8">
        <v>0</v>
      </c>
      <c r="BG138" s="8">
        <v>0</v>
      </c>
      <c r="BH138" s="8">
        <v>0</v>
      </c>
      <c r="BI138" s="8">
        <v>0</v>
      </c>
      <c r="BJ138" s="8">
        <v>1</v>
      </c>
      <c r="BK138" s="8">
        <v>1</v>
      </c>
      <c r="BL138" s="8">
        <v>0</v>
      </c>
      <c r="BM138" s="8">
        <v>0</v>
      </c>
      <c r="BN138" s="8">
        <v>0</v>
      </c>
      <c r="BO138" s="8">
        <v>0</v>
      </c>
      <c r="BP138" s="8">
        <v>0</v>
      </c>
      <c r="BQ138" s="8">
        <v>0</v>
      </c>
      <c r="BR138" s="8">
        <v>0</v>
      </c>
      <c r="BS138" s="8">
        <f>SUM(AI138:BR138)</f>
        <v>10</v>
      </c>
      <c r="BT138" s="8"/>
      <c r="BU138" s="2">
        <f>SUM(AI138,BK138)</f>
        <v>2</v>
      </c>
      <c r="BV138" s="2">
        <f>SUM(AK138, AL138, AM138,AJ138,BL138,BO138, AP138)</f>
        <v>5</v>
      </c>
      <c r="BW138" s="2">
        <f>SUM(AN138, AO138, AS138)</f>
        <v>0</v>
      </c>
      <c r="BX138" s="2">
        <f>SUM(AU138,AV138,AW138,AX138,AY138,AZ138,BA138,BB138,BC138,BD138,BE138,BF138,BG138,BH138,BI138,BJ138,BQ138,BR138,BM138)</f>
        <v>2</v>
      </c>
      <c r="BY138" s="2">
        <f>SUM(BP138, BN138)</f>
        <v>0</v>
      </c>
      <c r="BZ138" s="2">
        <f>SUM(AQ138)</f>
        <v>0</v>
      </c>
      <c r="CA138" s="2">
        <f>SUM(AR138)</f>
        <v>1</v>
      </c>
      <c r="CB138" s="2">
        <f>SUM(AT138)</f>
        <v>0</v>
      </c>
    </row>
    <row r="139" spans="1:80" ht="16" x14ac:dyDescent="0.2">
      <c r="A139" s="3" t="s">
        <v>103</v>
      </c>
      <c r="B139" s="10">
        <v>208</v>
      </c>
      <c r="C139" s="5">
        <v>1</v>
      </c>
      <c r="D139" s="10">
        <v>1</v>
      </c>
      <c r="E139" s="5">
        <v>0</v>
      </c>
      <c r="F139" s="10">
        <v>1937</v>
      </c>
      <c r="G139" s="10" t="s">
        <v>86</v>
      </c>
      <c r="H139" s="7" t="str">
        <f t="shared" si="0"/>
        <v>No</v>
      </c>
      <c r="I139" s="54" t="s">
        <v>55</v>
      </c>
      <c r="J139" s="8">
        <v>1</v>
      </c>
      <c r="K139" s="8" t="s">
        <v>63</v>
      </c>
      <c r="L139" s="8" t="s">
        <v>64</v>
      </c>
      <c r="M139" s="8" t="s">
        <v>64</v>
      </c>
      <c r="N139" s="8">
        <v>0</v>
      </c>
      <c r="O139" s="8">
        <v>1</v>
      </c>
      <c r="P139" s="8">
        <v>0</v>
      </c>
      <c r="Q139" s="8"/>
      <c r="R139" s="9">
        <v>0.2</v>
      </c>
      <c r="S139" s="8">
        <v>0</v>
      </c>
      <c r="T139" s="8">
        <v>0</v>
      </c>
      <c r="U139" s="8">
        <v>0</v>
      </c>
      <c r="V139" s="8">
        <v>0</v>
      </c>
      <c r="W139" s="8">
        <v>1</v>
      </c>
      <c r="X139" s="8">
        <v>0</v>
      </c>
      <c r="Y139" s="8">
        <v>0</v>
      </c>
      <c r="Z139" s="8">
        <v>0</v>
      </c>
      <c r="AA139" s="8" t="s">
        <v>104</v>
      </c>
      <c r="AB139" s="8">
        <v>0</v>
      </c>
      <c r="AC139" s="8">
        <v>0</v>
      </c>
      <c r="AD139" s="8">
        <v>0</v>
      </c>
      <c r="AE139" s="8">
        <v>0</v>
      </c>
      <c r="AF139" s="8">
        <v>0</v>
      </c>
      <c r="AG139" s="8">
        <v>1</v>
      </c>
      <c r="AH139" s="8">
        <v>0</v>
      </c>
      <c r="AI139" s="8">
        <v>1</v>
      </c>
      <c r="AJ139" s="8">
        <v>0</v>
      </c>
      <c r="AK139" s="8">
        <v>0</v>
      </c>
      <c r="AL139" s="8">
        <v>0</v>
      </c>
      <c r="AM139" s="8">
        <v>0</v>
      </c>
      <c r="AN139" s="8">
        <v>0</v>
      </c>
      <c r="AO139" s="8">
        <v>0</v>
      </c>
      <c r="AP139" s="8">
        <v>0</v>
      </c>
      <c r="AQ139" s="8">
        <v>0</v>
      </c>
      <c r="AR139" s="8">
        <v>0</v>
      </c>
      <c r="AS139" s="8">
        <v>0</v>
      </c>
      <c r="AT139" s="8">
        <v>0</v>
      </c>
      <c r="AU139" s="8">
        <v>0</v>
      </c>
      <c r="AV139" s="8">
        <v>0</v>
      </c>
      <c r="AW139" s="8">
        <v>0</v>
      </c>
      <c r="AX139" s="8">
        <v>0</v>
      </c>
      <c r="AY139" s="8">
        <v>0</v>
      </c>
      <c r="AZ139" s="8">
        <v>0</v>
      </c>
      <c r="BA139" s="8">
        <v>0</v>
      </c>
      <c r="BB139" s="8">
        <v>0</v>
      </c>
      <c r="BC139" s="8">
        <v>0</v>
      </c>
      <c r="BD139" s="8">
        <v>0</v>
      </c>
      <c r="BE139" s="8">
        <v>0</v>
      </c>
      <c r="BF139" s="8">
        <v>0</v>
      </c>
      <c r="BG139" s="8">
        <v>0</v>
      </c>
      <c r="BH139" s="8">
        <v>0</v>
      </c>
      <c r="BI139" s="8">
        <v>0</v>
      </c>
      <c r="BJ139" s="8">
        <v>0</v>
      </c>
      <c r="BK139" s="8">
        <v>0</v>
      </c>
      <c r="BL139" s="8">
        <v>0</v>
      </c>
      <c r="BM139" s="8">
        <v>0</v>
      </c>
      <c r="BN139" s="8">
        <v>0</v>
      </c>
      <c r="BO139" s="8">
        <v>0</v>
      </c>
      <c r="BP139" s="8">
        <v>0</v>
      </c>
      <c r="BQ139" s="8">
        <v>0</v>
      </c>
      <c r="BR139" s="8">
        <v>0</v>
      </c>
      <c r="BS139" s="8">
        <f t="shared" si="194"/>
        <v>1</v>
      </c>
      <c r="BT139" s="8"/>
      <c r="BU139" s="2">
        <f t="shared" si="2"/>
        <v>1</v>
      </c>
      <c r="BV139" s="2">
        <f t="shared" si="3"/>
        <v>0</v>
      </c>
      <c r="BW139" s="2">
        <f t="shared" si="4"/>
        <v>0</v>
      </c>
      <c r="BX139" s="2">
        <f t="shared" si="5"/>
        <v>0</v>
      </c>
      <c r="BY139" s="2">
        <f t="shared" si="6"/>
        <v>0</v>
      </c>
      <c r="BZ139" s="2">
        <f t="shared" ref="BZ139:CA139" si="207">SUM(AQ139)</f>
        <v>0</v>
      </c>
      <c r="CA139" s="2">
        <f t="shared" si="207"/>
        <v>0</v>
      </c>
      <c r="CB139" s="2">
        <f t="shared" si="8"/>
        <v>0</v>
      </c>
    </row>
    <row r="140" spans="1:80" ht="16" x14ac:dyDescent="0.2">
      <c r="A140" s="3" t="s">
        <v>103</v>
      </c>
      <c r="B140" s="10">
        <v>208</v>
      </c>
      <c r="C140" s="5">
        <v>1</v>
      </c>
      <c r="D140" s="10">
        <v>1</v>
      </c>
      <c r="E140" s="5">
        <v>0</v>
      </c>
      <c r="F140" s="10">
        <v>1937</v>
      </c>
      <c r="G140" s="10" t="s">
        <v>90</v>
      </c>
      <c r="H140" s="7" t="str">
        <f t="shared" si="0"/>
        <v>No</v>
      </c>
      <c r="I140" s="54" t="s">
        <v>55</v>
      </c>
      <c r="J140" s="8">
        <v>1</v>
      </c>
      <c r="K140" s="8" t="s">
        <v>63</v>
      </c>
      <c r="L140" s="8" t="s">
        <v>64</v>
      </c>
      <c r="M140" s="8" t="s">
        <v>64</v>
      </c>
      <c r="N140" s="8">
        <v>0</v>
      </c>
      <c r="O140" s="8">
        <v>1</v>
      </c>
      <c r="P140" s="8">
        <v>0</v>
      </c>
      <c r="Q140" s="8"/>
      <c r="R140" s="9">
        <v>0.2</v>
      </c>
      <c r="S140" s="8">
        <v>0</v>
      </c>
      <c r="T140" s="8">
        <v>0</v>
      </c>
      <c r="U140" s="8">
        <v>0</v>
      </c>
      <c r="V140" s="8">
        <v>0</v>
      </c>
      <c r="W140" s="8">
        <v>1</v>
      </c>
      <c r="X140" s="8">
        <v>0</v>
      </c>
      <c r="Y140" s="8">
        <v>0</v>
      </c>
      <c r="Z140" s="8">
        <v>0</v>
      </c>
      <c r="AA140" s="8" t="s">
        <v>104</v>
      </c>
      <c r="AB140" s="8">
        <v>0</v>
      </c>
      <c r="AC140" s="8">
        <v>0</v>
      </c>
      <c r="AD140" s="8">
        <v>0</v>
      </c>
      <c r="AE140" s="8">
        <v>0</v>
      </c>
      <c r="AF140" s="8">
        <v>0</v>
      </c>
      <c r="AG140" s="8">
        <v>1</v>
      </c>
      <c r="AH140" s="8">
        <v>0</v>
      </c>
      <c r="AI140" s="8">
        <v>1</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8">
        <v>0</v>
      </c>
      <c r="BH140" s="8">
        <v>0</v>
      </c>
      <c r="BI140" s="8">
        <v>0</v>
      </c>
      <c r="BJ140" s="8">
        <v>0</v>
      </c>
      <c r="BK140" s="8">
        <v>0</v>
      </c>
      <c r="BL140" s="8">
        <v>0</v>
      </c>
      <c r="BM140" s="8">
        <v>0</v>
      </c>
      <c r="BN140" s="8">
        <v>0</v>
      </c>
      <c r="BO140" s="8">
        <v>0</v>
      </c>
      <c r="BP140" s="8">
        <v>0</v>
      </c>
      <c r="BQ140" s="8">
        <v>0</v>
      </c>
      <c r="BR140" s="8">
        <v>0</v>
      </c>
      <c r="BS140" s="8">
        <f t="shared" si="194"/>
        <v>1</v>
      </c>
      <c r="BT140" s="8"/>
      <c r="BU140" s="2">
        <f t="shared" si="2"/>
        <v>1</v>
      </c>
      <c r="BV140" s="2">
        <f t="shared" si="3"/>
        <v>0</v>
      </c>
      <c r="BW140" s="2">
        <f t="shared" si="4"/>
        <v>0</v>
      </c>
      <c r="BX140" s="2">
        <f t="shared" si="5"/>
        <v>0</v>
      </c>
      <c r="BY140" s="2">
        <f t="shared" si="6"/>
        <v>0</v>
      </c>
      <c r="BZ140" s="2">
        <f t="shared" ref="BZ140:CA140" si="208">SUM(AQ140)</f>
        <v>0</v>
      </c>
      <c r="CA140" s="2">
        <f t="shared" si="208"/>
        <v>0</v>
      </c>
      <c r="CB140" s="2">
        <f t="shared" si="8"/>
        <v>0</v>
      </c>
    </row>
    <row r="141" spans="1:80" ht="16" x14ac:dyDescent="0.2">
      <c r="A141" s="3" t="s">
        <v>103</v>
      </c>
      <c r="B141" s="10">
        <v>208</v>
      </c>
      <c r="C141" s="5">
        <v>1</v>
      </c>
      <c r="D141" s="10">
        <v>1</v>
      </c>
      <c r="E141" s="5">
        <v>0</v>
      </c>
      <c r="F141" s="10">
        <v>1937</v>
      </c>
      <c r="G141" s="10" t="s">
        <v>91</v>
      </c>
      <c r="H141" s="7" t="str">
        <f t="shared" si="0"/>
        <v>No</v>
      </c>
      <c r="I141" s="54" t="s">
        <v>55</v>
      </c>
      <c r="J141" s="8">
        <v>1</v>
      </c>
      <c r="K141" s="8" t="s">
        <v>63</v>
      </c>
      <c r="L141" s="8" t="s">
        <v>64</v>
      </c>
      <c r="M141" s="8" t="s">
        <v>64</v>
      </c>
      <c r="N141" s="8">
        <v>0</v>
      </c>
      <c r="O141" s="8">
        <v>1</v>
      </c>
      <c r="P141" s="8">
        <v>0</v>
      </c>
      <c r="Q141" s="8"/>
      <c r="R141" s="9">
        <v>0.2</v>
      </c>
      <c r="S141" s="8">
        <v>0</v>
      </c>
      <c r="T141" s="8">
        <v>0</v>
      </c>
      <c r="U141" s="8">
        <v>0</v>
      </c>
      <c r="V141" s="8">
        <v>0</v>
      </c>
      <c r="W141" s="8">
        <v>1</v>
      </c>
      <c r="X141" s="8">
        <v>0</v>
      </c>
      <c r="Y141" s="8">
        <v>0</v>
      </c>
      <c r="Z141" s="8">
        <v>0</v>
      </c>
      <c r="AA141" s="8" t="s">
        <v>104</v>
      </c>
      <c r="AB141" s="8">
        <v>0</v>
      </c>
      <c r="AC141" s="8">
        <v>0</v>
      </c>
      <c r="AD141" s="8">
        <v>0</v>
      </c>
      <c r="AE141" s="8">
        <v>0</v>
      </c>
      <c r="AF141" s="8">
        <v>0</v>
      </c>
      <c r="AG141" s="8">
        <v>1</v>
      </c>
      <c r="AH141" s="8">
        <v>0</v>
      </c>
      <c r="AI141" s="8">
        <v>1</v>
      </c>
      <c r="AJ141" s="8">
        <v>0</v>
      </c>
      <c r="AK141" s="8">
        <v>0</v>
      </c>
      <c r="AL141" s="8">
        <v>0</v>
      </c>
      <c r="AM141" s="8">
        <v>0</v>
      </c>
      <c r="AN141" s="8">
        <v>0</v>
      </c>
      <c r="AO141" s="8">
        <v>0</v>
      </c>
      <c r="AP141" s="8">
        <v>0</v>
      </c>
      <c r="AQ141" s="8">
        <v>0</v>
      </c>
      <c r="AR141" s="8">
        <v>0</v>
      </c>
      <c r="AS141" s="8">
        <v>0</v>
      </c>
      <c r="AT141" s="8">
        <v>0</v>
      </c>
      <c r="AU141" s="8">
        <v>0</v>
      </c>
      <c r="AV141" s="8">
        <v>0</v>
      </c>
      <c r="AW141" s="8">
        <v>0</v>
      </c>
      <c r="AX141" s="8">
        <v>0</v>
      </c>
      <c r="AY141" s="8">
        <v>0</v>
      </c>
      <c r="AZ141" s="8">
        <v>0</v>
      </c>
      <c r="BA141" s="8">
        <v>0</v>
      </c>
      <c r="BB141" s="8">
        <v>0</v>
      </c>
      <c r="BC141" s="8">
        <v>0</v>
      </c>
      <c r="BD141" s="8">
        <v>0</v>
      </c>
      <c r="BE141" s="8">
        <v>0</v>
      </c>
      <c r="BF141" s="8">
        <v>0</v>
      </c>
      <c r="BG141" s="8">
        <v>0</v>
      </c>
      <c r="BH141" s="8">
        <v>0</v>
      </c>
      <c r="BI141" s="8">
        <v>0</v>
      </c>
      <c r="BJ141" s="8">
        <v>0</v>
      </c>
      <c r="BK141" s="8">
        <v>0</v>
      </c>
      <c r="BL141" s="8">
        <v>0</v>
      </c>
      <c r="BM141" s="8">
        <v>0</v>
      </c>
      <c r="BN141" s="8">
        <v>0</v>
      </c>
      <c r="BO141" s="8">
        <v>0</v>
      </c>
      <c r="BP141" s="8">
        <v>0</v>
      </c>
      <c r="BQ141" s="8">
        <v>0</v>
      </c>
      <c r="BR141" s="8">
        <v>0</v>
      </c>
      <c r="BS141" s="8">
        <f t="shared" si="194"/>
        <v>1</v>
      </c>
      <c r="BT141" s="8"/>
      <c r="BU141" s="2">
        <f t="shared" si="2"/>
        <v>1</v>
      </c>
      <c r="BV141" s="2">
        <f t="shared" si="3"/>
        <v>0</v>
      </c>
      <c r="BW141" s="2">
        <f t="shared" si="4"/>
        <v>0</v>
      </c>
      <c r="BX141" s="2">
        <f t="shared" si="5"/>
        <v>0</v>
      </c>
      <c r="BY141" s="2">
        <f t="shared" si="6"/>
        <v>0</v>
      </c>
      <c r="BZ141" s="2">
        <f t="shared" ref="BZ141:CA141" si="209">SUM(AQ141)</f>
        <v>0</v>
      </c>
      <c r="CA141" s="2">
        <f t="shared" si="209"/>
        <v>0</v>
      </c>
      <c r="CB141" s="2">
        <f t="shared" si="8"/>
        <v>0</v>
      </c>
    </row>
    <row r="142" spans="1:80" ht="16" x14ac:dyDescent="0.2">
      <c r="A142" s="3" t="s">
        <v>103</v>
      </c>
      <c r="B142" s="10">
        <v>208</v>
      </c>
      <c r="C142" s="5">
        <v>1</v>
      </c>
      <c r="D142" s="10">
        <v>1</v>
      </c>
      <c r="E142" s="5">
        <v>0</v>
      </c>
      <c r="F142" s="10">
        <v>1937</v>
      </c>
      <c r="G142" s="10" t="s">
        <v>93</v>
      </c>
      <c r="H142" s="7" t="str">
        <f t="shared" si="0"/>
        <v>No</v>
      </c>
      <c r="I142" s="54" t="s">
        <v>55</v>
      </c>
      <c r="J142" s="8">
        <v>1</v>
      </c>
      <c r="K142" s="8" t="s">
        <v>63</v>
      </c>
      <c r="L142" s="8" t="s">
        <v>64</v>
      </c>
      <c r="M142" s="8" t="s">
        <v>64</v>
      </c>
      <c r="N142" s="8">
        <v>0</v>
      </c>
      <c r="O142" s="8">
        <v>1</v>
      </c>
      <c r="P142" s="8">
        <v>0</v>
      </c>
      <c r="Q142" s="8"/>
      <c r="R142" s="9">
        <v>0.2</v>
      </c>
      <c r="S142" s="8">
        <v>0</v>
      </c>
      <c r="T142" s="8">
        <v>0</v>
      </c>
      <c r="U142" s="8">
        <v>0</v>
      </c>
      <c r="V142" s="8">
        <v>0</v>
      </c>
      <c r="W142" s="8">
        <v>1</v>
      </c>
      <c r="X142" s="8">
        <v>0</v>
      </c>
      <c r="Y142" s="8">
        <v>0</v>
      </c>
      <c r="Z142" s="8">
        <v>0</v>
      </c>
      <c r="AA142" s="8" t="s">
        <v>104</v>
      </c>
      <c r="AB142" s="8">
        <v>0</v>
      </c>
      <c r="AC142" s="8">
        <v>0</v>
      </c>
      <c r="AD142" s="8">
        <v>0</v>
      </c>
      <c r="AE142" s="8">
        <v>0</v>
      </c>
      <c r="AF142" s="8">
        <v>0</v>
      </c>
      <c r="AG142" s="8">
        <v>1</v>
      </c>
      <c r="AH142" s="8">
        <v>0</v>
      </c>
      <c r="AI142" s="8">
        <v>1</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8">
        <v>0</v>
      </c>
      <c r="BF142" s="8">
        <v>0</v>
      </c>
      <c r="BG142" s="8">
        <v>0</v>
      </c>
      <c r="BH142" s="8">
        <v>0</v>
      </c>
      <c r="BI142" s="8">
        <v>0</v>
      </c>
      <c r="BJ142" s="8">
        <v>0</v>
      </c>
      <c r="BK142" s="8">
        <v>0</v>
      </c>
      <c r="BL142" s="8">
        <v>0</v>
      </c>
      <c r="BM142" s="8">
        <v>0</v>
      </c>
      <c r="BN142" s="8">
        <v>0</v>
      </c>
      <c r="BO142" s="8">
        <v>0</v>
      </c>
      <c r="BP142" s="8">
        <v>0</v>
      </c>
      <c r="BQ142" s="8">
        <v>0</v>
      </c>
      <c r="BR142" s="8">
        <v>0</v>
      </c>
      <c r="BS142" s="8">
        <f t="shared" si="194"/>
        <v>1</v>
      </c>
      <c r="BT142" s="8"/>
      <c r="BU142" s="2">
        <f t="shared" si="2"/>
        <v>1</v>
      </c>
      <c r="BV142" s="2">
        <f t="shared" si="3"/>
        <v>0</v>
      </c>
      <c r="BW142" s="2">
        <f t="shared" si="4"/>
        <v>0</v>
      </c>
      <c r="BX142" s="2">
        <f t="shared" si="5"/>
        <v>0</v>
      </c>
      <c r="BY142" s="2">
        <f t="shared" si="6"/>
        <v>0</v>
      </c>
      <c r="BZ142" s="2">
        <f t="shared" ref="BZ142:CA142" si="210">SUM(AQ142)</f>
        <v>0</v>
      </c>
      <c r="CA142" s="2">
        <f t="shared" si="210"/>
        <v>0</v>
      </c>
      <c r="CB142" s="2">
        <f t="shared" si="8"/>
        <v>0</v>
      </c>
    </row>
    <row r="143" spans="1:80" ht="16" x14ac:dyDescent="0.2">
      <c r="A143" s="3" t="s">
        <v>103</v>
      </c>
      <c r="B143" s="10">
        <v>208</v>
      </c>
      <c r="C143" s="5">
        <v>1</v>
      </c>
      <c r="D143" s="10">
        <v>1</v>
      </c>
      <c r="E143" s="5">
        <v>0</v>
      </c>
      <c r="F143" s="10">
        <v>1937</v>
      </c>
      <c r="G143" s="10" t="s">
        <v>70</v>
      </c>
      <c r="H143" s="7" t="str">
        <f t="shared" si="0"/>
        <v>No</v>
      </c>
      <c r="I143" s="54" t="s">
        <v>55</v>
      </c>
      <c r="J143" s="8">
        <v>1</v>
      </c>
      <c r="K143" s="8" t="s">
        <v>63</v>
      </c>
      <c r="L143" s="8" t="s">
        <v>64</v>
      </c>
      <c r="M143" s="8" t="s">
        <v>64</v>
      </c>
      <c r="N143" s="8">
        <v>0</v>
      </c>
      <c r="O143" s="8">
        <v>1</v>
      </c>
      <c r="P143" s="8">
        <v>0</v>
      </c>
      <c r="Q143" s="8"/>
      <c r="R143" s="9">
        <v>0.2</v>
      </c>
      <c r="S143" s="8">
        <v>0</v>
      </c>
      <c r="T143" s="8">
        <v>0</v>
      </c>
      <c r="U143" s="8">
        <v>0</v>
      </c>
      <c r="V143" s="8">
        <v>0</v>
      </c>
      <c r="W143" s="8">
        <v>1</v>
      </c>
      <c r="X143" s="8">
        <v>0</v>
      </c>
      <c r="Y143" s="8">
        <v>0</v>
      </c>
      <c r="Z143" s="8">
        <v>0</v>
      </c>
      <c r="AA143" s="8" t="s">
        <v>104</v>
      </c>
      <c r="AB143" s="8">
        <v>0</v>
      </c>
      <c r="AC143" s="8">
        <v>0</v>
      </c>
      <c r="AD143" s="8">
        <v>0</v>
      </c>
      <c r="AE143" s="8">
        <v>0</v>
      </c>
      <c r="AF143" s="8">
        <v>0</v>
      </c>
      <c r="AG143" s="8">
        <v>1</v>
      </c>
      <c r="AH143" s="8">
        <v>0</v>
      </c>
      <c r="AI143" s="8">
        <v>1</v>
      </c>
      <c r="AJ143" s="8">
        <v>0</v>
      </c>
      <c r="AK143" s="8">
        <v>0</v>
      </c>
      <c r="AL143" s="8">
        <v>0</v>
      </c>
      <c r="AM143" s="8">
        <v>0</v>
      </c>
      <c r="AN143" s="8">
        <v>0</v>
      </c>
      <c r="AO143" s="8">
        <v>0</v>
      </c>
      <c r="AP143" s="8">
        <v>0</v>
      </c>
      <c r="AQ143" s="8">
        <v>0</v>
      </c>
      <c r="AR143" s="8">
        <v>0</v>
      </c>
      <c r="AS143" s="8">
        <v>0</v>
      </c>
      <c r="AT143" s="8">
        <v>0</v>
      </c>
      <c r="AU143" s="8">
        <v>0</v>
      </c>
      <c r="AV143" s="8">
        <v>0</v>
      </c>
      <c r="AW143" s="8">
        <v>0</v>
      </c>
      <c r="AX143" s="8">
        <v>0</v>
      </c>
      <c r="AY143" s="8">
        <v>0</v>
      </c>
      <c r="AZ143" s="8">
        <v>0</v>
      </c>
      <c r="BA143" s="8">
        <v>0</v>
      </c>
      <c r="BB143" s="8">
        <v>0</v>
      </c>
      <c r="BC143" s="8">
        <v>0</v>
      </c>
      <c r="BD143" s="8">
        <v>0</v>
      </c>
      <c r="BE143" s="8">
        <v>0</v>
      </c>
      <c r="BF143" s="8">
        <v>0</v>
      </c>
      <c r="BG143" s="8">
        <v>0</v>
      </c>
      <c r="BH143" s="8">
        <v>0</v>
      </c>
      <c r="BI143" s="8">
        <v>0</v>
      </c>
      <c r="BJ143" s="8">
        <v>0</v>
      </c>
      <c r="BK143" s="8">
        <v>0</v>
      </c>
      <c r="BL143" s="8">
        <v>0</v>
      </c>
      <c r="BM143" s="8">
        <v>0</v>
      </c>
      <c r="BN143" s="8">
        <v>0</v>
      </c>
      <c r="BO143" s="8">
        <v>0</v>
      </c>
      <c r="BP143" s="8">
        <v>0</v>
      </c>
      <c r="BQ143" s="8">
        <v>0</v>
      </c>
      <c r="BR143" s="8">
        <v>0</v>
      </c>
      <c r="BS143" s="8">
        <f t="shared" si="194"/>
        <v>1</v>
      </c>
      <c r="BT143" s="8"/>
      <c r="BU143" s="2">
        <f t="shared" si="2"/>
        <v>1</v>
      </c>
      <c r="BV143" s="2">
        <f t="shared" si="3"/>
        <v>0</v>
      </c>
      <c r="BW143" s="2">
        <f t="shared" si="4"/>
        <v>0</v>
      </c>
      <c r="BX143" s="2">
        <f t="shared" si="5"/>
        <v>0</v>
      </c>
      <c r="BY143" s="2">
        <f t="shared" si="6"/>
        <v>0</v>
      </c>
      <c r="BZ143" s="2">
        <f t="shared" ref="BZ143:CA143" si="211">SUM(AQ143)</f>
        <v>0</v>
      </c>
      <c r="CA143" s="2">
        <f t="shared" si="211"/>
        <v>0</v>
      </c>
      <c r="CB143" s="2">
        <f t="shared" si="8"/>
        <v>0</v>
      </c>
    </row>
    <row r="144" spans="1:80" ht="16" x14ac:dyDescent="0.2">
      <c r="A144" s="3" t="s">
        <v>103</v>
      </c>
      <c r="B144" s="10">
        <v>208</v>
      </c>
      <c r="C144" s="5">
        <v>1</v>
      </c>
      <c r="D144" s="10">
        <v>1</v>
      </c>
      <c r="E144" s="5">
        <v>0</v>
      </c>
      <c r="F144" s="10">
        <v>1937</v>
      </c>
      <c r="G144" s="10" t="s">
        <v>71</v>
      </c>
      <c r="H144" s="7" t="str">
        <f t="shared" si="0"/>
        <v>Yes</v>
      </c>
      <c r="I144" s="54" t="s">
        <v>56</v>
      </c>
      <c r="J144" s="8">
        <v>1</v>
      </c>
      <c r="K144" s="8" t="s">
        <v>63</v>
      </c>
      <c r="L144" s="8" t="s">
        <v>64</v>
      </c>
      <c r="M144" s="8" t="s">
        <v>64</v>
      </c>
      <c r="N144" s="8">
        <v>0</v>
      </c>
      <c r="O144" s="8">
        <v>1</v>
      </c>
      <c r="P144" s="8">
        <v>0</v>
      </c>
      <c r="Q144" s="8"/>
      <c r="R144" s="9">
        <v>0.2</v>
      </c>
      <c r="S144" s="8">
        <v>1</v>
      </c>
      <c r="T144" s="8">
        <v>0</v>
      </c>
      <c r="U144" s="8">
        <v>0</v>
      </c>
      <c r="V144" s="8">
        <v>1</v>
      </c>
      <c r="W144" s="8">
        <v>1</v>
      </c>
      <c r="X144" s="8">
        <v>0</v>
      </c>
      <c r="Y144" s="8">
        <v>0</v>
      </c>
      <c r="Z144" s="8">
        <v>0</v>
      </c>
      <c r="AA144" s="8" t="s">
        <v>104</v>
      </c>
      <c r="AB144" s="8">
        <v>0</v>
      </c>
      <c r="AC144" s="8">
        <v>0</v>
      </c>
      <c r="AD144" s="8">
        <v>0</v>
      </c>
      <c r="AE144" s="8">
        <v>0</v>
      </c>
      <c r="AF144" s="8">
        <v>0</v>
      </c>
      <c r="AG144" s="8">
        <v>1</v>
      </c>
      <c r="AH144" s="8">
        <v>0</v>
      </c>
      <c r="AI144" s="8">
        <v>1</v>
      </c>
      <c r="AJ144" s="8">
        <v>0</v>
      </c>
      <c r="AK144" s="8">
        <v>0</v>
      </c>
      <c r="AL144" s="8">
        <v>0</v>
      </c>
      <c r="AM144" s="8">
        <v>0</v>
      </c>
      <c r="AN144" s="8">
        <v>0</v>
      </c>
      <c r="AO144" s="8">
        <v>0</v>
      </c>
      <c r="AP144" s="8">
        <v>0</v>
      </c>
      <c r="AQ144" s="8">
        <v>0</v>
      </c>
      <c r="AR144" s="8">
        <v>0</v>
      </c>
      <c r="AS144" s="8">
        <v>0</v>
      </c>
      <c r="AT144" s="8">
        <v>0</v>
      </c>
      <c r="AU144" s="8">
        <v>0</v>
      </c>
      <c r="AV144" s="8">
        <v>0</v>
      </c>
      <c r="AW144" s="8">
        <v>0</v>
      </c>
      <c r="AX144" s="8">
        <v>0</v>
      </c>
      <c r="AY144" s="8">
        <v>0</v>
      </c>
      <c r="AZ144" s="8">
        <v>0</v>
      </c>
      <c r="BA144" s="8">
        <v>0</v>
      </c>
      <c r="BB144" s="8">
        <v>0</v>
      </c>
      <c r="BC144" s="8">
        <v>0</v>
      </c>
      <c r="BD144" s="8">
        <v>0</v>
      </c>
      <c r="BE144" s="8">
        <v>0</v>
      </c>
      <c r="BF144" s="8">
        <v>0</v>
      </c>
      <c r="BG144" s="8">
        <v>0</v>
      </c>
      <c r="BH144" s="8">
        <v>0</v>
      </c>
      <c r="BI144" s="8">
        <v>0</v>
      </c>
      <c r="BJ144" s="8">
        <v>0</v>
      </c>
      <c r="BK144" s="8">
        <v>0</v>
      </c>
      <c r="BL144" s="8">
        <v>0</v>
      </c>
      <c r="BM144" s="8">
        <v>0</v>
      </c>
      <c r="BN144" s="8">
        <v>0</v>
      </c>
      <c r="BO144" s="8">
        <v>0</v>
      </c>
      <c r="BP144" s="8">
        <v>0</v>
      </c>
      <c r="BQ144" s="8">
        <v>0</v>
      </c>
      <c r="BR144" s="8">
        <v>0</v>
      </c>
      <c r="BS144" s="8">
        <f t="shared" si="194"/>
        <v>1</v>
      </c>
      <c r="BT144" s="8"/>
      <c r="BU144" s="2">
        <f t="shared" si="2"/>
        <v>1</v>
      </c>
      <c r="BV144" s="2">
        <f t="shared" si="3"/>
        <v>0</v>
      </c>
      <c r="BW144" s="2">
        <f t="shared" si="4"/>
        <v>0</v>
      </c>
      <c r="BX144" s="2">
        <f t="shared" si="5"/>
        <v>0</v>
      </c>
      <c r="BY144" s="2">
        <f t="shared" si="6"/>
        <v>0</v>
      </c>
      <c r="BZ144" s="2">
        <f t="shared" ref="BZ144:CA144" si="212">SUM(AQ144)</f>
        <v>0</v>
      </c>
      <c r="CA144" s="2">
        <f t="shared" si="212"/>
        <v>0</v>
      </c>
      <c r="CB144" s="2">
        <f t="shared" si="8"/>
        <v>0</v>
      </c>
    </row>
    <row r="145" spans="1:80" ht="16" x14ac:dyDescent="0.2">
      <c r="A145" s="3" t="s">
        <v>103</v>
      </c>
      <c r="B145" s="10">
        <v>208</v>
      </c>
      <c r="C145" s="5">
        <v>1</v>
      </c>
      <c r="D145" s="10">
        <v>1</v>
      </c>
      <c r="E145" s="5">
        <v>0</v>
      </c>
      <c r="F145" s="10">
        <v>1937</v>
      </c>
      <c r="G145" s="10" t="s">
        <v>72</v>
      </c>
      <c r="H145" s="7" t="str">
        <f t="shared" si="0"/>
        <v>No</v>
      </c>
      <c r="I145" s="54" t="s">
        <v>55</v>
      </c>
      <c r="J145" s="8">
        <v>1</v>
      </c>
      <c r="K145" s="8" t="s">
        <v>63</v>
      </c>
      <c r="L145" s="8" t="s">
        <v>64</v>
      </c>
      <c r="M145" s="8" t="s">
        <v>64</v>
      </c>
      <c r="N145" s="8">
        <v>0</v>
      </c>
      <c r="O145" s="8">
        <v>1</v>
      </c>
      <c r="P145" s="8">
        <v>0</v>
      </c>
      <c r="Q145" s="8"/>
      <c r="R145" s="9">
        <v>0.2</v>
      </c>
      <c r="S145" s="8">
        <v>1</v>
      </c>
      <c r="T145" s="8">
        <v>0</v>
      </c>
      <c r="U145" s="8">
        <v>0</v>
      </c>
      <c r="V145" s="8">
        <v>1</v>
      </c>
      <c r="W145" s="8">
        <v>1</v>
      </c>
      <c r="X145" s="8">
        <v>0</v>
      </c>
      <c r="Y145" s="8">
        <v>0</v>
      </c>
      <c r="Z145" s="8">
        <v>0</v>
      </c>
      <c r="AA145" s="8" t="s">
        <v>104</v>
      </c>
      <c r="AB145" s="8">
        <v>0</v>
      </c>
      <c r="AC145" s="8">
        <v>0</v>
      </c>
      <c r="AD145" s="8">
        <v>0</v>
      </c>
      <c r="AE145" s="8">
        <v>0</v>
      </c>
      <c r="AF145" s="8">
        <v>0</v>
      </c>
      <c r="AG145" s="8">
        <v>1</v>
      </c>
      <c r="AH145" s="8">
        <v>0</v>
      </c>
      <c r="AI145" s="8">
        <v>1</v>
      </c>
      <c r="AJ145" s="8">
        <v>0</v>
      </c>
      <c r="AK145" s="8">
        <v>0</v>
      </c>
      <c r="AL145" s="8">
        <v>0</v>
      </c>
      <c r="AM145" s="8">
        <v>0</v>
      </c>
      <c r="AN145" s="8">
        <v>0</v>
      </c>
      <c r="AO145" s="8">
        <v>0</v>
      </c>
      <c r="AP145" s="8">
        <v>0</v>
      </c>
      <c r="AQ145" s="8">
        <v>0</v>
      </c>
      <c r="AR145" s="8">
        <v>0</v>
      </c>
      <c r="AS145" s="8">
        <v>0</v>
      </c>
      <c r="AT145" s="8">
        <v>0</v>
      </c>
      <c r="AU145" s="8">
        <v>0</v>
      </c>
      <c r="AV145" s="8">
        <v>0</v>
      </c>
      <c r="AW145" s="8">
        <v>0</v>
      </c>
      <c r="AX145" s="8">
        <v>0</v>
      </c>
      <c r="AY145" s="8">
        <v>0</v>
      </c>
      <c r="AZ145" s="8">
        <v>0</v>
      </c>
      <c r="BA145" s="8">
        <v>0</v>
      </c>
      <c r="BB145" s="8">
        <v>0</v>
      </c>
      <c r="BC145" s="8">
        <v>0</v>
      </c>
      <c r="BD145" s="8">
        <v>0</v>
      </c>
      <c r="BE145" s="8">
        <v>0</v>
      </c>
      <c r="BF145" s="8">
        <v>0</v>
      </c>
      <c r="BG145" s="8">
        <v>0</v>
      </c>
      <c r="BH145" s="8">
        <v>0</v>
      </c>
      <c r="BI145" s="8">
        <v>0</v>
      </c>
      <c r="BJ145" s="8">
        <v>0</v>
      </c>
      <c r="BK145" s="8">
        <v>0</v>
      </c>
      <c r="BL145" s="8">
        <v>0</v>
      </c>
      <c r="BM145" s="8">
        <v>0</v>
      </c>
      <c r="BN145" s="8">
        <v>0</v>
      </c>
      <c r="BO145" s="8">
        <v>0</v>
      </c>
      <c r="BP145" s="8">
        <v>0</v>
      </c>
      <c r="BQ145" s="8">
        <v>0</v>
      </c>
      <c r="BR145" s="8">
        <v>0</v>
      </c>
      <c r="BS145" s="8">
        <f t="shared" si="194"/>
        <v>1</v>
      </c>
      <c r="BT145" s="8"/>
      <c r="BU145" s="2">
        <f t="shared" si="2"/>
        <v>1</v>
      </c>
      <c r="BV145" s="2">
        <f t="shared" si="3"/>
        <v>0</v>
      </c>
      <c r="BW145" s="2">
        <f t="shared" si="4"/>
        <v>0</v>
      </c>
      <c r="BX145" s="2">
        <f t="shared" si="5"/>
        <v>0</v>
      </c>
      <c r="BY145" s="2">
        <f t="shared" si="6"/>
        <v>0</v>
      </c>
      <c r="BZ145" s="2">
        <f t="shared" ref="BZ145:CA145" si="213">SUM(AQ145)</f>
        <v>0</v>
      </c>
      <c r="CA145" s="2">
        <f t="shared" si="213"/>
        <v>0</v>
      </c>
      <c r="CB145" s="2">
        <f t="shared" si="8"/>
        <v>0</v>
      </c>
    </row>
    <row r="146" spans="1:80" ht="16" x14ac:dyDescent="0.2">
      <c r="A146" s="3" t="s">
        <v>103</v>
      </c>
      <c r="B146" s="10">
        <v>208</v>
      </c>
      <c r="C146" s="5">
        <v>1</v>
      </c>
      <c r="D146" s="10">
        <v>1</v>
      </c>
      <c r="E146" s="5">
        <v>0</v>
      </c>
      <c r="F146" s="10">
        <v>1937</v>
      </c>
      <c r="G146" s="10" t="s">
        <v>73</v>
      </c>
      <c r="H146" s="7" t="str">
        <f t="shared" si="0"/>
        <v>No</v>
      </c>
      <c r="I146" s="54" t="s">
        <v>55</v>
      </c>
      <c r="J146" s="8">
        <v>1</v>
      </c>
      <c r="K146" s="8" t="s">
        <v>63</v>
      </c>
      <c r="L146" s="8" t="s">
        <v>64</v>
      </c>
      <c r="M146" s="8" t="s">
        <v>64</v>
      </c>
      <c r="N146" s="8">
        <v>0</v>
      </c>
      <c r="O146" s="8">
        <v>1</v>
      </c>
      <c r="P146" s="8">
        <v>0</v>
      </c>
      <c r="Q146" s="8"/>
      <c r="R146" s="9">
        <v>0.2</v>
      </c>
      <c r="S146" s="8">
        <v>1</v>
      </c>
      <c r="T146" s="8">
        <v>0</v>
      </c>
      <c r="U146" s="8">
        <v>0</v>
      </c>
      <c r="V146" s="8">
        <v>1</v>
      </c>
      <c r="W146" s="8">
        <v>1</v>
      </c>
      <c r="X146" s="8">
        <v>0</v>
      </c>
      <c r="Y146" s="8">
        <v>0</v>
      </c>
      <c r="Z146" s="8">
        <v>0</v>
      </c>
      <c r="AA146" s="8" t="s">
        <v>104</v>
      </c>
      <c r="AB146" s="8">
        <v>0</v>
      </c>
      <c r="AC146" s="8">
        <v>0</v>
      </c>
      <c r="AD146" s="8">
        <v>0</v>
      </c>
      <c r="AE146" s="8">
        <v>0</v>
      </c>
      <c r="AF146" s="8">
        <v>0</v>
      </c>
      <c r="AG146" s="8">
        <v>1</v>
      </c>
      <c r="AH146" s="8">
        <v>0</v>
      </c>
      <c r="AI146" s="8">
        <v>1</v>
      </c>
      <c r="AJ146" s="8">
        <v>0</v>
      </c>
      <c r="AK146" s="8">
        <v>0</v>
      </c>
      <c r="AL146" s="8">
        <v>0</v>
      </c>
      <c r="AM146" s="8">
        <v>0</v>
      </c>
      <c r="AN146" s="8">
        <v>0</v>
      </c>
      <c r="AO146" s="8">
        <v>0</v>
      </c>
      <c r="AP146" s="8">
        <v>0</v>
      </c>
      <c r="AQ146" s="8">
        <v>0</v>
      </c>
      <c r="AR146" s="8">
        <v>0</v>
      </c>
      <c r="AS146" s="8">
        <v>0</v>
      </c>
      <c r="AT146" s="8">
        <v>0</v>
      </c>
      <c r="AU146" s="8">
        <v>0</v>
      </c>
      <c r="AV146" s="8">
        <v>0</v>
      </c>
      <c r="AW146" s="8">
        <v>0</v>
      </c>
      <c r="AX146" s="8">
        <v>0</v>
      </c>
      <c r="AY146" s="8">
        <v>0</v>
      </c>
      <c r="AZ146" s="8">
        <v>0</v>
      </c>
      <c r="BA146" s="8">
        <v>0</v>
      </c>
      <c r="BB146" s="8">
        <v>0</v>
      </c>
      <c r="BC146" s="8">
        <v>0</v>
      </c>
      <c r="BD146" s="8">
        <v>0</v>
      </c>
      <c r="BE146" s="8">
        <v>0</v>
      </c>
      <c r="BF146" s="8">
        <v>0</v>
      </c>
      <c r="BG146" s="8">
        <v>0</v>
      </c>
      <c r="BH146" s="8">
        <v>0</v>
      </c>
      <c r="BI146" s="8">
        <v>0</v>
      </c>
      <c r="BJ146" s="8">
        <v>0</v>
      </c>
      <c r="BK146" s="8">
        <v>0</v>
      </c>
      <c r="BL146" s="8">
        <v>0</v>
      </c>
      <c r="BM146" s="8">
        <v>0</v>
      </c>
      <c r="BN146" s="8">
        <v>0</v>
      </c>
      <c r="BO146" s="8">
        <v>0</v>
      </c>
      <c r="BP146" s="8">
        <v>0</v>
      </c>
      <c r="BQ146" s="8">
        <v>0</v>
      </c>
      <c r="BR146" s="8">
        <v>0</v>
      </c>
      <c r="BS146" s="8">
        <f t="shared" si="194"/>
        <v>1</v>
      </c>
      <c r="BT146" s="8"/>
      <c r="BU146" s="2">
        <f t="shared" si="2"/>
        <v>1</v>
      </c>
      <c r="BV146" s="2">
        <f t="shared" si="3"/>
        <v>0</v>
      </c>
      <c r="BW146" s="2">
        <f t="shared" si="4"/>
        <v>0</v>
      </c>
      <c r="BX146" s="2">
        <f t="shared" si="5"/>
        <v>0</v>
      </c>
      <c r="BY146" s="2">
        <f t="shared" si="6"/>
        <v>0</v>
      </c>
      <c r="BZ146" s="2">
        <f t="shared" ref="BZ146:CA146" si="214">SUM(AQ146)</f>
        <v>0</v>
      </c>
      <c r="CA146" s="2">
        <f t="shared" si="214"/>
        <v>0</v>
      </c>
      <c r="CB146" s="2">
        <f t="shared" si="8"/>
        <v>0</v>
      </c>
    </row>
    <row r="147" spans="1:80" ht="16" x14ac:dyDescent="0.2">
      <c r="A147" s="3" t="s">
        <v>103</v>
      </c>
      <c r="B147" s="10">
        <v>208</v>
      </c>
      <c r="C147" s="5">
        <v>1</v>
      </c>
      <c r="D147" s="10">
        <v>1</v>
      </c>
      <c r="E147" s="5">
        <v>0</v>
      </c>
      <c r="F147" s="10">
        <v>1937</v>
      </c>
      <c r="G147" s="10" t="s">
        <v>74</v>
      </c>
      <c r="H147" s="7" t="str">
        <f t="shared" si="0"/>
        <v>No</v>
      </c>
      <c r="I147" s="54" t="s">
        <v>55</v>
      </c>
      <c r="J147" s="8">
        <v>1</v>
      </c>
      <c r="K147" s="8" t="s">
        <v>63</v>
      </c>
      <c r="L147" s="8" t="s">
        <v>64</v>
      </c>
      <c r="M147" s="8" t="s">
        <v>64</v>
      </c>
      <c r="N147" s="8">
        <v>0</v>
      </c>
      <c r="O147" s="8">
        <v>1</v>
      </c>
      <c r="P147" s="8">
        <v>0</v>
      </c>
      <c r="Q147" s="8"/>
      <c r="R147" s="9">
        <v>0.2</v>
      </c>
      <c r="S147" s="8">
        <v>1</v>
      </c>
      <c r="T147" s="8">
        <v>0</v>
      </c>
      <c r="U147" s="8">
        <v>0</v>
      </c>
      <c r="V147" s="8">
        <v>1</v>
      </c>
      <c r="W147" s="8">
        <v>1</v>
      </c>
      <c r="X147" s="8">
        <v>0</v>
      </c>
      <c r="Y147" s="8">
        <v>0</v>
      </c>
      <c r="Z147" s="8">
        <v>0</v>
      </c>
      <c r="AA147" s="8" t="s">
        <v>104</v>
      </c>
      <c r="AB147" s="8">
        <v>0</v>
      </c>
      <c r="AC147" s="8">
        <v>0</v>
      </c>
      <c r="AD147" s="8">
        <v>0</v>
      </c>
      <c r="AE147" s="8">
        <v>0</v>
      </c>
      <c r="AF147" s="8">
        <v>0</v>
      </c>
      <c r="AG147" s="8">
        <v>1</v>
      </c>
      <c r="AH147" s="8">
        <v>0</v>
      </c>
      <c r="AI147" s="8">
        <v>1</v>
      </c>
      <c r="AJ147" s="8">
        <v>0</v>
      </c>
      <c r="AK147" s="8">
        <v>0</v>
      </c>
      <c r="AL147" s="8">
        <v>0</v>
      </c>
      <c r="AM147" s="8">
        <v>0</v>
      </c>
      <c r="AN147" s="8">
        <v>0</v>
      </c>
      <c r="AO147" s="8">
        <v>0</v>
      </c>
      <c r="AP147" s="8">
        <v>0</v>
      </c>
      <c r="AQ147" s="8">
        <v>0</v>
      </c>
      <c r="AR147" s="8">
        <v>0</v>
      </c>
      <c r="AS147" s="8">
        <v>0</v>
      </c>
      <c r="AT147" s="8">
        <v>0</v>
      </c>
      <c r="AU147" s="8">
        <v>0</v>
      </c>
      <c r="AV147" s="8">
        <v>0</v>
      </c>
      <c r="AW147" s="8">
        <v>0</v>
      </c>
      <c r="AX147" s="8">
        <v>0</v>
      </c>
      <c r="AY147" s="8">
        <v>0</v>
      </c>
      <c r="AZ147" s="8">
        <v>0</v>
      </c>
      <c r="BA147" s="8">
        <v>0</v>
      </c>
      <c r="BB147" s="8">
        <v>0</v>
      </c>
      <c r="BC147" s="8">
        <v>0</v>
      </c>
      <c r="BD147" s="8">
        <v>0</v>
      </c>
      <c r="BE147" s="8">
        <v>0</v>
      </c>
      <c r="BF147" s="8">
        <v>0</v>
      </c>
      <c r="BG147" s="8">
        <v>0</v>
      </c>
      <c r="BH147" s="8">
        <v>0</v>
      </c>
      <c r="BI147" s="8">
        <v>0</v>
      </c>
      <c r="BJ147" s="8">
        <v>0</v>
      </c>
      <c r="BK147" s="8">
        <v>0</v>
      </c>
      <c r="BL147" s="8">
        <v>0</v>
      </c>
      <c r="BM147" s="8">
        <v>0</v>
      </c>
      <c r="BN147" s="8">
        <v>0</v>
      </c>
      <c r="BO147" s="8">
        <v>0</v>
      </c>
      <c r="BP147" s="8">
        <v>0</v>
      </c>
      <c r="BQ147" s="8">
        <v>0</v>
      </c>
      <c r="BR147" s="8">
        <v>0</v>
      </c>
      <c r="BS147" s="8">
        <f t="shared" si="194"/>
        <v>1</v>
      </c>
      <c r="BT147" s="8"/>
      <c r="BU147" s="2">
        <f t="shared" si="2"/>
        <v>1</v>
      </c>
      <c r="BV147" s="2">
        <f t="shared" si="3"/>
        <v>0</v>
      </c>
      <c r="BW147" s="2">
        <f t="shared" si="4"/>
        <v>0</v>
      </c>
      <c r="BX147" s="2">
        <f t="shared" si="5"/>
        <v>0</v>
      </c>
      <c r="BY147" s="2">
        <f t="shared" si="6"/>
        <v>0</v>
      </c>
      <c r="BZ147" s="2">
        <f t="shared" ref="BZ147:CA147" si="215">SUM(AQ147)</f>
        <v>0</v>
      </c>
      <c r="CA147" s="2">
        <f t="shared" si="215"/>
        <v>0</v>
      </c>
      <c r="CB147" s="2">
        <f t="shared" si="8"/>
        <v>0</v>
      </c>
    </row>
    <row r="148" spans="1:80" ht="16" x14ac:dyDescent="0.2">
      <c r="A148" s="3" t="s">
        <v>103</v>
      </c>
      <c r="B148" s="10">
        <v>208</v>
      </c>
      <c r="C148" s="5">
        <v>1</v>
      </c>
      <c r="D148" s="10">
        <v>1</v>
      </c>
      <c r="E148" s="5">
        <v>0</v>
      </c>
      <c r="F148" s="10">
        <v>1937</v>
      </c>
      <c r="G148" s="10" t="s">
        <v>75</v>
      </c>
      <c r="H148" s="7" t="str">
        <f t="shared" si="0"/>
        <v>No</v>
      </c>
      <c r="I148" s="54" t="s">
        <v>55</v>
      </c>
      <c r="J148" s="8">
        <v>1</v>
      </c>
      <c r="K148" s="8" t="s">
        <v>63</v>
      </c>
      <c r="L148" s="8" t="s">
        <v>64</v>
      </c>
      <c r="M148" s="8" t="s">
        <v>64</v>
      </c>
      <c r="N148" s="8">
        <v>0</v>
      </c>
      <c r="O148" s="8">
        <v>1</v>
      </c>
      <c r="P148" s="8">
        <v>0</v>
      </c>
      <c r="Q148" s="8"/>
      <c r="R148" s="9">
        <v>0.2</v>
      </c>
      <c r="S148" s="8">
        <v>1</v>
      </c>
      <c r="T148" s="8">
        <v>0</v>
      </c>
      <c r="U148" s="8">
        <v>0</v>
      </c>
      <c r="V148" s="8">
        <v>1</v>
      </c>
      <c r="W148" s="8">
        <v>1</v>
      </c>
      <c r="X148" s="8">
        <v>0</v>
      </c>
      <c r="Y148" s="8">
        <v>0</v>
      </c>
      <c r="Z148" s="8">
        <v>0</v>
      </c>
      <c r="AA148" s="8" t="s">
        <v>104</v>
      </c>
      <c r="AB148" s="8">
        <v>0</v>
      </c>
      <c r="AC148" s="8">
        <v>0</v>
      </c>
      <c r="AD148" s="8">
        <v>0</v>
      </c>
      <c r="AE148" s="8">
        <v>0</v>
      </c>
      <c r="AF148" s="8">
        <v>0</v>
      </c>
      <c r="AG148" s="8">
        <v>1</v>
      </c>
      <c r="AH148" s="8">
        <v>0</v>
      </c>
      <c r="AI148" s="8">
        <v>1</v>
      </c>
      <c r="AJ148" s="8">
        <v>0</v>
      </c>
      <c r="AK148" s="8">
        <v>0</v>
      </c>
      <c r="AL148" s="8">
        <v>0</v>
      </c>
      <c r="AM148" s="8">
        <v>0</v>
      </c>
      <c r="AN148" s="8">
        <v>0</v>
      </c>
      <c r="AO148" s="8">
        <v>0</v>
      </c>
      <c r="AP148" s="8">
        <v>0</v>
      </c>
      <c r="AQ148" s="8">
        <v>0</v>
      </c>
      <c r="AR148" s="8">
        <v>0</v>
      </c>
      <c r="AS148" s="8">
        <v>0</v>
      </c>
      <c r="AT148" s="8">
        <v>0</v>
      </c>
      <c r="AU148" s="8">
        <v>0</v>
      </c>
      <c r="AV148" s="8">
        <v>0</v>
      </c>
      <c r="AW148" s="8">
        <v>0</v>
      </c>
      <c r="AX148" s="8">
        <v>0</v>
      </c>
      <c r="AY148" s="8">
        <v>0</v>
      </c>
      <c r="AZ148" s="8">
        <v>0</v>
      </c>
      <c r="BA148" s="8">
        <v>0</v>
      </c>
      <c r="BB148" s="8">
        <v>0</v>
      </c>
      <c r="BC148" s="8">
        <v>0</v>
      </c>
      <c r="BD148" s="8">
        <v>0</v>
      </c>
      <c r="BE148" s="8">
        <v>0</v>
      </c>
      <c r="BF148" s="8">
        <v>0</v>
      </c>
      <c r="BG148" s="8">
        <v>0</v>
      </c>
      <c r="BH148" s="8">
        <v>0</v>
      </c>
      <c r="BI148" s="8">
        <v>0</v>
      </c>
      <c r="BJ148" s="8">
        <v>0</v>
      </c>
      <c r="BK148" s="8">
        <v>0</v>
      </c>
      <c r="BL148" s="8">
        <v>0</v>
      </c>
      <c r="BM148" s="8">
        <v>0</v>
      </c>
      <c r="BN148" s="8">
        <v>0</v>
      </c>
      <c r="BO148" s="8">
        <v>0</v>
      </c>
      <c r="BP148" s="8">
        <v>0</v>
      </c>
      <c r="BQ148" s="8">
        <v>0</v>
      </c>
      <c r="BR148" s="8">
        <v>0</v>
      </c>
      <c r="BS148" s="8">
        <f t="shared" si="194"/>
        <v>1</v>
      </c>
      <c r="BT148" s="8"/>
      <c r="BU148" s="2">
        <f t="shared" si="2"/>
        <v>1</v>
      </c>
      <c r="BV148" s="2">
        <f t="shared" si="3"/>
        <v>0</v>
      </c>
      <c r="BW148" s="2">
        <f t="shared" si="4"/>
        <v>0</v>
      </c>
      <c r="BX148" s="2">
        <f t="shared" si="5"/>
        <v>0</v>
      </c>
      <c r="BY148" s="2">
        <f t="shared" si="6"/>
        <v>0</v>
      </c>
      <c r="BZ148" s="2">
        <f t="shared" ref="BZ148:CA148" si="216">SUM(AQ148)</f>
        <v>0</v>
      </c>
      <c r="CA148" s="2">
        <f t="shared" si="216"/>
        <v>0</v>
      </c>
      <c r="CB148" s="2">
        <f t="shared" si="8"/>
        <v>0</v>
      </c>
    </row>
    <row r="149" spans="1:80" ht="16" x14ac:dyDescent="0.2">
      <c r="A149" s="3" t="s">
        <v>103</v>
      </c>
      <c r="B149" s="10">
        <v>208</v>
      </c>
      <c r="C149" s="5">
        <v>1</v>
      </c>
      <c r="D149" s="10">
        <v>1</v>
      </c>
      <c r="E149" s="5">
        <v>0</v>
      </c>
      <c r="F149" s="10">
        <v>1937</v>
      </c>
      <c r="G149" s="10" t="s">
        <v>76</v>
      </c>
      <c r="H149" s="7" t="str">
        <f t="shared" si="0"/>
        <v>No</v>
      </c>
      <c r="I149" s="54" t="s">
        <v>55</v>
      </c>
      <c r="J149" s="8">
        <v>1</v>
      </c>
      <c r="K149" s="8" t="s">
        <v>63</v>
      </c>
      <c r="L149" s="8" t="s">
        <v>64</v>
      </c>
      <c r="M149" s="8" t="s">
        <v>64</v>
      </c>
      <c r="N149" s="8">
        <v>0</v>
      </c>
      <c r="O149" s="8">
        <v>1</v>
      </c>
      <c r="P149" s="8">
        <v>0</v>
      </c>
      <c r="Q149" s="8"/>
      <c r="R149" s="9">
        <v>0.2</v>
      </c>
      <c r="S149" s="8">
        <v>1</v>
      </c>
      <c r="T149" s="8">
        <v>0</v>
      </c>
      <c r="U149" s="8">
        <v>0</v>
      </c>
      <c r="V149" s="8">
        <v>1</v>
      </c>
      <c r="W149" s="8">
        <v>1</v>
      </c>
      <c r="X149" s="8">
        <v>0</v>
      </c>
      <c r="Y149" s="8">
        <v>0</v>
      </c>
      <c r="Z149" s="8">
        <v>0</v>
      </c>
      <c r="AA149" s="8" t="s">
        <v>104</v>
      </c>
      <c r="AB149" s="8">
        <v>0</v>
      </c>
      <c r="AC149" s="8">
        <v>0</v>
      </c>
      <c r="AD149" s="8">
        <v>0</v>
      </c>
      <c r="AE149" s="8">
        <v>0</v>
      </c>
      <c r="AF149" s="8">
        <v>0</v>
      </c>
      <c r="AG149" s="8">
        <v>1</v>
      </c>
      <c r="AH149" s="8">
        <v>0</v>
      </c>
      <c r="AI149" s="8">
        <v>1</v>
      </c>
      <c r="AJ149" s="8">
        <v>0</v>
      </c>
      <c r="AK149" s="8">
        <v>0</v>
      </c>
      <c r="AL149" s="8">
        <v>0</v>
      </c>
      <c r="AM149" s="8">
        <v>0</v>
      </c>
      <c r="AN149" s="8">
        <v>0</v>
      </c>
      <c r="AO149" s="8">
        <v>0</v>
      </c>
      <c r="AP149" s="8">
        <v>0</v>
      </c>
      <c r="AQ149" s="8">
        <v>0</v>
      </c>
      <c r="AR149" s="8">
        <v>0</v>
      </c>
      <c r="AS149" s="8">
        <v>0</v>
      </c>
      <c r="AT149" s="8">
        <v>0</v>
      </c>
      <c r="AU149" s="8">
        <v>0</v>
      </c>
      <c r="AV149" s="8">
        <v>0</v>
      </c>
      <c r="AW149" s="8">
        <v>0</v>
      </c>
      <c r="AX149" s="8">
        <v>0</v>
      </c>
      <c r="AY149" s="8">
        <v>0</v>
      </c>
      <c r="AZ149" s="8">
        <v>0</v>
      </c>
      <c r="BA149" s="8">
        <v>0</v>
      </c>
      <c r="BB149" s="8">
        <v>0</v>
      </c>
      <c r="BC149" s="8">
        <v>0</v>
      </c>
      <c r="BD149" s="8">
        <v>0</v>
      </c>
      <c r="BE149" s="8">
        <v>0</v>
      </c>
      <c r="BF149" s="8">
        <v>0</v>
      </c>
      <c r="BG149" s="8">
        <v>0</v>
      </c>
      <c r="BH149" s="8">
        <v>0</v>
      </c>
      <c r="BI149" s="8">
        <v>0</v>
      </c>
      <c r="BJ149" s="8">
        <v>0</v>
      </c>
      <c r="BK149" s="8">
        <v>0</v>
      </c>
      <c r="BL149" s="8">
        <v>0</v>
      </c>
      <c r="BM149" s="8">
        <v>0</v>
      </c>
      <c r="BN149" s="8">
        <v>0</v>
      </c>
      <c r="BO149" s="8">
        <v>0</v>
      </c>
      <c r="BP149" s="8">
        <v>0</v>
      </c>
      <c r="BQ149" s="8">
        <v>0</v>
      </c>
      <c r="BR149" s="8">
        <v>0</v>
      </c>
      <c r="BS149" s="8">
        <f t="shared" si="194"/>
        <v>1</v>
      </c>
      <c r="BT149" s="8"/>
      <c r="BU149" s="2">
        <f t="shared" si="2"/>
        <v>1</v>
      </c>
      <c r="BV149" s="2">
        <f t="shared" si="3"/>
        <v>0</v>
      </c>
      <c r="BW149" s="2">
        <f t="shared" si="4"/>
        <v>0</v>
      </c>
      <c r="BX149" s="2">
        <f t="shared" si="5"/>
        <v>0</v>
      </c>
      <c r="BY149" s="2">
        <f t="shared" si="6"/>
        <v>0</v>
      </c>
      <c r="BZ149" s="2">
        <f t="shared" ref="BZ149:CA149" si="217">SUM(AQ149)</f>
        <v>0</v>
      </c>
      <c r="CA149" s="2">
        <f t="shared" si="217"/>
        <v>0</v>
      </c>
      <c r="CB149" s="2">
        <f t="shared" si="8"/>
        <v>0</v>
      </c>
    </row>
    <row r="150" spans="1:80" ht="16" x14ac:dyDescent="0.2">
      <c r="A150" s="3" t="s">
        <v>103</v>
      </c>
      <c r="B150" s="10">
        <v>208</v>
      </c>
      <c r="C150" s="5">
        <v>1</v>
      </c>
      <c r="D150" s="10">
        <v>1</v>
      </c>
      <c r="E150" s="5">
        <v>0</v>
      </c>
      <c r="F150" s="10">
        <v>1937</v>
      </c>
      <c r="G150" s="10" t="s">
        <v>77</v>
      </c>
      <c r="H150" s="7" t="str">
        <f t="shared" si="0"/>
        <v>No</v>
      </c>
      <c r="I150" s="54" t="s">
        <v>55</v>
      </c>
      <c r="J150" s="8">
        <v>1</v>
      </c>
      <c r="K150" s="8" t="s">
        <v>63</v>
      </c>
      <c r="L150" s="8" t="s">
        <v>64</v>
      </c>
      <c r="M150" s="8" t="s">
        <v>64</v>
      </c>
      <c r="N150" s="8">
        <v>0</v>
      </c>
      <c r="O150" s="8">
        <v>1</v>
      </c>
      <c r="P150" s="8">
        <v>0</v>
      </c>
      <c r="Q150" s="8"/>
      <c r="R150" s="9">
        <v>0.2</v>
      </c>
      <c r="S150" s="8">
        <v>1</v>
      </c>
      <c r="T150" s="8">
        <v>0</v>
      </c>
      <c r="U150" s="8">
        <v>0</v>
      </c>
      <c r="V150" s="8">
        <v>1</v>
      </c>
      <c r="W150" s="8">
        <v>1</v>
      </c>
      <c r="X150" s="8">
        <v>0</v>
      </c>
      <c r="Y150" s="8">
        <v>0</v>
      </c>
      <c r="Z150" s="8">
        <v>0</v>
      </c>
      <c r="AA150" s="8" t="s">
        <v>104</v>
      </c>
      <c r="AB150" s="8">
        <v>0</v>
      </c>
      <c r="AC150" s="8">
        <v>0</v>
      </c>
      <c r="AD150" s="8">
        <v>0</v>
      </c>
      <c r="AE150" s="8">
        <v>0</v>
      </c>
      <c r="AF150" s="8">
        <v>0</v>
      </c>
      <c r="AG150" s="8">
        <v>1</v>
      </c>
      <c r="AH150" s="8">
        <v>0</v>
      </c>
      <c r="AI150" s="8">
        <v>1</v>
      </c>
      <c r="AJ150" s="8">
        <v>0</v>
      </c>
      <c r="AK150" s="8">
        <v>0</v>
      </c>
      <c r="AL150" s="8">
        <v>0</v>
      </c>
      <c r="AM150" s="8">
        <v>0</v>
      </c>
      <c r="AN150" s="8">
        <v>0</v>
      </c>
      <c r="AO150" s="8">
        <v>0</v>
      </c>
      <c r="AP150" s="8">
        <v>0</v>
      </c>
      <c r="AQ150" s="8">
        <v>0</v>
      </c>
      <c r="AR150" s="8">
        <v>0</v>
      </c>
      <c r="AS150" s="8">
        <v>0</v>
      </c>
      <c r="AT150" s="8">
        <v>0</v>
      </c>
      <c r="AU150" s="8">
        <v>0</v>
      </c>
      <c r="AV150" s="8">
        <v>0</v>
      </c>
      <c r="AW150" s="8">
        <v>0</v>
      </c>
      <c r="AX150" s="8">
        <v>0</v>
      </c>
      <c r="AY150" s="8">
        <v>0</v>
      </c>
      <c r="AZ150" s="8">
        <v>0</v>
      </c>
      <c r="BA150" s="8">
        <v>0</v>
      </c>
      <c r="BB150" s="8">
        <v>0</v>
      </c>
      <c r="BC150" s="8">
        <v>0</v>
      </c>
      <c r="BD150" s="8">
        <v>0</v>
      </c>
      <c r="BE150" s="8">
        <v>0</v>
      </c>
      <c r="BF150" s="8">
        <v>0</v>
      </c>
      <c r="BG150" s="8">
        <v>0</v>
      </c>
      <c r="BH150" s="8">
        <v>0</v>
      </c>
      <c r="BI150" s="8">
        <v>0</v>
      </c>
      <c r="BJ150" s="8">
        <v>0</v>
      </c>
      <c r="BK150" s="8">
        <v>0</v>
      </c>
      <c r="BL150" s="8">
        <v>0</v>
      </c>
      <c r="BM150" s="8">
        <v>0</v>
      </c>
      <c r="BN150" s="8">
        <v>0</v>
      </c>
      <c r="BO150" s="8">
        <v>0</v>
      </c>
      <c r="BP150" s="8">
        <v>0</v>
      </c>
      <c r="BQ150" s="8">
        <v>0</v>
      </c>
      <c r="BR150" s="8">
        <v>0</v>
      </c>
      <c r="BS150" s="8">
        <f t="shared" si="194"/>
        <v>1</v>
      </c>
      <c r="BT150" s="8"/>
      <c r="BU150" s="2">
        <f t="shared" si="2"/>
        <v>1</v>
      </c>
      <c r="BV150" s="2">
        <f t="shared" si="3"/>
        <v>0</v>
      </c>
      <c r="BW150" s="2">
        <f t="shared" si="4"/>
        <v>0</v>
      </c>
      <c r="BX150" s="2">
        <f t="shared" si="5"/>
        <v>0</v>
      </c>
      <c r="BY150" s="2">
        <f t="shared" si="6"/>
        <v>0</v>
      </c>
      <c r="BZ150" s="2">
        <f t="shared" ref="BZ150:CA150" si="218">SUM(AQ150)</f>
        <v>0</v>
      </c>
      <c r="CA150" s="2">
        <f t="shared" si="218"/>
        <v>0</v>
      </c>
      <c r="CB150" s="2">
        <f t="shared" si="8"/>
        <v>0</v>
      </c>
    </row>
    <row r="151" spans="1:80" ht="16" x14ac:dyDescent="0.2">
      <c r="A151" s="3" t="s">
        <v>103</v>
      </c>
      <c r="B151" s="10">
        <v>208</v>
      </c>
      <c r="C151" s="5">
        <v>1</v>
      </c>
      <c r="D151" s="10">
        <v>1</v>
      </c>
      <c r="E151" s="5">
        <v>0</v>
      </c>
      <c r="F151" s="10">
        <v>1937</v>
      </c>
      <c r="G151" s="10" t="s">
        <v>78</v>
      </c>
      <c r="H151" s="7" t="str">
        <f t="shared" si="0"/>
        <v>No</v>
      </c>
      <c r="I151" s="54" t="s">
        <v>55</v>
      </c>
      <c r="J151" s="8">
        <v>1</v>
      </c>
      <c r="K151" s="8" t="s">
        <v>63</v>
      </c>
      <c r="L151" s="8" t="s">
        <v>64</v>
      </c>
      <c r="M151" s="8" t="s">
        <v>64</v>
      </c>
      <c r="N151" s="8">
        <v>0</v>
      </c>
      <c r="O151" s="8">
        <v>1</v>
      </c>
      <c r="P151" s="8">
        <v>0</v>
      </c>
      <c r="Q151" s="8"/>
      <c r="R151" s="9">
        <v>0.2</v>
      </c>
      <c r="S151" s="8">
        <v>1</v>
      </c>
      <c r="T151" s="8">
        <v>0</v>
      </c>
      <c r="U151" s="8">
        <v>0</v>
      </c>
      <c r="V151" s="8">
        <v>1</v>
      </c>
      <c r="W151" s="8">
        <v>1</v>
      </c>
      <c r="X151" s="8">
        <v>0</v>
      </c>
      <c r="Y151" s="8">
        <v>0</v>
      </c>
      <c r="Z151" s="8">
        <v>0</v>
      </c>
      <c r="AA151" s="8" t="s">
        <v>104</v>
      </c>
      <c r="AB151" s="8">
        <v>0</v>
      </c>
      <c r="AC151" s="8">
        <v>0</v>
      </c>
      <c r="AD151" s="8">
        <v>0</v>
      </c>
      <c r="AE151" s="8">
        <v>0</v>
      </c>
      <c r="AF151" s="8">
        <v>0</v>
      </c>
      <c r="AG151" s="8">
        <v>1</v>
      </c>
      <c r="AH151" s="8">
        <v>0</v>
      </c>
      <c r="AI151" s="8">
        <v>1</v>
      </c>
      <c r="AJ151" s="8">
        <v>0</v>
      </c>
      <c r="AK151" s="8">
        <v>0</v>
      </c>
      <c r="AL151" s="8">
        <v>0</v>
      </c>
      <c r="AM151" s="8">
        <v>0</v>
      </c>
      <c r="AN151" s="8">
        <v>0</v>
      </c>
      <c r="AO151" s="8">
        <v>0</v>
      </c>
      <c r="AP151" s="8">
        <v>0</v>
      </c>
      <c r="AQ151" s="8">
        <v>0</v>
      </c>
      <c r="AR151" s="8">
        <v>0</v>
      </c>
      <c r="AS151" s="8">
        <v>0</v>
      </c>
      <c r="AT151" s="8">
        <v>0</v>
      </c>
      <c r="AU151" s="8">
        <v>0</v>
      </c>
      <c r="AV151" s="8">
        <v>0</v>
      </c>
      <c r="AW151" s="8">
        <v>0</v>
      </c>
      <c r="AX151" s="8">
        <v>0</v>
      </c>
      <c r="AY151" s="8">
        <v>0</v>
      </c>
      <c r="AZ151" s="8">
        <v>0</v>
      </c>
      <c r="BA151" s="8">
        <v>0</v>
      </c>
      <c r="BB151" s="8">
        <v>0</v>
      </c>
      <c r="BC151" s="8">
        <v>0</v>
      </c>
      <c r="BD151" s="8">
        <v>0</v>
      </c>
      <c r="BE151" s="8">
        <v>0</v>
      </c>
      <c r="BF151" s="8">
        <v>0</v>
      </c>
      <c r="BG151" s="8">
        <v>0</v>
      </c>
      <c r="BH151" s="8">
        <v>0</v>
      </c>
      <c r="BI151" s="8">
        <v>0</v>
      </c>
      <c r="BJ151" s="8">
        <v>0</v>
      </c>
      <c r="BK151" s="8">
        <v>0</v>
      </c>
      <c r="BL151" s="8">
        <v>0</v>
      </c>
      <c r="BM151" s="8">
        <v>0</v>
      </c>
      <c r="BN151" s="8">
        <v>0</v>
      </c>
      <c r="BO151" s="8">
        <v>0</v>
      </c>
      <c r="BP151" s="8">
        <v>0</v>
      </c>
      <c r="BQ151" s="8">
        <v>0</v>
      </c>
      <c r="BR151" s="8">
        <v>0</v>
      </c>
      <c r="BS151" s="8">
        <f t="shared" si="194"/>
        <v>1</v>
      </c>
      <c r="BT151" s="8"/>
      <c r="BU151" s="2">
        <f t="shared" si="2"/>
        <v>1</v>
      </c>
      <c r="BV151" s="2">
        <f t="shared" si="3"/>
        <v>0</v>
      </c>
      <c r="BW151" s="2">
        <f t="shared" si="4"/>
        <v>0</v>
      </c>
      <c r="BX151" s="2">
        <f t="shared" si="5"/>
        <v>0</v>
      </c>
      <c r="BY151" s="2">
        <f t="shared" si="6"/>
        <v>0</v>
      </c>
      <c r="BZ151" s="2">
        <f t="shared" ref="BZ151:CA151" si="219">SUM(AQ151)</f>
        <v>0</v>
      </c>
      <c r="CA151" s="2">
        <f t="shared" si="219"/>
        <v>0</v>
      </c>
      <c r="CB151" s="2">
        <f t="shared" si="8"/>
        <v>0</v>
      </c>
    </row>
    <row r="152" spans="1:80" ht="15" customHeight="1" x14ac:dyDescent="0.2">
      <c r="A152" s="3" t="s">
        <v>103</v>
      </c>
      <c r="B152" s="10">
        <v>208</v>
      </c>
      <c r="C152" s="5">
        <v>1</v>
      </c>
      <c r="D152" s="10">
        <v>1</v>
      </c>
      <c r="E152" s="5">
        <v>0</v>
      </c>
      <c r="F152" s="10">
        <v>1937</v>
      </c>
      <c r="G152" s="10" t="s">
        <v>79</v>
      </c>
      <c r="H152" s="7" t="str">
        <f t="shared" si="0"/>
        <v>No</v>
      </c>
      <c r="I152" s="54" t="s">
        <v>55</v>
      </c>
      <c r="J152" s="8">
        <v>1</v>
      </c>
      <c r="K152" s="8" t="s">
        <v>63</v>
      </c>
      <c r="L152" s="8" t="s">
        <v>64</v>
      </c>
      <c r="M152" s="8" t="s">
        <v>64</v>
      </c>
      <c r="N152" s="8">
        <v>0</v>
      </c>
      <c r="O152" s="8">
        <v>1</v>
      </c>
      <c r="P152" s="8">
        <v>0</v>
      </c>
      <c r="Q152" s="8"/>
      <c r="R152" s="9">
        <v>0.2</v>
      </c>
      <c r="S152" s="8">
        <v>1</v>
      </c>
      <c r="T152" s="8">
        <v>0</v>
      </c>
      <c r="U152" s="8">
        <v>0</v>
      </c>
      <c r="V152" s="8">
        <v>1</v>
      </c>
      <c r="W152" s="8">
        <v>1</v>
      </c>
      <c r="X152" s="8">
        <v>0</v>
      </c>
      <c r="Y152" s="8">
        <v>0</v>
      </c>
      <c r="Z152" s="8">
        <v>0</v>
      </c>
      <c r="AA152" s="8" t="s">
        <v>104</v>
      </c>
      <c r="AB152" s="8">
        <v>0</v>
      </c>
      <c r="AC152" s="8">
        <v>0</v>
      </c>
      <c r="AD152" s="8">
        <v>0</v>
      </c>
      <c r="AE152" s="8">
        <v>0</v>
      </c>
      <c r="AF152" s="8">
        <v>0</v>
      </c>
      <c r="AG152" s="8">
        <v>1</v>
      </c>
      <c r="AH152" s="8">
        <v>0</v>
      </c>
      <c r="AI152" s="8">
        <v>1</v>
      </c>
      <c r="AJ152" s="8">
        <v>0</v>
      </c>
      <c r="AK152" s="8">
        <v>0</v>
      </c>
      <c r="AL152" s="8">
        <v>0</v>
      </c>
      <c r="AM152" s="8">
        <v>0</v>
      </c>
      <c r="AN152" s="8">
        <v>0</v>
      </c>
      <c r="AO152" s="8">
        <v>0</v>
      </c>
      <c r="AP152" s="8">
        <v>0</v>
      </c>
      <c r="AQ152" s="8">
        <v>0</v>
      </c>
      <c r="AR152" s="8">
        <v>0</v>
      </c>
      <c r="AS152" s="8">
        <v>0</v>
      </c>
      <c r="AT152" s="8">
        <v>0</v>
      </c>
      <c r="AU152" s="8">
        <v>0</v>
      </c>
      <c r="AV152" s="8">
        <v>0</v>
      </c>
      <c r="AW152" s="8">
        <v>0</v>
      </c>
      <c r="AX152" s="8">
        <v>0</v>
      </c>
      <c r="AY152" s="8">
        <v>0</v>
      </c>
      <c r="AZ152" s="8">
        <v>0</v>
      </c>
      <c r="BA152" s="8">
        <v>0</v>
      </c>
      <c r="BB152" s="8">
        <v>0</v>
      </c>
      <c r="BC152" s="8">
        <v>0</v>
      </c>
      <c r="BD152" s="8">
        <v>0</v>
      </c>
      <c r="BE152" s="8">
        <v>0</v>
      </c>
      <c r="BF152" s="8">
        <v>0</v>
      </c>
      <c r="BG152" s="8">
        <v>0</v>
      </c>
      <c r="BH152" s="8">
        <v>0</v>
      </c>
      <c r="BI152" s="8">
        <v>0</v>
      </c>
      <c r="BJ152" s="8">
        <v>0</v>
      </c>
      <c r="BK152" s="8">
        <v>0</v>
      </c>
      <c r="BL152" s="8">
        <v>0</v>
      </c>
      <c r="BM152" s="8">
        <v>0</v>
      </c>
      <c r="BN152" s="8">
        <v>0</v>
      </c>
      <c r="BO152" s="8">
        <v>0</v>
      </c>
      <c r="BP152" s="8">
        <v>0</v>
      </c>
      <c r="BQ152" s="8">
        <v>0</v>
      </c>
      <c r="BR152" s="8">
        <v>0</v>
      </c>
      <c r="BS152" s="8">
        <f t="shared" si="194"/>
        <v>1</v>
      </c>
      <c r="BT152" s="8"/>
      <c r="BU152" s="2">
        <f t="shared" si="2"/>
        <v>1</v>
      </c>
      <c r="BV152" s="2">
        <f t="shared" si="3"/>
        <v>0</v>
      </c>
      <c r="BW152" s="2">
        <f t="shared" si="4"/>
        <v>0</v>
      </c>
      <c r="BX152" s="2">
        <f t="shared" si="5"/>
        <v>0</v>
      </c>
      <c r="BY152" s="2">
        <f t="shared" si="6"/>
        <v>0</v>
      </c>
      <c r="BZ152" s="2">
        <f t="shared" ref="BZ152:CA152" si="220">SUM(AQ152)</f>
        <v>0</v>
      </c>
      <c r="CA152" s="2">
        <f t="shared" si="220"/>
        <v>0</v>
      </c>
      <c r="CB152" s="2">
        <f t="shared" si="8"/>
        <v>0</v>
      </c>
    </row>
    <row r="153" spans="1:80" ht="15" customHeight="1" x14ac:dyDescent="0.2">
      <c r="A153" s="3" t="s">
        <v>103</v>
      </c>
      <c r="B153" s="10">
        <v>208</v>
      </c>
      <c r="C153" s="5">
        <v>1</v>
      </c>
      <c r="D153" s="10">
        <v>1</v>
      </c>
      <c r="E153" s="5">
        <v>0</v>
      </c>
      <c r="F153" s="10">
        <v>1937</v>
      </c>
      <c r="G153" s="10" t="s">
        <v>80</v>
      </c>
      <c r="H153" s="7" t="str">
        <f t="shared" si="0"/>
        <v>Yes</v>
      </c>
      <c r="I153" s="54" t="s">
        <v>56</v>
      </c>
      <c r="J153" s="8">
        <v>2</v>
      </c>
      <c r="K153" s="8" t="s">
        <v>59</v>
      </c>
      <c r="L153" s="8" t="s">
        <v>52</v>
      </c>
      <c r="M153" s="8" t="s">
        <v>52</v>
      </c>
      <c r="N153" s="8">
        <v>1</v>
      </c>
      <c r="O153" s="8">
        <v>1</v>
      </c>
      <c r="P153" s="8">
        <v>0</v>
      </c>
      <c r="Q153" s="8" t="s">
        <v>65</v>
      </c>
      <c r="R153" s="9">
        <v>0.1</v>
      </c>
      <c r="S153" s="8">
        <v>1</v>
      </c>
      <c r="T153" s="8">
        <v>0</v>
      </c>
      <c r="U153" s="8">
        <v>1</v>
      </c>
      <c r="V153" s="8">
        <v>0</v>
      </c>
      <c r="W153" s="8">
        <v>1</v>
      </c>
      <c r="X153" s="8">
        <v>0</v>
      </c>
      <c r="Y153" s="8">
        <v>0</v>
      </c>
      <c r="Z153" s="8">
        <v>0</v>
      </c>
      <c r="AA153" s="8" t="s">
        <v>105</v>
      </c>
      <c r="AB153" s="8">
        <v>1</v>
      </c>
      <c r="AC153" s="8">
        <v>0</v>
      </c>
      <c r="AD153" s="8">
        <v>0</v>
      </c>
      <c r="AE153" s="8">
        <v>0</v>
      </c>
      <c r="AF153" s="8">
        <v>1</v>
      </c>
      <c r="AG153" s="8">
        <v>0.5</v>
      </c>
      <c r="AH153" s="8">
        <v>0</v>
      </c>
      <c r="AI153" s="8">
        <v>1</v>
      </c>
      <c r="AJ153" s="8">
        <v>1</v>
      </c>
      <c r="AK153" s="8">
        <v>1</v>
      </c>
      <c r="AL153" s="8">
        <v>1</v>
      </c>
      <c r="AM153" s="8">
        <v>1</v>
      </c>
      <c r="AN153" s="8">
        <v>1</v>
      </c>
      <c r="AO153" s="8">
        <v>0</v>
      </c>
      <c r="AP153" s="8">
        <v>1</v>
      </c>
      <c r="AQ153" s="8">
        <v>1</v>
      </c>
      <c r="AR153" s="8">
        <v>1</v>
      </c>
      <c r="AS153" s="8">
        <v>0</v>
      </c>
      <c r="AT153" s="8">
        <v>1</v>
      </c>
      <c r="AU153" s="8">
        <v>1</v>
      </c>
      <c r="AV153" s="8">
        <v>1</v>
      </c>
      <c r="AW153" s="8">
        <v>1</v>
      </c>
      <c r="AX153" s="8">
        <v>0</v>
      </c>
      <c r="AY153" s="8">
        <v>1</v>
      </c>
      <c r="AZ153" s="8">
        <v>1</v>
      </c>
      <c r="BA153" s="8">
        <v>0</v>
      </c>
      <c r="BB153" s="8">
        <v>0</v>
      </c>
      <c r="BC153" s="8">
        <v>0</v>
      </c>
      <c r="BD153" s="8">
        <v>0</v>
      </c>
      <c r="BE153" s="8">
        <v>1</v>
      </c>
      <c r="BF153" s="8">
        <v>0</v>
      </c>
      <c r="BG153" s="8">
        <v>0</v>
      </c>
      <c r="BH153" s="8">
        <v>0</v>
      </c>
      <c r="BI153" s="8">
        <v>0</v>
      </c>
      <c r="BJ153" s="8">
        <v>1</v>
      </c>
      <c r="BK153" s="8">
        <v>1</v>
      </c>
      <c r="BL153" s="8">
        <v>1</v>
      </c>
      <c r="BM153" s="8">
        <v>1</v>
      </c>
      <c r="BN153" s="8">
        <v>0</v>
      </c>
      <c r="BO153" s="8">
        <v>0</v>
      </c>
      <c r="BP153" s="8">
        <v>0</v>
      </c>
      <c r="BQ153" s="8">
        <v>1</v>
      </c>
      <c r="BR153" s="8">
        <v>1</v>
      </c>
      <c r="BS153" s="8">
        <f t="shared" si="194"/>
        <v>22</v>
      </c>
      <c r="BT153" s="8"/>
      <c r="BU153" s="2">
        <f t="shared" si="2"/>
        <v>2</v>
      </c>
      <c r="BV153" s="2">
        <f t="shared" si="3"/>
        <v>6</v>
      </c>
      <c r="BW153" s="2">
        <f t="shared" si="4"/>
        <v>1</v>
      </c>
      <c r="BX153" s="2">
        <f t="shared" si="5"/>
        <v>10</v>
      </c>
      <c r="BY153" s="2">
        <f t="shared" si="6"/>
        <v>0</v>
      </c>
      <c r="BZ153" s="2">
        <f t="shared" ref="BZ153:CA153" si="221">SUM(AQ153)</f>
        <v>1</v>
      </c>
      <c r="CA153" s="2">
        <f t="shared" si="221"/>
        <v>1</v>
      </c>
      <c r="CB153" s="2">
        <f t="shared" si="8"/>
        <v>1</v>
      </c>
    </row>
    <row r="154" spans="1:80" ht="16" x14ac:dyDescent="0.2">
      <c r="A154" s="3" t="s">
        <v>103</v>
      </c>
      <c r="B154" s="10">
        <v>208</v>
      </c>
      <c r="C154" s="5">
        <v>1</v>
      </c>
      <c r="D154" s="10">
        <v>1</v>
      </c>
      <c r="E154" s="5">
        <v>0</v>
      </c>
      <c r="F154" s="10">
        <v>1937</v>
      </c>
      <c r="G154" s="10">
        <v>2022</v>
      </c>
      <c r="H154" s="7" t="str">
        <f t="shared" si="0"/>
        <v>No</v>
      </c>
      <c r="I154" s="54" t="s">
        <v>55</v>
      </c>
      <c r="J154" s="8">
        <v>2</v>
      </c>
      <c r="K154" s="8" t="s">
        <v>59</v>
      </c>
      <c r="L154" s="8" t="s">
        <v>52</v>
      </c>
      <c r="M154" s="8" t="s">
        <v>52</v>
      </c>
      <c r="N154" s="8">
        <v>1</v>
      </c>
      <c r="O154" s="8">
        <v>1</v>
      </c>
      <c r="P154" s="8">
        <v>0</v>
      </c>
      <c r="Q154" s="8" t="s">
        <v>65</v>
      </c>
      <c r="R154" s="9">
        <v>0.1</v>
      </c>
      <c r="S154" s="8">
        <v>1</v>
      </c>
      <c r="T154" s="8">
        <v>0</v>
      </c>
      <c r="U154" s="8">
        <v>1</v>
      </c>
      <c r="V154" s="8">
        <v>0</v>
      </c>
      <c r="W154" s="8">
        <v>1</v>
      </c>
      <c r="X154" s="8">
        <v>0</v>
      </c>
      <c r="Y154" s="8">
        <v>0</v>
      </c>
      <c r="Z154" s="8">
        <v>0</v>
      </c>
      <c r="AA154" s="8" t="s">
        <v>105</v>
      </c>
      <c r="AB154" s="8">
        <v>1</v>
      </c>
      <c r="AC154" s="8">
        <v>0</v>
      </c>
      <c r="AD154" s="8">
        <v>0</v>
      </c>
      <c r="AE154" s="8">
        <v>0</v>
      </c>
      <c r="AF154" s="8">
        <v>1</v>
      </c>
      <c r="AG154" s="8">
        <v>0.5</v>
      </c>
      <c r="AH154" s="8">
        <v>0</v>
      </c>
      <c r="AI154" s="8">
        <v>1</v>
      </c>
      <c r="AJ154" s="8">
        <v>1</v>
      </c>
      <c r="AK154" s="8">
        <v>1</v>
      </c>
      <c r="AL154" s="8">
        <v>1</v>
      </c>
      <c r="AM154" s="8">
        <v>1</v>
      </c>
      <c r="AN154" s="8">
        <v>1</v>
      </c>
      <c r="AO154" s="8">
        <v>0</v>
      </c>
      <c r="AP154" s="8">
        <v>1</v>
      </c>
      <c r="AQ154" s="8">
        <v>1</v>
      </c>
      <c r="AR154" s="8">
        <v>1</v>
      </c>
      <c r="AS154" s="8">
        <v>0</v>
      </c>
      <c r="AT154" s="8">
        <v>1</v>
      </c>
      <c r="AU154" s="8">
        <v>1</v>
      </c>
      <c r="AV154" s="8">
        <v>1</v>
      </c>
      <c r="AW154" s="8">
        <v>1</v>
      </c>
      <c r="AX154" s="8">
        <v>0</v>
      </c>
      <c r="AY154" s="8">
        <v>1</v>
      </c>
      <c r="AZ154" s="8">
        <v>1</v>
      </c>
      <c r="BA154" s="8">
        <v>0</v>
      </c>
      <c r="BB154" s="8">
        <v>0</v>
      </c>
      <c r="BC154" s="8">
        <v>0</v>
      </c>
      <c r="BD154" s="8">
        <v>0</v>
      </c>
      <c r="BE154" s="8">
        <v>1</v>
      </c>
      <c r="BF154" s="8">
        <v>0</v>
      </c>
      <c r="BG154" s="8">
        <v>0</v>
      </c>
      <c r="BH154" s="8">
        <v>0</v>
      </c>
      <c r="BI154" s="8">
        <v>0</v>
      </c>
      <c r="BJ154" s="8">
        <v>1</v>
      </c>
      <c r="BK154" s="8">
        <v>1</v>
      </c>
      <c r="BL154" s="8">
        <v>1</v>
      </c>
      <c r="BM154" s="8">
        <v>1</v>
      </c>
      <c r="BN154" s="8">
        <v>0</v>
      </c>
      <c r="BO154" s="8">
        <v>0</v>
      </c>
      <c r="BP154" s="8">
        <v>0</v>
      </c>
      <c r="BQ154" s="8">
        <v>1</v>
      </c>
      <c r="BR154" s="8">
        <v>1</v>
      </c>
      <c r="BS154" s="8">
        <f t="shared" si="194"/>
        <v>22</v>
      </c>
      <c r="BT154" s="8"/>
      <c r="BU154" s="2">
        <f t="shared" si="2"/>
        <v>2</v>
      </c>
      <c r="BV154" s="2">
        <f t="shared" si="3"/>
        <v>6</v>
      </c>
      <c r="BW154" s="2">
        <f t="shared" si="4"/>
        <v>1</v>
      </c>
      <c r="BX154" s="2">
        <f t="shared" si="5"/>
        <v>10</v>
      </c>
      <c r="BY154" s="2">
        <f t="shared" si="6"/>
        <v>0</v>
      </c>
      <c r="BZ154" s="2">
        <f t="shared" ref="BZ154:CA154" si="222">SUM(AQ154)</f>
        <v>1</v>
      </c>
      <c r="CA154" s="2">
        <f t="shared" si="222"/>
        <v>1</v>
      </c>
      <c r="CB154" s="2">
        <f t="shared" si="8"/>
        <v>1</v>
      </c>
    </row>
    <row r="155" spans="1:80" s="33" customFormat="1" ht="16" x14ac:dyDescent="0.2">
      <c r="A155" s="21" t="s">
        <v>103</v>
      </c>
      <c r="B155" s="30">
        <v>208</v>
      </c>
      <c r="C155" s="31">
        <v>1</v>
      </c>
      <c r="D155" s="30">
        <v>1</v>
      </c>
      <c r="E155" s="31">
        <v>0</v>
      </c>
      <c r="F155" s="30">
        <v>1937</v>
      </c>
      <c r="G155" s="30">
        <v>2023</v>
      </c>
      <c r="H155" s="22" t="s">
        <v>82</v>
      </c>
      <c r="I155" s="55" t="s">
        <v>56</v>
      </c>
      <c r="J155" s="23">
        <v>2</v>
      </c>
      <c r="K155" s="23" t="s">
        <v>59</v>
      </c>
      <c r="L155" s="23" t="s">
        <v>52</v>
      </c>
      <c r="M155" s="23" t="s">
        <v>52</v>
      </c>
      <c r="N155" s="23">
        <v>1</v>
      </c>
      <c r="O155" s="23">
        <v>1</v>
      </c>
      <c r="P155" s="23">
        <v>0</v>
      </c>
      <c r="Q155" s="23" t="s">
        <v>106</v>
      </c>
      <c r="R155" s="25">
        <v>0.1</v>
      </c>
      <c r="S155" s="23">
        <v>1</v>
      </c>
      <c r="T155" s="23">
        <v>0</v>
      </c>
      <c r="U155" s="23">
        <v>1</v>
      </c>
      <c r="V155" s="23">
        <v>0</v>
      </c>
      <c r="W155" s="23">
        <v>1</v>
      </c>
      <c r="X155" s="23">
        <v>0</v>
      </c>
      <c r="Y155" s="23">
        <v>0</v>
      </c>
      <c r="Z155" s="23">
        <v>0</v>
      </c>
      <c r="AA155" s="23" t="s">
        <v>105</v>
      </c>
      <c r="AB155" s="23">
        <v>1</v>
      </c>
      <c r="AC155" s="23">
        <v>0</v>
      </c>
      <c r="AD155" s="23">
        <v>0</v>
      </c>
      <c r="AE155" s="23">
        <v>0</v>
      </c>
      <c r="AF155" s="23">
        <v>1</v>
      </c>
      <c r="AG155" s="23">
        <v>0.5</v>
      </c>
      <c r="AH155" s="23">
        <v>0</v>
      </c>
      <c r="AI155" s="23">
        <v>1</v>
      </c>
      <c r="AJ155" s="23">
        <v>1</v>
      </c>
      <c r="AK155" s="23">
        <v>1</v>
      </c>
      <c r="AL155" s="23">
        <v>1</v>
      </c>
      <c r="AM155" s="23">
        <v>1</v>
      </c>
      <c r="AN155" s="23">
        <v>1</v>
      </c>
      <c r="AO155" s="23">
        <v>0</v>
      </c>
      <c r="AP155" s="23">
        <v>1</v>
      </c>
      <c r="AQ155" s="23">
        <v>1</v>
      </c>
      <c r="AR155" s="23">
        <v>1</v>
      </c>
      <c r="AS155" s="23">
        <v>0</v>
      </c>
      <c r="AT155" s="23">
        <v>1</v>
      </c>
      <c r="AU155" s="23">
        <v>1</v>
      </c>
      <c r="AV155" s="23">
        <v>1</v>
      </c>
      <c r="AW155" s="23">
        <v>1</v>
      </c>
      <c r="AX155" s="23">
        <v>0</v>
      </c>
      <c r="AY155" s="23">
        <v>1</v>
      </c>
      <c r="AZ155" s="23">
        <v>1</v>
      </c>
      <c r="BA155" s="23">
        <v>0</v>
      </c>
      <c r="BB155" s="23">
        <v>0</v>
      </c>
      <c r="BC155" s="23">
        <v>0</v>
      </c>
      <c r="BD155" s="23">
        <v>0</v>
      </c>
      <c r="BE155" s="23">
        <v>1</v>
      </c>
      <c r="BF155" s="23">
        <v>0</v>
      </c>
      <c r="BG155" s="23">
        <v>0</v>
      </c>
      <c r="BH155" s="23">
        <v>0</v>
      </c>
      <c r="BI155" s="23">
        <v>0</v>
      </c>
      <c r="BJ155" s="23">
        <v>1</v>
      </c>
      <c r="BK155" s="23">
        <v>1</v>
      </c>
      <c r="BL155" s="23">
        <v>1</v>
      </c>
      <c r="BM155" s="23">
        <v>1</v>
      </c>
      <c r="BN155" s="23">
        <v>0</v>
      </c>
      <c r="BO155" s="23">
        <v>0</v>
      </c>
      <c r="BP155" s="23">
        <v>0</v>
      </c>
      <c r="BQ155" s="23">
        <v>1</v>
      </c>
      <c r="BR155" s="23">
        <v>1</v>
      </c>
      <c r="BS155" s="23">
        <f t="shared" ref="BS155" si="223">SUM(AI155:BR155)</f>
        <v>22</v>
      </c>
      <c r="BT155" s="23"/>
      <c r="BU155" s="32">
        <f t="shared" ref="BU155" si="224">SUM(AI155,BK155)</f>
        <v>2</v>
      </c>
      <c r="BV155" s="32">
        <f t="shared" ref="BV155" si="225">SUM(AK155, AL155, AM155,AJ155,BL155,BO155, AP155)</f>
        <v>6</v>
      </c>
      <c r="BW155" s="32">
        <f t="shared" ref="BW155" si="226">SUM(AN155, AO155, AS155)</f>
        <v>1</v>
      </c>
      <c r="BX155" s="32">
        <f t="shared" ref="BX155" si="227">SUM(AU155,AV155,AW155,AX155,AY155,AZ155,BA155,BB155,BC155,BD155,BE155,BF155,BG155,BH155,BI155,BJ155,BQ155,BR155,BM155)</f>
        <v>10</v>
      </c>
      <c r="BY155" s="32">
        <f t="shared" ref="BY155" si="228">SUM(BP155, BN155)</f>
        <v>0</v>
      </c>
      <c r="BZ155" s="32">
        <f t="shared" ref="BZ155" si="229">SUM(AQ155)</f>
        <v>1</v>
      </c>
      <c r="CA155" s="32">
        <f t="shared" ref="CA155" si="230">SUM(AR155)</f>
        <v>1</v>
      </c>
      <c r="CB155" s="32">
        <f t="shared" ref="CB155" si="231">SUM(AT155)</f>
        <v>1</v>
      </c>
    </row>
    <row r="156" spans="1:80" ht="16" x14ac:dyDescent="0.2">
      <c r="A156" s="3" t="s">
        <v>107</v>
      </c>
      <c r="B156" s="10">
        <v>233</v>
      </c>
      <c r="C156" s="5">
        <v>1</v>
      </c>
      <c r="D156" s="10">
        <v>1</v>
      </c>
      <c r="E156" s="5">
        <v>0</v>
      </c>
      <c r="F156" s="10">
        <v>2012</v>
      </c>
      <c r="G156" s="10" t="s">
        <v>86</v>
      </c>
      <c r="H156" s="7" t="str">
        <f t="shared" si="0"/>
        <v>No</v>
      </c>
      <c r="I156" s="54" t="s">
        <v>55</v>
      </c>
      <c r="J156" s="8">
        <v>0</v>
      </c>
      <c r="K156" s="8"/>
      <c r="L156" s="8"/>
      <c r="M156" s="8"/>
      <c r="N156" s="8"/>
      <c r="O156" s="8"/>
      <c r="P156" s="8"/>
      <c r="Q156" s="8"/>
      <c r="R156" s="6"/>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v>0</v>
      </c>
      <c r="BT156" s="8"/>
      <c r="BU156" s="2">
        <f t="shared" si="2"/>
        <v>0</v>
      </c>
      <c r="BV156" s="2">
        <f t="shared" si="3"/>
        <v>0</v>
      </c>
      <c r="BW156" s="2">
        <f t="shared" si="4"/>
        <v>0</v>
      </c>
      <c r="BX156" s="2">
        <f t="shared" si="5"/>
        <v>0</v>
      </c>
      <c r="BY156" s="2">
        <f t="shared" si="6"/>
        <v>0</v>
      </c>
      <c r="BZ156" s="2">
        <f t="shared" ref="BZ156:CA156" si="232">SUM(AQ156)</f>
        <v>0</v>
      </c>
      <c r="CA156" s="2">
        <f t="shared" si="232"/>
        <v>0</v>
      </c>
      <c r="CB156" s="2">
        <f t="shared" si="8"/>
        <v>0</v>
      </c>
    </row>
    <row r="157" spans="1:80" ht="16" x14ac:dyDescent="0.2">
      <c r="A157" s="3" t="s">
        <v>107</v>
      </c>
      <c r="B157" s="10">
        <v>233</v>
      </c>
      <c r="C157" s="5">
        <v>1</v>
      </c>
      <c r="D157" s="10">
        <v>1</v>
      </c>
      <c r="E157" s="5">
        <v>0</v>
      </c>
      <c r="F157" s="10">
        <v>2012</v>
      </c>
      <c r="G157" s="10" t="s">
        <v>90</v>
      </c>
      <c r="H157" s="7" t="str">
        <f t="shared" si="0"/>
        <v>No</v>
      </c>
      <c r="I157" s="54" t="s">
        <v>55</v>
      </c>
      <c r="J157" s="8">
        <v>0</v>
      </c>
      <c r="K157" s="8"/>
      <c r="L157" s="8"/>
      <c r="M157" s="8"/>
      <c r="N157" s="8"/>
      <c r="O157" s="8"/>
      <c r="P157" s="8"/>
      <c r="Q157" s="8"/>
      <c r="R157" s="6"/>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v>0</v>
      </c>
      <c r="BT157" s="8"/>
      <c r="BU157" s="2">
        <f t="shared" si="2"/>
        <v>0</v>
      </c>
      <c r="BV157" s="2">
        <f t="shared" si="3"/>
        <v>0</v>
      </c>
      <c r="BW157" s="2">
        <f t="shared" si="4"/>
        <v>0</v>
      </c>
      <c r="BX157" s="2">
        <f t="shared" si="5"/>
        <v>0</v>
      </c>
      <c r="BY157" s="2">
        <f t="shared" si="6"/>
        <v>0</v>
      </c>
      <c r="BZ157" s="2">
        <f t="shared" ref="BZ157:CA157" si="233">SUM(AQ157)</f>
        <v>0</v>
      </c>
      <c r="CA157" s="2">
        <f t="shared" si="233"/>
        <v>0</v>
      </c>
      <c r="CB157" s="2">
        <f t="shared" si="8"/>
        <v>0</v>
      </c>
    </row>
    <row r="158" spans="1:80" ht="16" x14ac:dyDescent="0.2">
      <c r="A158" s="3" t="s">
        <v>107</v>
      </c>
      <c r="B158" s="10">
        <v>233</v>
      </c>
      <c r="C158" s="5">
        <v>1</v>
      </c>
      <c r="D158" s="10">
        <v>1</v>
      </c>
      <c r="E158" s="5">
        <v>0</v>
      </c>
      <c r="F158" s="10">
        <v>2012</v>
      </c>
      <c r="G158" s="10" t="s">
        <v>91</v>
      </c>
      <c r="H158" s="7" t="str">
        <f t="shared" si="0"/>
        <v>No</v>
      </c>
      <c r="I158" s="54" t="s">
        <v>55</v>
      </c>
      <c r="J158" s="8">
        <v>0</v>
      </c>
      <c r="K158" s="8"/>
      <c r="L158" s="8"/>
      <c r="M158" s="8"/>
      <c r="N158" s="8"/>
      <c r="O158" s="8"/>
      <c r="P158" s="8"/>
      <c r="Q158" s="8"/>
      <c r="R158" s="6"/>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v>0</v>
      </c>
      <c r="BT158" s="8"/>
      <c r="BU158" s="2">
        <f t="shared" si="2"/>
        <v>0</v>
      </c>
      <c r="BV158" s="2">
        <f t="shared" si="3"/>
        <v>0</v>
      </c>
      <c r="BW158" s="2">
        <f t="shared" si="4"/>
        <v>0</v>
      </c>
      <c r="BX158" s="2">
        <f t="shared" si="5"/>
        <v>0</v>
      </c>
      <c r="BY158" s="2">
        <f t="shared" si="6"/>
        <v>0</v>
      </c>
      <c r="BZ158" s="2">
        <f t="shared" ref="BZ158:CA158" si="234">SUM(AQ158)</f>
        <v>0</v>
      </c>
      <c r="CA158" s="2">
        <f t="shared" si="234"/>
        <v>0</v>
      </c>
      <c r="CB158" s="2">
        <f t="shared" si="8"/>
        <v>0</v>
      </c>
    </row>
    <row r="159" spans="1:80" ht="16" x14ac:dyDescent="0.2">
      <c r="A159" s="3" t="s">
        <v>107</v>
      </c>
      <c r="B159" s="10">
        <v>233</v>
      </c>
      <c r="C159" s="5">
        <v>1</v>
      </c>
      <c r="D159" s="10">
        <v>1</v>
      </c>
      <c r="E159" s="5">
        <v>0</v>
      </c>
      <c r="F159" s="10">
        <v>2012</v>
      </c>
      <c r="G159" s="10" t="s">
        <v>93</v>
      </c>
      <c r="H159" s="7" t="str">
        <f t="shared" si="0"/>
        <v>No</v>
      </c>
      <c r="I159" s="54" t="s">
        <v>55</v>
      </c>
      <c r="J159" s="8">
        <v>0</v>
      </c>
      <c r="K159" s="8"/>
      <c r="L159" s="8"/>
      <c r="M159" s="8"/>
      <c r="N159" s="8"/>
      <c r="O159" s="8"/>
      <c r="P159" s="8"/>
      <c r="Q159" s="8"/>
      <c r="R159" s="6"/>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v>0</v>
      </c>
      <c r="BT159" s="8"/>
      <c r="BU159" s="2">
        <f t="shared" si="2"/>
        <v>0</v>
      </c>
      <c r="BV159" s="2">
        <f t="shared" si="3"/>
        <v>0</v>
      </c>
      <c r="BW159" s="2">
        <f t="shared" si="4"/>
        <v>0</v>
      </c>
      <c r="BX159" s="2">
        <f t="shared" si="5"/>
        <v>0</v>
      </c>
      <c r="BY159" s="2">
        <f t="shared" si="6"/>
        <v>0</v>
      </c>
      <c r="BZ159" s="2">
        <f t="shared" ref="BZ159:CA159" si="235">SUM(AQ159)</f>
        <v>0</v>
      </c>
      <c r="CA159" s="2">
        <f t="shared" si="235"/>
        <v>0</v>
      </c>
      <c r="CB159" s="2">
        <f t="shared" si="8"/>
        <v>0</v>
      </c>
    </row>
    <row r="160" spans="1:80" ht="16" x14ac:dyDescent="0.2">
      <c r="A160" s="3" t="s">
        <v>107</v>
      </c>
      <c r="B160" s="10">
        <v>233</v>
      </c>
      <c r="C160" s="5">
        <v>1</v>
      </c>
      <c r="D160" s="10">
        <v>1</v>
      </c>
      <c r="E160" s="5">
        <v>0</v>
      </c>
      <c r="F160" s="10">
        <v>2012</v>
      </c>
      <c r="G160" s="10" t="s">
        <v>70</v>
      </c>
      <c r="H160" s="7" t="str">
        <f t="shared" si="0"/>
        <v>No</v>
      </c>
      <c r="I160" s="54" t="s">
        <v>55</v>
      </c>
      <c r="J160" s="8">
        <v>0</v>
      </c>
      <c r="K160" s="8"/>
      <c r="L160" s="8"/>
      <c r="M160" s="8"/>
      <c r="N160" s="8"/>
      <c r="O160" s="8"/>
      <c r="P160" s="8"/>
      <c r="Q160" s="8"/>
      <c r="R160" s="6"/>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v>0</v>
      </c>
      <c r="BT160" s="8"/>
      <c r="BU160" s="2">
        <f t="shared" si="2"/>
        <v>0</v>
      </c>
      <c r="BV160" s="2">
        <f t="shared" si="3"/>
        <v>0</v>
      </c>
      <c r="BW160" s="2">
        <f t="shared" si="4"/>
        <v>0</v>
      </c>
      <c r="BX160" s="2">
        <f t="shared" si="5"/>
        <v>0</v>
      </c>
      <c r="BY160" s="2">
        <f t="shared" si="6"/>
        <v>0</v>
      </c>
      <c r="BZ160" s="2">
        <f t="shared" ref="BZ160:CA160" si="236">SUM(AQ160)</f>
        <v>0</v>
      </c>
      <c r="CA160" s="2">
        <f t="shared" si="236"/>
        <v>0</v>
      </c>
      <c r="CB160" s="2">
        <f t="shared" si="8"/>
        <v>0</v>
      </c>
    </row>
    <row r="161" spans="1:80" ht="16" x14ac:dyDescent="0.2">
      <c r="A161" s="3" t="s">
        <v>107</v>
      </c>
      <c r="B161" s="10">
        <v>233</v>
      </c>
      <c r="C161" s="5">
        <v>1</v>
      </c>
      <c r="D161" s="10">
        <v>1</v>
      </c>
      <c r="E161" s="5">
        <v>0</v>
      </c>
      <c r="F161" s="10">
        <v>2012</v>
      </c>
      <c r="G161" s="10">
        <v>2012</v>
      </c>
      <c r="H161" s="7" t="str">
        <f t="shared" si="0"/>
        <v>Yes</v>
      </c>
      <c r="I161" s="54" t="s">
        <v>56</v>
      </c>
      <c r="J161" s="8">
        <v>1</v>
      </c>
      <c r="K161" s="8" t="s">
        <v>63</v>
      </c>
      <c r="L161" s="8" t="s">
        <v>64</v>
      </c>
      <c r="M161" s="8" t="s">
        <v>64</v>
      </c>
      <c r="N161" s="8">
        <v>0</v>
      </c>
      <c r="O161" s="8">
        <v>0</v>
      </c>
      <c r="P161" s="8">
        <v>1</v>
      </c>
      <c r="Q161" s="8" t="s">
        <v>95</v>
      </c>
      <c r="R161" s="6" t="s">
        <v>108</v>
      </c>
      <c r="S161" s="8">
        <v>0</v>
      </c>
      <c r="T161" s="8">
        <v>0</v>
      </c>
      <c r="U161" s="8">
        <v>0</v>
      </c>
      <c r="V161" s="8">
        <v>0</v>
      </c>
      <c r="W161" s="8">
        <v>1</v>
      </c>
      <c r="X161" s="8">
        <v>0</v>
      </c>
      <c r="Y161" s="8">
        <v>0</v>
      </c>
      <c r="Z161" s="8">
        <v>0</v>
      </c>
      <c r="AA161" s="8" t="s">
        <v>109</v>
      </c>
      <c r="AB161" s="8">
        <v>0</v>
      </c>
      <c r="AC161" s="8">
        <v>1</v>
      </c>
      <c r="AD161" s="8">
        <v>0</v>
      </c>
      <c r="AE161" s="8">
        <v>1</v>
      </c>
      <c r="AF161" s="8">
        <v>0</v>
      </c>
      <c r="AG161" s="8">
        <v>0.5</v>
      </c>
      <c r="AH161" s="8">
        <v>0</v>
      </c>
      <c r="AI161" s="8">
        <v>0</v>
      </c>
      <c r="AJ161" s="8">
        <v>0</v>
      </c>
      <c r="AK161" s="8">
        <v>0</v>
      </c>
      <c r="AL161" s="8">
        <v>0</v>
      </c>
      <c r="AM161" s="8">
        <v>0</v>
      </c>
      <c r="AN161" s="8">
        <v>0</v>
      </c>
      <c r="AO161" s="8">
        <v>0</v>
      </c>
      <c r="AP161" s="8">
        <v>0</v>
      </c>
      <c r="AQ161" s="8">
        <v>0</v>
      </c>
      <c r="AR161" s="8">
        <v>0</v>
      </c>
      <c r="AS161" s="8">
        <v>0</v>
      </c>
      <c r="AT161" s="8">
        <v>0</v>
      </c>
      <c r="AU161" s="8">
        <v>0</v>
      </c>
      <c r="AV161" s="8">
        <v>0</v>
      </c>
      <c r="AW161" s="8">
        <v>0</v>
      </c>
      <c r="AX161" s="8">
        <v>0</v>
      </c>
      <c r="AY161" s="8">
        <v>0</v>
      </c>
      <c r="AZ161" s="8">
        <v>0</v>
      </c>
      <c r="BA161" s="8">
        <v>0</v>
      </c>
      <c r="BB161" s="8">
        <v>0</v>
      </c>
      <c r="BC161" s="8">
        <v>0</v>
      </c>
      <c r="BD161" s="8">
        <v>0</v>
      </c>
      <c r="BE161" s="8">
        <v>0</v>
      </c>
      <c r="BF161" s="8">
        <v>0</v>
      </c>
      <c r="BG161" s="8">
        <v>0</v>
      </c>
      <c r="BH161" s="8">
        <v>0</v>
      </c>
      <c r="BI161" s="8">
        <v>0</v>
      </c>
      <c r="BJ161" s="8">
        <v>0</v>
      </c>
      <c r="BK161" s="8">
        <v>0</v>
      </c>
      <c r="BL161" s="8">
        <v>0</v>
      </c>
      <c r="BM161" s="8">
        <v>0</v>
      </c>
      <c r="BN161" s="8">
        <v>0</v>
      </c>
      <c r="BO161" s="8">
        <v>0</v>
      </c>
      <c r="BP161" s="8">
        <v>0</v>
      </c>
      <c r="BQ161" s="8">
        <v>0</v>
      </c>
      <c r="BR161" s="8">
        <v>0</v>
      </c>
      <c r="BS161" s="8">
        <f t="shared" ref="BS161:BS169" si="237">SUM(AI161:BR161)</f>
        <v>0</v>
      </c>
      <c r="BU161" s="2">
        <f t="shared" si="2"/>
        <v>0</v>
      </c>
      <c r="BV161" s="2">
        <f t="shared" si="3"/>
        <v>0</v>
      </c>
      <c r="BW161" s="2">
        <f t="shared" si="4"/>
        <v>0</v>
      </c>
      <c r="BX161" s="2">
        <f t="shared" si="5"/>
        <v>0</v>
      </c>
      <c r="BY161" s="2">
        <f t="shared" si="6"/>
        <v>0</v>
      </c>
      <c r="BZ161" s="2">
        <f t="shared" ref="BZ161:CA161" si="238">SUM(AQ161)</f>
        <v>0</v>
      </c>
      <c r="CA161" s="2">
        <f t="shared" si="238"/>
        <v>0</v>
      </c>
      <c r="CB161" s="2">
        <f t="shared" si="8"/>
        <v>0</v>
      </c>
    </row>
    <row r="162" spans="1:80" ht="16" x14ac:dyDescent="0.2">
      <c r="A162" s="3" t="s">
        <v>107</v>
      </c>
      <c r="B162" s="10">
        <v>233</v>
      </c>
      <c r="C162" s="5">
        <v>1</v>
      </c>
      <c r="D162" s="10">
        <v>1</v>
      </c>
      <c r="E162" s="5">
        <v>0</v>
      </c>
      <c r="F162" s="10">
        <v>2012</v>
      </c>
      <c r="G162" s="10">
        <v>2013</v>
      </c>
      <c r="H162" s="7" t="str">
        <f t="shared" si="0"/>
        <v>No</v>
      </c>
      <c r="I162" s="54" t="s">
        <v>55</v>
      </c>
      <c r="J162" s="8">
        <v>1</v>
      </c>
      <c r="K162" s="8" t="s">
        <v>63</v>
      </c>
      <c r="L162" s="8" t="s">
        <v>64</v>
      </c>
      <c r="M162" s="8" t="s">
        <v>64</v>
      </c>
      <c r="N162" s="8">
        <v>0</v>
      </c>
      <c r="O162" s="8">
        <v>0</v>
      </c>
      <c r="P162" s="8">
        <v>1</v>
      </c>
      <c r="Q162" s="8" t="s">
        <v>95</v>
      </c>
      <c r="R162" s="6" t="s">
        <v>108</v>
      </c>
      <c r="S162" s="8">
        <v>0</v>
      </c>
      <c r="T162" s="8">
        <v>0</v>
      </c>
      <c r="U162" s="8">
        <v>0</v>
      </c>
      <c r="V162" s="8">
        <v>0</v>
      </c>
      <c r="W162" s="8">
        <v>1</v>
      </c>
      <c r="X162" s="8">
        <v>0</v>
      </c>
      <c r="Y162" s="8">
        <v>0</v>
      </c>
      <c r="Z162" s="8">
        <v>0</v>
      </c>
      <c r="AA162" s="8" t="s">
        <v>109</v>
      </c>
      <c r="AB162" s="8">
        <v>0</v>
      </c>
      <c r="AC162" s="8">
        <v>1</v>
      </c>
      <c r="AD162" s="8">
        <v>0</v>
      </c>
      <c r="AE162" s="8">
        <v>1</v>
      </c>
      <c r="AF162" s="8">
        <v>0</v>
      </c>
      <c r="AG162" s="8">
        <v>0.5</v>
      </c>
      <c r="AH162" s="8">
        <v>0</v>
      </c>
      <c r="AI162" s="8">
        <v>0</v>
      </c>
      <c r="AJ162" s="8">
        <v>0</v>
      </c>
      <c r="AK162" s="8">
        <v>0</v>
      </c>
      <c r="AL162" s="8">
        <v>0</v>
      </c>
      <c r="AM162" s="8">
        <v>0</v>
      </c>
      <c r="AN162" s="8">
        <v>0</v>
      </c>
      <c r="AO162" s="8">
        <v>0</v>
      </c>
      <c r="AP162" s="8">
        <v>0</v>
      </c>
      <c r="AQ162" s="8">
        <v>0</v>
      </c>
      <c r="AR162" s="8">
        <v>0</v>
      </c>
      <c r="AS162" s="8">
        <v>0</v>
      </c>
      <c r="AT162" s="8">
        <v>0</v>
      </c>
      <c r="AU162" s="8">
        <v>0</v>
      </c>
      <c r="AV162" s="8">
        <v>0</v>
      </c>
      <c r="AW162" s="8">
        <v>0</v>
      </c>
      <c r="AX162" s="8">
        <v>0</v>
      </c>
      <c r="AY162" s="8">
        <v>0</v>
      </c>
      <c r="AZ162" s="8">
        <v>0</v>
      </c>
      <c r="BA162" s="8">
        <v>0</v>
      </c>
      <c r="BB162" s="8">
        <v>0</v>
      </c>
      <c r="BC162" s="8">
        <v>0</v>
      </c>
      <c r="BD162" s="8">
        <v>0</v>
      </c>
      <c r="BE162" s="8">
        <v>0</v>
      </c>
      <c r="BF162" s="8">
        <v>0</v>
      </c>
      <c r="BG162" s="8">
        <v>0</v>
      </c>
      <c r="BH162" s="8">
        <v>0</v>
      </c>
      <c r="BI162" s="8">
        <v>0</v>
      </c>
      <c r="BJ162" s="8">
        <v>0</v>
      </c>
      <c r="BK162" s="8">
        <v>0</v>
      </c>
      <c r="BL162" s="8">
        <v>0</v>
      </c>
      <c r="BM162" s="8">
        <v>0</v>
      </c>
      <c r="BN162" s="8">
        <v>0</v>
      </c>
      <c r="BO162" s="8">
        <v>0</v>
      </c>
      <c r="BP162" s="8">
        <v>0</v>
      </c>
      <c r="BQ162" s="8">
        <v>0</v>
      </c>
      <c r="BR162" s="8">
        <v>0</v>
      </c>
      <c r="BS162" s="8">
        <f t="shared" si="237"/>
        <v>0</v>
      </c>
      <c r="BT162" s="8"/>
      <c r="BU162" s="2">
        <f t="shared" si="2"/>
        <v>0</v>
      </c>
      <c r="BV162" s="2">
        <f t="shared" si="3"/>
        <v>0</v>
      </c>
      <c r="BW162" s="2">
        <f t="shared" si="4"/>
        <v>0</v>
      </c>
      <c r="BX162" s="2">
        <f t="shared" si="5"/>
        <v>0</v>
      </c>
      <c r="BY162" s="2">
        <f t="shared" si="6"/>
        <v>0</v>
      </c>
      <c r="BZ162" s="2">
        <f t="shared" ref="BZ162:CA162" si="239">SUM(AQ162)</f>
        <v>0</v>
      </c>
      <c r="CA162" s="2">
        <f t="shared" si="239"/>
        <v>0</v>
      </c>
      <c r="CB162" s="2">
        <f t="shared" si="8"/>
        <v>0</v>
      </c>
    </row>
    <row r="163" spans="1:80" ht="16" x14ac:dyDescent="0.2">
      <c r="A163" s="3" t="s">
        <v>107</v>
      </c>
      <c r="B163" s="10">
        <v>233</v>
      </c>
      <c r="C163" s="5">
        <v>1</v>
      </c>
      <c r="D163" s="10">
        <v>1</v>
      </c>
      <c r="E163" s="5">
        <v>0</v>
      </c>
      <c r="F163" s="10">
        <v>2012</v>
      </c>
      <c r="G163" s="10">
        <v>2014</v>
      </c>
      <c r="H163" s="7" t="str">
        <f t="shared" si="0"/>
        <v>No</v>
      </c>
      <c r="I163" s="54" t="s">
        <v>55</v>
      </c>
      <c r="J163" s="8">
        <v>1</v>
      </c>
      <c r="K163" s="8" t="s">
        <v>63</v>
      </c>
      <c r="L163" s="8" t="s">
        <v>64</v>
      </c>
      <c r="M163" s="8" t="s">
        <v>64</v>
      </c>
      <c r="N163" s="8">
        <v>0</v>
      </c>
      <c r="O163" s="8">
        <v>0</v>
      </c>
      <c r="P163" s="8">
        <v>1</v>
      </c>
      <c r="Q163" s="8" t="s">
        <v>95</v>
      </c>
      <c r="R163" s="6" t="s">
        <v>108</v>
      </c>
      <c r="S163" s="8">
        <v>0</v>
      </c>
      <c r="T163" s="8">
        <v>0</v>
      </c>
      <c r="U163" s="8">
        <v>0</v>
      </c>
      <c r="V163" s="8">
        <v>0</v>
      </c>
      <c r="W163" s="8">
        <v>1</v>
      </c>
      <c r="X163" s="8">
        <v>0</v>
      </c>
      <c r="Y163" s="8">
        <v>0</v>
      </c>
      <c r="Z163" s="8">
        <v>0</v>
      </c>
      <c r="AA163" s="8" t="s">
        <v>109</v>
      </c>
      <c r="AB163" s="8">
        <v>0</v>
      </c>
      <c r="AC163" s="8">
        <v>1</v>
      </c>
      <c r="AD163" s="8">
        <v>0</v>
      </c>
      <c r="AE163" s="8">
        <v>1</v>
      </c>
      <c r="AF163" s="8">
        <v>0</v>
      </c>
      <c r="AG163" s="8">
        <v>0.5</v>
      </c>
      <c r="AH163" s="8">
        <v>0</v>
      </c>
      <c r="AI163" s="8">
        <v>0</v>
      </c>
      <c r="AJ163" s="8">
        <v>0</v>
      </c>
      <c r="AK163" s="8">
        <v>0</v>
      </c>
      <c r="AL163" s="8">
        <v>0</v>
      </c>
      <c r="AM163" s="8">
        <v>0</v>
      </c>
      <c r="AN163" s="8">
        <v>0</v>
      </c>
      <c r="AO163" s="8">
        <v>0</v>
      </c>
      <c r="AP163" s="8">
        <v>0</v>
      </c>
      <c r="AQ163" s="8">
        <v>0</v>
      </c>
      <c r="AR163" s="8">
        <v>0</v>
      </c>
      <c r="AS163" s="8">
        <v>0</v>
      </c>
      <c r="AT163" s="8">
        <v>0</v>
      </c>
      <c r="AU163" s="8">
        <v>0</v>
      </c>
      <c r="AV163" s="8">
        <v>0</v>
      </c>
      <c r="AW163" s="8">
        <v>0</v>
      </c>
      <c r="AX163" s="8">
        <v>0</v>
      </c>
      <c r="AY163" s="8">
        <v>0</v>
      </c>
      <c r="AZ163" s="8">
        <v>0</v>
      </c>
      <c r="BA163" s="8">
        <v>0</v>
      </c>
      <c r="BB163" s="8">
        <v>0</v>
      </c>
      <c r="BC163" s="8">
        <v>0</v>
      </c>
      <c r="BD163" s="8">
        <v>0</v>
      </c>
      <c r="BE163" s="8">
        <v>0</v>
      </c>
      <c r="BF163" s="8">
        <v>0</v>
      </c>
      <c r="BG163" s="8">
        <v>0</v>
      </c>
      <c r="BH163" s="8">
        <v>0</v>
      </c>
      <c r="BI163" s="8">
        <v>0</v>
      </c>
      <c r="BJ163" s="8">
        <v>0</v>
      </c>
      <c r="BK163" s="8">
        <v>0</v>
      </c>
      <c r="BL163" s="8">
        <v>0</v>
      </c>
      <c r="BM163" s="8">
        <v>0</v>
      </c>
      <c r="BN163" s="8">
        <v>0</v>
      </c>
      <c r="BO163" s="8">
        <v>0</v>
      </c>
      <c r="BP163" s="8">
        <v>0</v>
      </c>
      <c r="BQ163" s="8">
        <v>0</v>
      </c>
      <c r="BR163" s="8">
        <v>0</v>
      </c>
      <c r="BS163" s="8">
        <f t="shared" si="237"/>
        <v>0</v>
      </c>
      <c r="BT163" s="8"/>
      <c r="BU163" s="2">
        <f t="shared" si="2"/>
        <v>0</v>
      </c>
      <c r="BV163" s="2">
        <f t="shared" si="3"/>
        <v>0</v>
      </c>
      <c r="BW163" s="2">
        <f t="shared" si="4"/>
        <v>0</v>
      </c>
      <c r="BX163" s="2">
        <f t="shared" si="5"/>
        <v>0</v>
      </c>
      <c r="BY163" s="2">
        <f t="shared" si="6"/>
        <v>0</v>
      </c>
      <c r="BZ163" s="2">
        <f t="shared" ref="BZ163:CA163" si="240">SUM(AQ163)</f>
        <v>0</v>
      </c>
      <c r="CA163" s="2">
        <f t="shared" si="240"/>
        <v>0</v>
      </c>
      <c r="CB163" s="2">
        <f t="shared" si="8"/>
        <v>0</v>
      </c>
    </row>
    <row r="164" spans="1:80" ht="16" x14ac:dyDescent="0.2">
      <c r="A164" s="3" t="s">
        <v>107</v>
      </c>
      <c r="B164" s="10">
        <v>233</v>
      </c>
      <c r="C164" s="5">
        <v>1</v>
      </c>
      <c r="D164" s="10">
        <v>1</v>
      </c>
      <c r="E164" s="5">
        <v>0</v>
      </c>
      <c r="F164" s="10">
        <v>2012</v>
      </c>
      <c r="G164" s="10">
        <v>2015</v>
      </c>
      <c r="H164" s="7" t="str">
        <f t="shared" si="0"/>
        <v>No</v>
      </c>
      <c r="I164" s="54" t="s">
        <v>55</v>
      </c>
      <c r="J164" s="8">
        <v>1</v>
      </c>
      <c r="K164" s="8" t="s">
        <v>63</v>
      </c>
      <c r="L164" s="8" t="s">
        <v>64</v>
      </c>
      <c r="M164" s="8" t="s">
        <v>64</v>
      </c>
      <c r="N164" s="8">
        <v>0</v>
      </c>
      <c r="O164" s="8">
        <v>0</v>
      </c>
      <c r="P164" s="8">
        <v>1</v>
      </c>
      <c r="Q164" s="8" t="s">
        <v>95</v>
      </c>
      <c r="R164" s="6" t="s">
        <v>108</v>
      </c>
      <c r="S164" s="8">
        <v>0</v>
      </c>
      <c r="T164" s="8">
        <v>0</v>
      </c>
      <c r="U164" s="8">
        <v>0</v>
      </c>
      <c r="V164" s="8">
        <v>0</v>
      </c>
      <c r="W164" s="8">
        <v>1</v>
      </c>
      <c r="X164" s="8">
        <v>0</v>
      </c>
      <c r="Y164" s="8">
        <v>0</v>
      </c>
      <c r="Z164" s="8">
        <v>0</v>
      </c>
      <c r="AA164" s="8" t="s">
        <v>109</v>
      </c>
      <c r="AB164" s="8">
        <v>0</v>
      </c>
      <c r="AC164" s="8">
        <v>1</v>
      </c>
      <c r="AD164" s="8">
        <v>0</v>
      </c>
      <c r="AE164" s="8">
        <v>1</v>
      </c>
      <c r="AF164" s="8">
        <v>0</v>
      </c>
      <c r="AG164" s="8">
        <v>0.5</v>
      </c>
      <c r="AH164" s="8">
        <v>0</v>
      </c>
      <c r="AI164" s="8">
        <v>0</v>
      </c>
      <c r="AJ164" s="8">
        <v>0</v>
      </c>
      <c r="AK164" s="8">
        <v>0</v>
      </c>
      <c r="AL164" s="8">
        <v>0</v>
      </c>
      <c r="AM164" s="8">
        <v>0</v>
      </c>
      <c r="AN164" s="8">
        <v>0</v>
      </c>
      <c r="AO164" s="8">
        <v>0</v>
      </c>
      <c r="AP164" s="8">
        <v>0</v>
      </c>
      <c r="AQ164" s="8">
        <v>0</v>
      </c>
      <c r="AR164" s="8">
        <v>0</v>
      </c>
      <c r="AS164" s="8">
        <v>0</v>
      </c>
      <c r="AT164" s="8">
        <v>0</v>
      </c>
      <c r="AU164" s="8">
        <v>0</v>
      </c>
      <c r="AV164" s="8">
        <v>0</v>
      </c>
      <c r="AW164" s="8">
        <v>0</v>
      </c>
      <c r="AX164" s="8">
        <v>0</v>
      </c>
      <c r="AY164" s="8">
        <v>0</v>
      </c>
      <c r="AZ164" s="8">
        <v>0</v>
      </c>
      <c r="BA164" s="8">
        <v>0</v>
      </c>
      <c r="BB164" s="8">
        <v>0</v>
      </c>
      <c r="BC164" s="8">
        <v>0</v>
      </c>
      <c r="BD164" s="8">
        <v>0</v>
      </c>
      <c r="BE164" s="8">
        <v>0</v>
      </c>
      <c r="BF164" s="8">
        <v>0</v>
      </c>
      <c r="BG164" s="8">
        <v>0</v>
      </c>
      <c r="BH164" s="8">
        <v>0</v>
      </c>
      <c r="BI164" s="8">
        <v>0</v>
      </c>
      <c r="BJ164" s="8">
        <v>0</v>
      </c>
      <c r="BK164" s="8">
        <v>0</v>
      </c>
      <c r="BL164" s="8">
        <v>0</v>
      </c>
      <c r="BM164" s="8">
        <v>0</v>
      </c>
      <c r="BN164" s="8">
        <v>0</v>
      </c>
      <c r="BO164" s="8">
        <v>0</v>
      </c>
      <c r="BP164" s="8">
        <v>0</v>
      </c>
      <c r="BQ164" s="8">
        <v>0</v>
      </c>
      <c r="BR164" s="8">
        <v>0</v>
      </c>
      <c r="BS164" s="8">
        <f t="shared" si="237"/>
        <v>0</v>
      </c>
      <c r="BT164" s="8"/>
      <c r="BU164" s="2">
        <f t="shared" si="2"/>
        <v>0</v>
      </c>
      <c r="BV164" s="2">
        <f t="shared" si="3"/>
        <v>0</v>
      </c>
      <c r="BW164" s="2">
        <f t="shared" si="4"/>
        <v>0</v>
      </c>
      <c r="BX164" s="2">
        <f t="shared" si="5"/>
        <v>0</v>
      </c>
      <c r="BY164" s="2">
        <f t="shared" si="6"/>
        <v>0</v>
      </c>
      <c r="BZ164" s="2">
        <f t="shared" ref="BZ164:CA164" si="241">SUM(AQ164)</f>
        <v>0</v>
      </c>
      <c r="CA164" s="2">
        <f t="shared" si="241"/>
        <v>0</v>
      </c>
      <c r="CB164" s="2">
        <f t="shared" si="8"/>
        <v>0</v>
      </c>
    </row>
    <row r="165" spans="1:80" ht="16" x14ac:dyDescent="0.2">
      <c r="A165" s="3" t="s">
        <v>107</v>
      </c>
      <c r="B165" s="10">
        <v>233</v>
      </c>
      <c r="C165" s="5">
        <v>1</v>
      </c>
      <c r="D165" s="10">
        <v>1</v>
      </c>
      <c r="E165" s="5">
        <v>0</v>
      </c>
      <c r="F165" s="10">
        <v>2012</v>
      </c>
      <c r="G165" s="10">
        <v>2016</v>
      </c>
      <c r="H165" s="7" t="str">
        <f t="shared" si="0"/>
        <v>No</v>
      </c>
      <c r="I165" s="54" t="s">
        <v>55</v>
      </c>
      <c r="J165" s="8">
        <v>1</v>
      </c>
      <c r="K165" s="8" t="s">
        <v>63</v>
      </c>
      <c r="L165" s="8" t="s">
        <v>64</v>
      </c>
      <c r="M165" s="8" t="s">
        <v>64</v>
      </c>
      <c r="N165" s="8">
        <v>0</v>
      </c>
      <c r="O165" s="8">
        <v>0</v>
      </c>
      <c r="P165" s="8">
        <v>1</v>
      </c>
      <c r="Q165" s="8" t="s">
        <v>95</v>
      </c>
      <c r="R165" s="6" t="s">
        <v>108</v>
      </c>
      <c r="S165" s="8">
        <v>0</v>
      </c>
      <c r="T165" s="8">
        <v>0</v>
      </c>
      <c r="U165" s="8">
        <v>0</v>
      </c>
      <c r="V165" s="8">
        <v>0</v>
      </c>
      <c r="W165" s="8">
        <v>1</v>
      </c>
      <c r="X165" s="8">
        <v>0</v>
      </c>
      <c r="Y165" s="8">
        <v>0</v>
      </c>
      <c r="Z165" s="8">
        <v>0</v>
      </c>
      <c r="AA165" s="8" t="s">
        <v>109</v>
      </c>
      <c r="AB165" s="8">
        <v>0</v>
      </c>
      <c r="AC165" s="8">
        <v>1</v>
      </c>
      <c r="AD165" s="8">
        <v>0</v>
      </c>
      <c r="AE165" s="8">
        <v>1</v>
      </c>
      <c r="AF165" s="8">
        <v>0</v>
      </c>
      <c r="AG165" s="8">
        <v>0.5</v>
      </c>
      <c r="AH165" s="8">
        <v>0</v>
      </c>
      <c r="AI165" s="8">
        <v>0</v>
      </c>
      <c r="AJ165" s="8">
        <v>0</v>
      </c>
      <c r="AK165" s="8">
        <v>0</v>
      </c>
      <c r="AL165" s="8">
        <v>0</v>
      </c>
      <c r="AM165" s="8">
        <v>0</v>
      </c>
      <c r="AN165" s="8">
        <v>0</v>
      </c>
      <c r="AO165" s="8">
        <v>0</v>
      </c>
      <c r="AP165" s="8">
        <v>0</v>
      </c>
      <c r="AQ165" s="8">
        <v>0</v>
      </c>
      <c r="AR165" s="8">
        <v>0</v>
      </c>
      <c r="AS165" s="8">
        <v>0</v>
      </c>
      <c r="AT165" s="8">
        <v>0</v>
      </c>
      <c r="AU165" s="8">
        <v>0</v>
      </c>
      <c r="AV165" s="8">
        <v>0</v>
      </c>
      <c r="AW165" s="8">
        <v>0</v>
      </c>
      <c r="AX165" s="8">
        <v>0</v>
      </c>
      <c r="AY165" s="8">
        <v>0</v>
      </c>
      <c r="AZ165" s="8">
        <v>0</v>
      </c>
      <c r="BA165" s="8">
        <v>0</v>
      </c>
      <c r="BB165" s="8">
        <v>0</v>
      </c>
      <c r="BC165" s="8">
        <v>0</v>
      </c>
      <c r="BD165" s="8">
        <v>0</v>
      </c>
      <c r="BE165" s="8">
        <v>0</v>
      </c>
      <c r="BF165" s="8">
        <v>0</v>
      </c>
      <c r="BG165" s="8">
        <v>0</v>
      </c>
      <c r="BH165" s="8">
        <v>0</v>
      </c>
      <c r="BI165" s="8">
        <v>0</v>
      </c>
      <c r="BJ165" s="8">
        <v>0</v>
      </c>
      <c r="BK165" s="8">
        <v>0</v>
      </c>
      <c r="BL165" s="8">
        <v>0</v>
      </c>
      <c r="BM165" s="8">
        <v>0</v>
      </c>
      <c r="BN165" s="8">
        <v>0</v>
      </c>
      <c r="BO165" s="8">
        <v>0</v>
      </c>
      <c r="BP165" s="8">
        <v>0</v>
      </c>
      <c r="BQ165" s="8">
        <v>0</v>
      </c>
      <c r="BR165" s="8">
        <v>0</v>
      </c>
      <c r="BS165" s="8">
        <f t="shared" si="237"/>
        <v>0</v>
      </c>
      <c r="BT165" s="8"/>
      <c r="BU165" s="2">
        <f t="shared" si="2"/>
        <v>0</v>
      </c>
      <c r="BV165" s="2">
        <f t="shared" si="3"/>
        <v>0</v>
      </c>
      <c r="BW165" s="2">
        <f t="shared" si="4"/>
        <v>0</v>
      </c>
      <c r="BX165" s="2">
        <f t="shared" si="5"/>
        <v>0</v>
      </c>
      <c r="BY165" s="2">
        <f t="shared" si="6"/>
        <v>0</v>
      </c>
      <c r="BZ165" s="2">
        <f t="shared" ref="BZ165:CA165" si="242">SUM(AQ165)</f>
        <v>0</v>
      </c>
      <c r="CA165" s="2">
        <f t="shared" si="242"/>
        <v>0</v>
      </c>
      <c r="CB165" s="2">
        <f t="shared" si="8"/>
        <v>0</v>
      </c>
    </row>
    <row r="166" spans="1:80" ht="16" x14ac:dyDescent="0.2">
      <c r="A166" s="3" t="s">
        <v>107</v>
      </c>
      <c r="B166" s="10">
        <v>233</v>
      </c>
      <c r="C166" s="5">
        <v>1</v>
      </c>
      <c r="D166" s="10">
        <v>1</v>
      </c>
      <c r="E166" s="5">
        <v>0</v>
      </c>
      <c r="F166" s="10">
        <v>2012</v>
      </c>
      <c r="G166" s="10">
        <v>2017</v>
      </c>
      <c r="H166" s="7" t="str">
        <f t="shared" si="0"/>
        <v>No</v>
      </c>
      <c r="I166" s="54" t="s">
        <v>55</v>
      </c>
      <c r="J166" s="8">
        <v>1</v>
      </c>
      <c r="K166" s="8" t="s">
        <v>63</v>
      </c>
      <c r="L166" s="8" t="s">
        <v>64</v>
      </c>
      <c r="M166" s="8" t="s">
        <v>64</v>
      </c>
      <c r="N166" s="8">
        <v>0</v>
      </c>
      <c r="O166" s="8">
        <v>0</v>
      </c>
      <c r="P166" s="8">
        <v>1</v>
      </c>
      <c r="Q166" s="8" t="s">
        <v>95</v>
      </c>
      <c r="R166" s="6" t="s">
        <v>108</v>
      </c>
      <c r="S166" s="8">
        <v>0</v>
      </c>
      <c r="T166" s="8">
        <v>0</v>
      </c>
      <c r="U166" s="8">
        <v>0</v>
      </c>
      <c r="V166" s="8">
        <v>0</v>
      </c>
      <c r="W166" s="8">
        <v>1</v>
      </c>
      <c r="X166" s="8">
        <v>0</v>
      </c>
      <c r="Y166" s="8">
        <v>0</v>
      </c>
      <c r="Z166" s="8">
        <v>0</v>
      </c>
      <c r="AA166" s="8" t="s">
        <v>109</v>
      </c>
      <c r="AB166" s="8">
        <v>0</v>
      </c>
      <c r="AC166" s="8">
        <v>1</v>
      </c>
      <c r="AD166" s="8">
        <v>0</v>
      </c>
      <c r="AE166" s="8">
        <v>1</v>
      </c>
      <c r="AF166" s="8">
        <v>0</v>
      </c>
      <c r="AG166" s="8">
        <v>0.5</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0</v>
      </c>
      <c r="AX166" s="8">
        <v>0</v>
      </c>
      <c r="AY166" s="8">
        <v>0</v>
      </c>
      <c r="AZ166" s="8">
        <v>0</v>
      </c>
      <c r="BA166" s="8">
        <v>0</v>
      </c>
      <c r="BB166" s="8">
        <v>0</v>
      </c>
      <c r="BC166" s="8">
        <v>0</v>
      </c>
      <c r="BD166" s="8">
        <v>0</v>
      </c>
      <c r="BE166" s="8">
        <v>0</v>
      </c>
      <c r="BF166" s="8">
        <v>0</v>
      </c>
      <c r="BG166" s="8">
        <v>0</v>
      </c>
      <c r="BH166" s="8">
        <v>0</v>
      </c>
      <c r="BI166" s="8">
        <v>0</v>
      </c>
      <c r="BJ166" s="8">
        <v>0</v>
      </c>
      <c r="BK166" s="8">
        <v>0</v>
      </c>
      <c r="BL166" s="8">
        <v>0</v>
      </c>
      <c r="BM166" s="8">
        <v>0</v>
      </c>
      <c r="BN166" s="8">
        <v>0</v>
      </c>
      <c r="BO166" s="8">
        <v>0</v>
      </c>
      <c r="BP166" s="8">
        <v>0</v>
      </c>
      <c r="BQ166" s="8">
        <v>0</v>
      </c>
      <c r="BR166" s="8">
        <v>0</v>
      </c>
      <c r="BS166" s="8">
        <f t="shared" si="237"/>
        <v>0</v>
      </c>
      <c r="BT166" s="8"/>
      <c r="BU166" s="2">
        <f t="shared" si="2"/>
        <v>0</v>
      </c>
      <c r="BV166" s="2">
        <f t="shared" si="3"/>
        <v>0</v>
      </c>
      <c r="BW166" s="2">
        <f t="shared" si="4"/>
        <v>0</v>
      </c>
      <c r="BX166" s="2">
        <f t="shared" si="5"/>
        <v>0</v>
      </c>
      <c r="BY166" s="2">
        <f t="shared" si="6"/>
        <v>0</v>
      </c>
      <c r="BZ166" s="2">
        <f t="shared" ref="BZ166:CA166" si="243">SUM(AQ166)</f>
        <v>0</v>
      </c>
      <c r="CA166" s="2">
        <f t="shared" si="243"/>
        <v>0</v>
      </c>
      <c r="CB166" s="2">
        <f t="shared" si="8"/>
        <v>0</v>
      </c>
    </row>
    <row r="167" spans="1:80" ht="16" x14ac:dyDescent="0.2">
      <c r="A167" s="3" t="s">
        <v>107</v>
      </c>
      <c r="B167" s="10">
        <v>233</v>
      </c>
      <c r="C167" s="5">
        <v>1</v>
      </c>
      <c r="D167" s="10">
        <v>1</v>
      </c>
      <c r="E167" s="5">
        <v>0</v>
      </c>
      <c r="F167" s="10">
        <v>2012</v>
      </c>
      <c r="G167" s="10">
        <v>2018</v>
      </c>
      <c r="H167" s="7" t="str">
        <f t="shared" si="0"/>
        <v>No</v>
      </c>
      <c r="I167" s="54" t="s">
        <v>55</v>
      </c>
      <c r="J167" s="8">
        <v>1</v>
      </c>
      <c r="K167" s="8" t="s">
        <v>63</v>
      </c>
      <c r="L167" s="8" t="s">
        <v>64</v>
      </c>
      <c r="M167" s="8" t="s">
        <v>64</v>
      </c>
      <c r="N167" s="8">
        <v>0</v>
      </c>
      <c r="O167" s="8">
        <v>0</v>
      </c>
      <c r="P167" s="8">
        <v>1</v>
      </c>
      <c r="Q167" s="8" t="s">
        <v>95</v>
      </c>
      <c r="R167" s="6" t="s">
        <v>108</v>
      </c>
      <c r="S167" s="8">
        <v>0</v>
      </c>
      <c r="T167" s="8">
        <v>0</v>
      </c>
      <c r="U167" s="8">
        <v>0</v>
      </c>
      <c r="V167" s="8">
        <v>0</v>
      </c>
      <c r="W167" s="8">
        <v>1</v>
      </c>
      <c r="X167" s="8">
        <v>0</v>
      </c>
      <c r="Y167" s="8">
        <v>0</v>
      </c>
      <c r="Z167" s="8">
        <v>0</v>
      </c>
      <c r="AA167" s="8" t="s">
        <v>109</v>
      </c>
      <c r="AB167" s="8">
        <v>0</v>
      </c>
      <c r="AC167" s="8">
        <v>1</v>
      </c>
      <c r="AD167" s="8">
        <v>0</v>
      </c>
      <c r="AE167" s="8">
        <v>1</v>
      </c>
      <c r="AF167" s="8">
        <v>0</v>
      </c>
      <c r="AG167" s="8">
        <v>0.5</v>
      </c>
      <c r="AH167" s="8">
        <v>0</v>
      </c>
      <c r="AI167" s="8">
        <v>0</v>
      </c>
      <c r="AJ167" s="8">
        <v>0</v>
      </c>
      <c r="AK167" s="8">
        <v>0</v>
      </c>
      <c r="AL167" s="8">
        <v>0</v>
      </c>
      <c r="AM167" s="8">
        <v>0</v>
      </c>
      <c r="AN167" s="8">
        <v>0</v>
      </c>
      <c r="AO167" s="8">
        <v>0</v>
      </c>
      <c r="AP167" s="8">
        <v>0</v>
      </c>
      <c r="AQ167" s="8">
        <v>0</v>
      </c>
      <c r="AR167" s="8">
        <v>0</v>
      </c>
      <c r="AS167" s="8">
        <v>0</v>
      </c>
      <c r="AT167" s="8">
        <v>0</v>
      </c>
      <c r="AU167" s="8">
        <v>0</v>
      </c>
      <c r="AV167" s="8">
        <v>0</v>
      </c>
      <c r="AW167" s="8">
        <v>0</v>
      </c>
      <c r="AX167" s="8">
        <v>0</v>
      </c>
      <c r="AY167" s="8">
        <v>0</v>
      </c>
      <c r="AZ167" s="8">
        <v>0</v>
      </c>
      <c r="BA167" s="8">
        <v>0</v>
      </c>
      <c r="BB167" s="8">
        <v>0</v>
      </c>
      <c r="BC167" s="8">
        <v>0</v>
      </c>
      <c r="BD167" s="8">
        <v>0</v>
      </c>
      <c r="BE167" s="8">
        <v>0</v>
      </c>
      <c r="BF167" s="8">
        <v>0</v>
      </c>
      <c r="BG167" s="8">
        <v>0</v>
      </c>
      <c r="BH167" s="8">
        <v>0</v>
      </c>
      <c r="BI167" s="8">
        <v>0</v>
      </c>
      <c r="BJ167" s="8">
        <v>0</v>
      </c>
      <c r="BK167" s="8">
        <v>0</v>
      </c>
      <c r="BL167" s="8">
        <v>0</v>
      </c>
      <c r="BM167" s="8">
        <v>0</v>
      </c>
      <c r="BN167" s="8">
        <v>0</v>
      </c>
      <c r="BO167" s="8">
        <v>0</v>
      </c>
      <c r="BP167" s="8">
        <v>0</v>
      </c>
      <c r="BQ167" s="8">
        <v>0</v>
      </c>
      <c r="BR167" s="8">
        <v>0</v>
      </c>
      <c r="BS167" s="8">
        <f t="shared" si="237"/>
        <v>0</v>
      </c>
      <c r="BT167" s="8"/>
      <c r="BU167" s="2">
        <f t="shared" si="2"/>
        <v>0</v>
      </c>
      <c r="BV167" s="2">
        <f t="shared" si="3"/>
        <v>0</v>
      </c>
      <c r="BW167" s="2">
        <f t="shared" si="4"/>
        <v>0</v>
      </c>
      <c r="BX167" s="2">
        <f t="shared" si="5"/>
        <v>0</v>
      </c>
      <c r="BY167" s="2">
        <f t="shared" si="6"/>
        <v>0</v>
      </c>
      <c r="BZ167" s="2">
        <f t="shared" ref="BZ167:CA167" si="244">SUM(AQ167)</f>
        <v>0</v>
      </c>
      <c r="CA167" s="2">
        <f t="shared" si="244"/>
        <v>0</v>
      </c>
      <c r="CB167" s="2">
        <f t="shared" si="8"/>
        <v>0</v>
      </c>
    </row>
    <row r="168" spans="1:80" ht="16" x14ac:dyDescent="0.2">
      <c r="A168" s="3" t="s">
        <v>107</v>
      </c>
      <c r="B168" s="10">
        <v>233</v>
      </c>
      <c r="C168" s="5">
        <v>1</v>
      </c>
      <c r="D168" s="10">
        <v>1</v>
      </c>
      <c r="E168" s="5">
        <v>0</v>
      </c>
      <c r="F168" s="10">
        <v>2012</v>
      </c>
      <c r="G168" s="10">
        <v>2019</v>
      </c>
      <c r="H168" s="7" t="str">
        <f t="shared" si="0"/>
        <v>No</v>
      </c>
      <c r="I168" s="54" t="s">
        <v>55</v>
      </c>
      <c r="J168" s="8">
        <v>1</v>
      </c>
      <c r="K168" s="8" t="s">
        <v>63</v>
      </c>
      <c r="L168" s="8" t="s">
        <v>64</v>
      </c>
      <c r="M168" s="8" t="s">
        <v>64</v>
      </c>
      <c r="N168" s="8">
        <v>0</v>
      </c>
      <c r="O168" s="8">
        <v>0</v>
      </c>
      <c r="P168" s="8">
        <v>1</v>
      </c>
      <c r="Q168" s="8" t="s">
        <v>95</v>
      </c>
      <c r="R168" s="6" t="s">
        <v>108</v>
      </c>
      <c r="S168" s="8">
        <v>0</v>
      </c>
      <c r="T168" s="8">
        <v>0</v>
      </c>
      <c r="U168" s="8">
        <v>0</v>
      </c>
      <c r="V168" s="8">
        <v>0</v>
      </c>
      <c r="W168" s="8">
        <v>1</v>
      </c>
      <c r="X168" s="8">
        <v>0</v>
      </c>
      <c r="Y168" s="8">
        <v>0</v>
      </c>
      <c r="Z168" s="8">
        <v>0</v>
      </c>
      <c r="AA168" s="8" t="s">
        <v>109</v>
      </c>
      <c r="AB168" s="8">
        <v>0</v>
      </c>
      <c r="AC168" s="8">
        <v>1</v>
      </c>
      <c r="AD168" s="8">
        <v>0</v>
      </c>
      <c r="AE168" s="8">
        <v>1</v>
      </c>
      <c r="AF168" s="8">
        <v>0</v>
      </c>
      <c r="AG168" s="8">
        <v>0.5</v>
      </c>
      <c r="AH168" s="8">
        <v>0</v>
      </c>
      <c r="AI168" s="8">
        <v>0</v>
      </c>
      <c r="AJ168" s="8">
        <v>0</v>
      </c>
      <c r="AK168" s="8">
        <v>0</v>
      </c>
      <c r="AL168" s="8">
        <v>0</v>
      </c>
      <c r="AM168" s="8">
        <v>0</v>
      </c>
      <c r="AN168" s="8">
        <v>0</v>
      </c>
      <c r="AO168" s="8">
        <v>0</v>
      </c>
      <c r="AP168" s="8">
        <v>0</v>
      </c>
      <c r="AQ168" s="8">
        <v>0</v>
      </c>
      <c r="AR168" s="8">
        <v>0</v>
      </c>
      <c r="AS168" s="8">
        <v>0</v>
      </c>
      <c r="AT168" s="8">
        <v>0</v>
      </c>
      <c r="AU168" s="8">
        <v>0</v>
      </c>
      <c r="AV168" s="8">
        <v>0</v>
      </c>
      <c r="AW168" s="8">
        <v>0</v>
      </c>
      <c r="AX168" s="8">
        <v>0</v>
      </c>
      <c r="AY168" s="8">
        <v>0</v>
      </c>
      <c r="AZ168" s="8">
        <v>0</v>
      </c>
      <c r="BA168" s="8">
        <v>0</v>
      </c>
      <c r="BB168" s="8">
        <v>0</v>
      </c>
      <c r="BC168" s="8">
        <v>0</v>
      </c>
      <c r="BD168" s="8">
        <v>0</v>
      </c>
      <c r="BE168" s="8">
        <v>0</v>
      </c>
      <c r="BF168" s="8">
        <v>0</v>
      </c>
      <c r="BG168" s="8">
        <v>0</v>
      </c>
      <c r="BH168" s="8">
        <v>0</v>
      </c>
      <c r="BI168" s="8">
        <v>0</v>
      </c>
      <c r="BJ168" s="8">
        <v>0</v>
      </c>
      <c r="BK168" s="8">
        <v>0</v>
      </c>
      <c r="BL168" s="8">
        <v>0</v>
      </c>
      <c r="BM168" s="8">
        <v>0</v>
      </c>
      <c r="BN168" s="8">
        <v>0</v>
      </c>
      <c r="BO168" s="8">
        <v>0</v>
      </c>
      <c r="BP168" s="8">
        <v>0</v>
      </c>
      <c r="BQ168" s="8">
        <v>0</v>
      </c>
      <c r="BR168" s="8">
        <v>0</v>
      </c>
      <c r="BS168" s="8">
        <f t="shared" si="237"/>
        <v>0</v>
      </c>
      <c r="BT168" s="8"/>
      <c r="BU168" s="2">
        <f t="shared" si="2"/>
        <v>0</v>
      </c>
      <c r="BV168" s="2">
        <f t="shared" si="3"/>
        <v>0</v>
      </c>
      <c r="BW168" s="2">
        <f t="shared" si="4"/>
        <v>0</v>
      </c>
      <c r="BX168" s="2">
        <f t="shared" si="5"/>
        <v>0</v>
      </c>
      <c r="BY168" s="2">
        <f t="shared" si="6"/>
        <v>0</v>
      </c>
      <c r="BZ168" s="2">
        <f t="shared" ref="BZ168:CA168" si="245">SUM(AQ168)</f>
        <v>0</v>
      </c>
      <c r="CA168" s="2">
        <f t="shared" si="245"/>
        <v>0</v>
      </c>
      <c r="CB168" s="2">
        <f t="shared" si="8"/>
        <v>0</v>
      </c>
    </row>
    <row r="169" spans="1:80" ht="16" x14ac:dyDescent="0.2">
      <c r="A169" s="3" t="s">
        <v>107</v>
      </c>
      <c r="B169" s="10">
        <v>233</v>
      </c>
      <c r="C169" s="5">
        <v>1</v>
      </c>
      <c r="D169" s="10">
        <v>1</v>
      </c>
      <c r="E169" s="5">
        <v>0</v>
      </c>
      <c r="F169" s="10">
        <v>2012</v>
      </c>
      <c r="G169" s="10">
        <v>2020</v>
      </c>
      <c r="H169" s="7" t="str">
        <f t="shared" si="0"/>
        <v>No</v>
      </c>
      <c r="I169" s="54" t="s">
        <v>55</v>
      </c>
      <c r="J169" s="8">
        <v>1</v>
      </c>
      <c r="K169" s="8" t="s">
        <v>63</v>
      </c>
      <c r="L169" s="8" t="s">
        <v>64</v>
      </c>
      <c r="M169" s="8" t="s">
        <v>64</v>
      </c>
      <c r="N169" s="8">
        <v>0</v>
      </c>
      <c r="O169" s="8">
        <v>0</v>
      </c>
      <c r="P169" s="8">
        <v>1</v>
      </c>
      <c r="Q169" s="8" t="s">
        <v>95</v>
      </c>
      <c r="R169" s="6" t="s">
        <v>108</v>
      </c>
      <c r="S169" s="8">
        <v>0</v>
      </c>
      <c r="T169" s="8">
        <v>0</v>
      </c>
      <c r="U169" s="8">
        <v>0</v>
      </c>
      <c r="V169" s="8">
        <v>0</v>
      </c>
      <c r="W169" s="8">
        <v>1</v>
      </c>
      <c r="X169" s="8">
        <v>0</v>
      </c>
      <c r="Y169" s="8">
        <v>0</v>
      </c>
      <c r="Z169" s="8">
        <v>0</v>
      </c>
      <c r="AA169" s="8" t="s">
        <v>109</v>
      </c>
      <c r="AB169" s="8">
        <v>0</v>
      </c>
      <c r="AC169" s="8">
        <v>1</v>
      </c>
      <c r="AD169" s="8">
        <v>0</v>
      </c>
      <c r="AE169" s="8">
        <v>1</v>
      </c>
      <c r="AF169" s="8">
        <v>0</v>
      </c>
      <c r="AG169" s="8">
        <v>0.5</v>
      </c>
      <c r="AH169" s="8">
        <v>0</v>
      </c>
      <c r="AI169" s="8">
        <v>0</v>
      </c>
      <c r="AJ169" s="8">
        <v>0</v>
      </c>
      <c r="AK169" s="8">
        <v>0</v>
      </c>
      <c r="AL169" s="8">
        <v>0</v>
      </c>
      <c r="AM169" s="8">
        <v>0</v>
      </c>
      <c r="AN169" s="8">
        <v>0</v>
      </c>
      <c r="AO169" s="8">
        <v>0</v>
      </c>
      <c r="AP169" s="8">
        <v>0</v>
      </c>
      <c r="AQ169" s="8">
        <v>0</v>
      </c>
      <c r="AR169" s="8">
        <v>0</v>
      </c>
      <c r="AS169" s="8">
        <v>0</v>
      </c>
      <c r="AT169" s="8">
        <v>0</v>
      </c>
      <c r="AU169" s="8">
        <v>0</v>
      </c>
      <c r="AV169" s="8">
        <v>0</v>
      </c>
      <c r="AW169" s="8">
        <v>0</v>
      </c>
      <c r="AX169" s="8">
        <v>0</v>
      </c>
      <c r="AY169" s="8">
        <v>0</v>
      </c>
      <c r="AZ169" s="8">
        <v>0</v>
      </c>
      <c r="BA169" s="8">
        <v>0</v>
      </c>
      <c r="BB169" s="8">
        <v>0</v>
      </c>
      <c r="BC169" s="8">
        <v>0</v>
      </c>
      <c r="BD169" s="8">
        <v>0</v>
      </c>
      <c r="BE169" s="8">
        <v>0</v>
      </c>
      <c r="BF169" s="8">
        <v>0</v>
      </c>
      <c r="BG169" s="8">
        <v>0</v>
      </c>
      <c r="BH169" s="8">
        <v>0</v>
      </c>
      <c r="BI169" s="8">
        <v>0</v>
      </c>
      <c r="BJ169" s="8">
        <v>0</v>
      </c>
      <c r="BK169" s="8">
        <v>0</v>
      </c>
      <c r="BL169" s="8">
        <v>0</v>
      </c>
      <c r="BM169" s="8">
        <v>0</v>
      </c>
      <c r="BN169" s="8">
        <v>0</v>
      </c>
      <c r="BO169" s="8">
        <v>0</v>
      </c>
      <c r="BP169" s="8">
        <v>0</v>
      </c>
      <c r="BQ169" s="8">
        <v>0</v>
      </c>
      <c r="BR169" s="8">
        <v>0</v>
      </c>
      <c r="BS169" s="8">
        <f t="shared" si="237"/>
        <v>0</v>
      </c>
      <c r="BT169" s="8"/>
      <c r="BU169" s="2">
        <f t="shared" si="2"/>
        <v>0</v>
      </c>
      <c r="BV169" s="2">
        <f t="shared" si="3"/>
        <v>0</v>
      </c>
      <c r="BW169" s="2">
        <f t="shared" si="4"/>
        <v>0</v>
      </c>
      <c r="BX169" s="2">
        <f t="shared" si="5"/>
        <v>0</v>
      </c>
      <c r="BY169" s="2">
        <f t="shared" si="6"/>
        <v>0</v>
      </c>
      <c r="BZ169" s="2">
        <f t="shared" ref="BZ169:CA169" si="246">SUM(AQ169)</f>
        <v>0</v>
      </c>
      <c r="CA169" s="2">
        <f t="shared" si="246"/>
        <v>0</v>
      </c>
      <c r="CB169" s="2">
        <f t="shared" si="8"/>
        <v>0</v>
      </c>
    </row>
    <row r="170" spans="1:80" ht="15" customHeight="1" x14ac:dyDescent="0.2">
      <c r="A170" s="3" t="s">
        <v>107</v>
      </c>
      <c r="B170" s="10">
        <v>233</v>
      </c>
      <c r="C170" s="5">
        <v>1</v>
      </c>
      <c r="D170" s="10">
        <v>1</v>
      </c>
      <c r="E170" s="5">
        <v>0</v>
      </c>
      <c r="F170" s="10">
        <v>2012</v>
      </c>
      <c r="G170" s="10">
        <v>2021</v>
      </c>
      <c r="H170" s="7" t="str">
        <f t="shared" si="0"/>
        <v>No</v>
      </c>
      <c r="I170" s="54" t="s">
        <v>55</v>
      </c>
      <c r="J170" s="8">
        <v>1</v>
      </c>
      <c r="K170" s="8" t="s">
        <v>63</v>
      </c>
      <c r="L170" s="8" t="s">
        <v>64</v>
      </c>
      <c r="M170" s="8" t="s">
        <v>64</v>
      </c>
      <c r="N170" s="8">
        <v>0</v>
      </c>
      <c r="O170" s="8">
        <v>0</v>
      </c>
      <c r="P170" s="8">
        <v>1</v>
      </c>
      <c r="Q170" s="8" t="s">
        <v>95</v>
      </c>
      <c r="R170" s="6" t="s">
        <v>108</v>
      </c>
      <c r="S170" s="8">
        <v>0</v>
      </c>
      <c r="T170" s="8">
        <v>0</v>
      </c>
      <c r="U170" s="8">
        <v>0</v>
      </c>
      <c r="V170" s="8">
        <v>0</v>
      </c>
      <c r="W170" s="8">
        <v>1</v>
      </c>
      <c r="X170" s="8">
        <v>0</v>
      </c>
      <c r="Y170" s="8">
        <v>0</v>
      </c>
      <c r="Z170" s="8">
        <v>0</v>
      </c>
      <c r="AA170" s="8" t="s">
        <v>109</v>
      </c>
      <c r="AB170" s="8">
        <v>0</v>
      </c>
      <c r="AC170" s="8">
        <v>1</v>
      </c>
      <c r="AD170" s="8">
        <v>0</v>
      </c>
      <c r="AE170" s="8">
        <v>1</v>
      </c>
      <c r="AF170" s="8">
        <v>0</v>
      </c>
      <c r="AG170" s="8">
        <v>0.5</v>
      </c>
      <c r="AH170" s="8">
        <v>0</v>
      </c>
      <c r="AI170" s="8">
        <v>0</v>
      </c>
      <c r="AJ170" s="8">
        <v>0</v>
      </c>
      <c r="AK170" s="8">
        <v>0</v>
      </c>
      <c r="AL170" s="8">
        <v>0</v>
      </c>
      <c r="AM170" s="8">
        <v>0</v>
      </c>
      <c r="AN170" s="8">
        <v>0</v>
      </c>
      <c r="AO170" s="8">
        <v>0</v>
      </c>
      <c r="AP170" s="8">
        <v>0</v>
      </c>
      <c r="AQ170" s="8">
        <v>0</v>
      </c>
      <c r="AR170" s="8">
        <v>0</v>
      </c>
      <c r="AS170" s="8">
        <v>0</v>
      </c>
      <c r="AT170" s="8">
        <v>0</v>
      </c>
      <c r="AU170" s="8">
        <v>0</v>
      </c>
      <c r="AV170" s="8">
        <v>0</v>
      </c>
      <c r="AW170" s="8">
        <v>0</v>
      </c>
      <c r="AX170" s="8">
        <v>0</v>
      </c>
      <c r="AY170" s="8">
        <v>0</v>
      </c>
      <c r="AZ170" s="8">
        <v>0</v>
      </c>
      <c r="BA170" s="8">
        <v>0</v>
      </c>
      <c r="BB170" s="8">
        <v>0</v>
      </c>
      <c r="BC170" s="8">
        <v>0</v>
      </c>
      <c r="BD170" s="8">
        <v>0</v>
      </c>
      <c r="BE170" s="8">
        <v>0</v>
      </c>
      <c r="BF170" s="8">
        <v>0</v>
      </c>
      <c r="BG170" s="8">
        <v>0</v>
      </c>
      <c r="BH170" s="8">
        <v>0</v>
      </c>
      <c r="BI170" s="8">
        <v>0</v>
      </c>
      <c r="BJ170" s="8">
        <v>0</v>
      </c>
      <c r="BK170" s="8">
        <v>0</v>
      </c>
      <c r="BL170" s="8">
        <v>0</v>
      </c>
      <c r="BM170" s="8">
        <v>0</v>
      </c>
      <c r="BN170" s="8">
        <v>0</v>
      </c>
      <c r="BO170" s="8">
        <v>0</v>
      </c>
      <c r="BP170" s="8">
        <v>0</v>
      </c>
      <c r="BQ170" s="8">
        <v>0</v>
      </c>
      <c r="BR170" s="8">
        <v>0</v>
      </c>
      <c r="BS170" s="8">
        <v>0</v>
      </c>
      <c r="BT170" s="8"/>
      <c r="BU170" s="2">
        <f t="shared" si="2"/>
        <v>0</v>
      </c>
      <c r="BV170" s="2">
        <f t="shared" si="3"/>
        <v>0</v>
      </c>
      <c r="BW170" s="2">
        <f t="shared" si="4"/>
        <v>0</v>
      </c>
      <c r="BX170" s="2">
        <f t="shared" si="5"/>
        <v>0</v>
      </c>
      <c r="BY170" s="2">
        <f t="shared" si="6"/>
        <v>0</v>
      </c>
      <c r="BZ170" s="2">
        <f t="shared" ref="BZ170:CA170" si="247">SUM(AQ170)</f>
        <v>0</v>
      </c>
      <c r="CA170" s="2">
        <f t="shared" si="247"/>
        <v>0</v>
      </c>
      <c r="CB170" s="2">
        <f t="shared" si="8"/>
        <v>0</v>
      </c>
    </row>
    <row r="171" spans="1:80" ht="15" customHeight="1" x14ac:dyDescent="0.2">
      <c r="A171" s="3" t="s">
        <v>107</v>
      </c>
      <c r="B171" s="10">
        <v>233</v>
      </c>
      <c r="C171" s="5">
        <v>1</v>
      </c>
      <c r="D171" s="10">
        <v>1</v>
      </c>
      <c r="E171" s="5">
        <v>0</v>
      </c>
      <c r="F171" s="10">
        <v>2012</v>
      </c>
      <c r="G171" s="10">
        <v>2022</v>
      </c>
      <c r="H171" s="7" t="str">
        <f t="shared" si="0"/>
        <v>No</v>
      </c>
      <c r="I171" s="54" t="s">
        <v>55</v>
      </c>
      <c r="J171" s="8">
        <v>1</v>
      </c>
      <c r="K171" s="8" t="s">
        <v>63</v>
      </c>
      <c r="L171" s="8" t="s">
        <v>64</v>
      </c>
      <c r="M171" s="8" t="s">
        <v>64</v>
      </c>
      <c r="N171" s="8">
        <v>0</v>
      </c>
      <c r="O171" s="8">
        <v>0</v>
      </c>
      <c r="P171" s="8">
        <v>1</v>
      </c>
      <c r="Q171" s="8" t="s">
        <v>95</v>
      </c>
      <c r="R171" s="6" t="s">
        <v>108</v>
      </c>
      <c r="S171" s="8">
        <v>0</v>
      </c>
      <c r="T171" s="8">
        <v>0</v>
      </c>
      <c r="U171" s="8">
        <v>0</v>
      </c>
      <c r="V171" s="8">
        <v>0</v>
      </c>
      <c r="W171" s="8">
        <v>1</v>
      </c>
      <c r="X171" s="8">
        <v>0</v>
      </c>
      <c r="Y171" s="8">
        <v>0</v>
      </c>
      <c r="Z171" s="8">
        <v>0</v>
      </c>
      <c r="AA171" s="8" t="s">
        <v>109</v>
      </c>
      <c r="AB171" s="8">
        <v>0</v>
      </c>
      <c r="AC171" s="8">
        <v>1</v>
      </c>
      <c r="AD171" s="8">
        <v>0</v>
      </c>
      <c r="AE171" s="8">
        <v>1</v>
      </c>
      <c r="AF171" s="8">
        <v>0</v>
      </c>
      <c r="AG171" s="8">
        <v>0.5</v>
      </c>
      <c r="AH171" s="8">
        <v>0</v>
      </c>
      <c r="AI171" s="8">
        <v>0</v>
      </c>
      <c r="AJ171" s="8">
        <v>0</v>
      </c>
      <c r="AK171" s="8">
        <v>0</v>
      </c>
      <c r="AL171" s="8">
        <v>0</v>
      </c>
      <c r="AM171" s="8">
        <v>0</v>
      </c>
      <c r="AN171" s="8">
        <v>0</v>
      </c>
      <c r="AO171" s="8">
        <v>0</v>
      </c>
      <c r="AP171" s="8">
        <v>0</v>
      </c>
      <c r="AQ171" s="8">
        <v>0</v>
      </c>
      <c r="AR171" s="8">
        <v>0</v>
      </c>
      <c r="AS171" s="8">
        <v>0</v>
      </c>
      <c r="AT171" s="8">
        <v>0</v>
      </c>
      <c r="AU171" s="8">
        <v>0</v>
      </c>
      <c r="AV171" s="8">
        <v>0</v>
      </c>
      <c r="AW171" s="8">
        <v>0</v>
      </c>
      <c r="AX171" s="8">
        <v>0</v>
      </c>
      <c r="AY171" s="8">
        <v>0</v>
      </c>
      <c r="AZ171" s="8">
        <v>0</v>
      </c>
      <c r="BA171" s="8">
        <v>0</v>
      </c>
      <c r="BB171" s="8">
        <v>0</v>
      </c>
      <c r="BC171" s="8">
        <v>0</v>
      </c>
      <c r="BD171" s="8">
        <v>0</v>
      </c>
      <c r="BE171" s="8">
        <v>0</v>
      </c>
      <c r="BF171" s="8">
        <v>0</v>
      </c>
      <c r="BG171" s="8">
        <v>0</v>
      </c>
      <c r="BH171" s="8">
        <v>0</v>
      </c>
      <c r="BI171" s="8">
        <v>0</v>
      </c>
      <c r="BJ171" s="8">
        <v>0</v>
      </c>
      <c r="BK171" s="8">
        <v>0</v>
      </c>
      <c r="BL171" s="8">
        <v>0</v>
      </c>
      <c r="BM171" s="8">
        <v>0</v>
      </c>
      <c r="BN171" s="8">
        <v>0</v>
      </c>
      <c r="BO171" s="8">
        <v>0</v>
      </c>
      <c r="BP171" s="8">
        <v>0</v>
      </c>
      <c r="BQ171" s="8">
        <v>0</v>
      </c>
      <c r="BR171" s="8">
        <v>0</v>
      </c>
      <c r="BS171" s="8">
        <v>0</v>
      </c>
      <c r="BT171" s="8"/>
      <c r="BU171" s="2">
        <f t="shared" si="2"/>
        <v>0</v>
      </c>
      <c r="BV171" s="2">
        <f t="shared" si="3"/>
        <v>0</v>
      </c>
      <c r="BW171" s="2">
        <f t="shared" si="4"/>
        <v>0</v>
      </c>
      <c r="BX171" s="2">
        <f t="shared" si="5"/>
        <v>0</v>
      </c>
      <c r="BY171" s="2">
        <f t="shared" si="6"/>
        <v>0</v>
      </c>
      <c r="BZ171" s="2">
        <f t="shared" ref="BZ171:CA171" si="248">SUM(AQ171)</f>
        <v>0</v>
      </c>
      <c r="CA171" s="2">
        <f t="shared" si="248"/>
        <v>0</v>
      </c>
      <c r="CB171" s="2">
        <f t="shared" si="8"/>
        <v>0</v>
      </c>
    </row>
    <row r="172" spans="1:80" s="33" customFormat="1" ht="15" customHeight="1" x14ac:dyDescent="0.2">
      <c r="A172" s="21" t="s">
        <v>107</v>
      </c>
      <c r="B172" s="30">
        <v>233</v>
      </c>
      <c r="C172" s="31">
        <v>1</v>
      </c>
      <c r="D172" s="30">
        <v>1</v>
      </c>
      <c r="E172" s="31">
        <v>0</v>
      </c>
      <c r="F172" s="30">
        <v>2012</v>
      </c>
      <c r="G172" s="30">
        <v>2023</v>
      </c>
      <c r="H172" s="22" t="s">
        <v>82</v>
      </c>
      <c r="I172" s="55" t="s">
        <v>56</v>
      </c>
      <c r="J172" s="23">
        <v>2</v>
      </c>
      <c r="K172" s="23" t="s">
        <v>63</v>
      </c>
      <c r="L172" s="23" t="s">
        <v>64</v>
      </c>
      <c r="M172" s="23" t="s">
        <v>64</v>
      </c>
      <c r="N172" s="23">
        <v>0</v>
      </c>
      <c r="O172" s="23">
        <v>0</v>
      </c>
      <c r="P172" s="23">
        <v>1</v>
      </c>
      <c r="Q172" s="23" t="s">
        <v>95</v>
      </c>
      <c r="R172" s="24" t="s">
        <v>108</v>
      </c>
      <c r="S172" s="23">
        <v>0</v>
      </c>
      <c r="T172" s="23">
        <v>0</v>
      </c>
      <c r="U172" s="23">
        <v>0</v>
      </c>
      <c r="V172" s="23">
        <v>0</v>
      </c>
      <c r="W172" s="23">
        <v>1</v>
      </c>
      <c r="X172" s="23">
        <v>0</v>
      </c>
      <c r="Y172" s="23">
        <v>0</v>
      </c>
      <c r="Z172" s="23">
        <v>1</v>
      </c>
      <c r="AA172" s="23" t="s">
        <v>110</v>
      </c>
      <c r="AB172" s="23">
        <v>1</v>
      </c>
      <c r="AC172" s="23">
        <v>1</v>
      </c>
      <c r="AD172" s="23">
        <v>0</v>
      </c>
      <c r="AE172" s="23">
        <v>1</v>
      </c>
      <c r="AF172" s="23">
        <v>0</v>
      </c>
      <c r="AG172" s="23">
        <v>0.5</v>
      </c>
      <c r="AH172" s="23">
        <v>0</v>
      </c>
      <c r="AI172" s="23">
        <v>0</v>
      </c>
      <c r="AJ172" s="23">
        <v>0</v>
      </c>
      <c r="AK172" s="23">
        <v>0</v>
      </c>
      <c r="AL172" s="23">
        <v>0</v>
      </c>
      <c r="AM172" s="23">
        <v>0</v>
      </c>
      <c r="AN172" s="23">
        <v>0</v>
      </c>
      <c r="AO172" s="23">
        <v>0</v>
      </c>
      <c r="AP172" s="23">
        <v>0</v>
      </c>
      <c r="AQ172" s="23">
        <v>0</v>
      </c>
      <c r="AR172" s="23">
        <v>0</v>
      </c>
      <c r="AS172" s="23">
        <v>0</v>
      </c>
      <c r="AT172" s="23">
        <v>0</v>
      </c>
      <c r="AU172" s="23">
        <v>0</v>
      </c>
      <c r="AV172" s="23">
        <v>0</v>
      </c>
      <c r="AW172" s="23">
        <v>0</v>
      </c>
      <c r="AX172" s="23">
        <v>0</v>
      </c>
      <c r="AY172" s="23">
        <v>0</v>
      </c>
      <c r="AZ172" s="23">
        <v>0</v>
      </c>
      <c r="BA172" s="23">
        <v>0</v>
      </c>
      <c r="BB172" s="23">
        <v>0</v>
      </c>
      <c r="BC172" s="23">
        <v>0</v>
      </c>
      <c r="BD172" s="23">
        <v>0</v>
      </c>
      <c r="BE172" s="23">
        <v>0</v>
      </c>
      <c r="BF172" s="23">
        <v>0</v>
      </c>
      <c r="BG172" s="23">
        <v>0</v>
      </c>
      <c r="BH172" s="23">
        <v>0</v>
      </c>
      <c r="BI172" s="23">
        <v>0</v>
      </c>
      <c r="BJ172" s="23">
        <v>0</v>
      </c>
      <c r="BK172" s="23">
        <v>0</v>
      </c>
      <c r="BL172" s="23">
        <v>0</v>
      </c>
      <c r="BM172" s="23">
        <v>0</v>
      </c>
      <c r="BN172" s="23">
        <v>0</v>
      </c>
      <c r="BO172" s="23">
        <v>0</v>
      </c>
      <c r="BP172" s="23">
        <v>0</v>
      </c>
      <c r="BQ172" s="23">
        <v>0</v>
      </c>
      <c r="BR172" s="23">
        <v>0</v>
      </c>
      <c r="BS172" s="23">
        <v>0</v>
      </c>
      <c r="BT172" s="23"/>
      <c r="BU172" s="32">
        <f t="shared" ref="BU172" si="249">SUM(AI172,BK172)</f>
        <v>0</v>
      </c>
      <c r="BV172" s="32">
        <f t="shared" ref="BV172" si="250">SUM(AK172, AL172, AM172,AJ172,BL172,BO172, AP172)</f>
        <v>0</v>
      </c>
      <c r="BW172" s="32">
        <f t="shared" ref="BW172" si="251">SUM(AN172, AO172, AS172)</f>
        <v>0</v>
      </c>
      <c r="BX172" s="32">
        <f t="shared" ref="BX172" si="252">SUM(AU172,AV172,AW172,AX172,AY172,AZ172,BA172,BB172,BC172,BD172,BE172,BF172,BG172,BH172,BI172,BJ172,BQ172,BR172,BM172)</f>
        <v>0</v>
      </c>
      <c r="BY172" s="32">
        <f t="shared" ref="BY172" si="253">SUM(BP172, BN172)</f>
        <v>0</v>
      </c>
      <c r="BZ172" s="32">
        <f t="shared" ref="BZ172" si="254">SUM(AQ172)</f>
        <v>0</v>
      </c>
      <c r="CA172" s="32">
        <f t="shared" ref="CA172" si="255">SUM(AR172)</f>
        <v>0</v>
      </c>
      <c r="CB172" s="32">
        <f t="shared" ref="CB172" si="256">SUM(AT172)</f>
        <v>0</v>
      </c>
    </row>
    <row r="173" spans="1:80" ht="16" x14ac:dyDescent="0.2">
      <c r="A173" s="3" t="s">
        <v>111</v>
      </c>
      <c r="B173" s="10">
        <v>246</v>
      </c>
      <c r="C173" s="5">
        <v>1</v>
      </c>
      <c r="D173" s="10">
        <v>1</v>
      </c>
      <c r="E173" s="5">
        <v>0</v>
      </c>
      <c r="F173" s="10">
        <v>1939</v>
      </c>
      <c r="G173" s="10" t="s">
        <v>86</v>
      </c>
      <c r="H173" s="7" t="str">
        <f t="shared" si="0"/>
        <v>No</v>
      </c>
      <c r="I173" s="54" t="s">
        <v>55</v>
      </c>
      <c r="J173" s="8">
        <v>1</v>
      </c>
      <c r="K173" s="8" t="s">
        <v>51</v>
      </c>
      <c r="L173" s="8" t="s">
        <v>64</v>
      </c>
      <c r="M173" s="8" t="s">
        <v>64</v>
      </c>
      <c r="N173" s="8">
        <v>0</v>
      </c>
      <c r="O173" s="8">
        <v>1</v>
      </c>
      <c r="P173" s="8">
        <v>0</v>
      </c>
      <c r="Q173" s="8" t="s">
        <v>58</v>
      </c>
      <c r="R173" s="12">
        <v>0.33300000000000002</v>
      </c>
      <c r="S173" s="8">
        <v>0</v>
      </c>
      <c r="T173" s="8">
        <v>0</v>
      </c>
      <c r="U173" s="8">
        <v>0</v>
      </c>
      <c r="V173" s="8">
        <v>0</v>
      </c>
      <c r="W173" s="8">
        <v>1</v>
      </c>
      <c r="X173" s="8">
        <v>1</v>
      </c>
      <c r="Y173" s="8">
        <v>0</v>
      </c>
      <c r="Z173" s="8">
        <v>0</v>
      </c>
      <c r="AA173" s="8" t="s">
        <v>112</v>
      </c>
      <c r="AB173" s="8">
        <v>0</v>
      </c>
      <c r="AC173" s="8">
        <v>0</v>
      </c>
      <c r="AD173" s="8">
        <v>0</v>
      </c>
      <c r="AE173" s="8">
        <v>0</v>
      </c>
      <c r="AF173" s="8">
        <v>0.5</v>
      </c>
      <c r="AG173" s="8">
        <v>1</v>
      </c>
      <c r="AH173" s="8">
        <v>0</v>
      </c>
      <c r="AI173" s="8">
        <v>1</v>
      </c>
      <c r="AJ173" s="8">
        <v>0</v>
      </c>
      <c r="AK173" s="8">
        <v>0</v>
      </c>
      <c r="AL173" s="8">
        <v>0</v>
      </c>
      <c r="AM173" s="8">
        <v>0</v>
      </c>
      <c r="AN173" s="8">
        <v>0</v>
      </c>
      <c r="AO173" s="8">
        <v>0</v>
      </c>
      <c r="AP173" s="8">
        <v>0</v>
      </c>
      <c r="AQ173" s="8">
        <v>1</v>
      </c>
      <c r="AR173" s="8">
        <v>0</v>
      </c>
      <c r="AS173" s="8">
        <v>0</v>
      </c>
      <c r="AT173" s="8">
        <v>0</v>
      </c>
      <c r="AU173" s="8">
        <v>0</v>
      </c>
      <c r="AV173" s="8">
        <v>0</v>
      </c>
      <c r="AW173" s="8">
        <v>0</v>
      </c>
      <c r="AX173" s="8">
        <v>0</v>
      </c>
      <c r="AY173" s="8">
        <v>0</v>
      </c>
      <c r="AZ173" s="8">
        <v>0</v>
      </c>
      <c r="BA173" s="8">
        <v>0</v>
      </c>
      <c r="BB173" s="8">
        <v>0</v>
      </c>
      <c r="BC173" s="8">
        <v>0</v>
      </c>
      <c r="BD173" s="8">
        <v>0</v>
      </c>
      <c r="BE173" s="8">
        <v>0</v>
      </c>
      <c r="BF173" s="8">
        <v>0</v>
      </c>
      <c r="BG173" s="8">
        <v>0</v>
      </c>
      <c r="BH173" s="8">
        <v>0</v>
      </c>
      <c r="BI173" s="8">
        <v>0</v>
      </c>
      <c r="BJ173" s="8">
        <v>0</v>
      </c>
      <c r="BK173" s="8">
        <v>0</v>
      </c>
      <c r="BL173" s="8">
        <v>0</v>
      </c>
      <c r="BM173" s="8">
        <v>0</v>
      </c>
      <c r="BN173" s="8">
        <v>0</v>
      </c>
      <c r="BO173" s="8">
        <v>0</v>
      </c>
      <c r="BP173" s="8">
        <v>0</v>
      </c>
      <c r="BQ173" s="8">
        <v>0</v>
      </c>
      <c r="BR173" s="8">
        <v>0</v>
      </c>
      <c r="BS173" s="8">
        <f t="shared" ref="BS173:BS223" si="257">SUM(AI173:BR173)</f>
        <v>2</v>
      </c>
      <c r="BT173" s="8"/>
      <c r="BU173" s="2">
        <f t="shared" si="2"/>
        <v>1</v>
      </c>
      <c r="BV173" s="2">
        <f t="shared" si="3"/>
        <v>0</v>
      </c>
      <c r="BW173" s="2">
        <f t="shared" si="4"/>
        <v>0</v>
      </c>
      <c r="BX173" s="2">
        <f t="shared" si="5"/>
        <v>0</v>
      </c>
      <c r="BY173" s="2">
        <f t="shared" si="6"/>
        <v>0</v>
      </c>
      <c r="BZ173" s="2">
        <f t="shared" ref="BZ173:CA173" si="258">SUM(AQ173)</f>
        <v>1</v>
      </c>
      <c r="CA173" s="2">
        <f t="shared" si="258"/>
        <v>0</v>
      </c>
      <c r="CB173" s="2">
        <f t="shared" si="8"/>
        <v>0</v>
      </c>
    </row>
    <row r="174" spans="1:80" ht="16" x14ac:dyDescent="0.2">
      <c r="A174" s="3" t="s">
        <v>111</v>
      </c>
      <c r="B174" s="10">
        <v>246</v>
      </c>
      <c r="C174" s="5">
        <v>1</v>
      </c>
      <c r="D174" s="10">
        <v>1</v>
      </c>
      <c r="E174" s="5">
        <v>0</v>
      </c>
      <c r="F174" s="10">
        <v>1939</v>
      </c>
      <c r="G174" s="10" t="s">
        <v>90</v>
      </c>
      <c r="H174" s="7" t="str">
        <f t="shared" si="0"/>
        <v>No</v>
      </c>
      <c r="I174" s="54" t="s">
        <v>55</v>
      </c>
      <c r="J174" s="8">
        <v>1</v>
      </c>
      <c r="K174" s="8" t="s">
        <v>51</v>
      </c>
      <c r="L174" s="8" t="s">
        <v>64</v>
      </c>
      <c r="M174" s="8" t="s">
        <v>64</v>
      </c>
      <c r="N174" s="8">
        <v>0</v>
      </c>
      <c r="O174" s="8">
        <v>1</v>
      </c>
      <c r="P174" s="8">
        <v>0</v>
      </c>
      <c r="Q174" s="8" t="s">
        <v>58</v>
      </c>
      <c r="R174" s="12">
        <v>0.33300000000000002</v>
      </c>
      <c r="S174" s="8">
        <v>0</v>
      </c>
      <c r="T174" s="8">
        <v>0</v>
      </c>
      <c r="U174" s="8">
        <v>0</v>
      </c>
      <c r="V174" s="8">
        <v>0</v>
      </c>
      <c r="W174" s="8">
        <v>1</v>
      </c>
      <c r="X174" s="8">
        <v>1</v>
      </c>
      <c r="Y174" s="8">
        <v>0</v>
      </c>
      <c r="Z174" s="8">
        <v>0</v>
      </c>
      <c r="AA174" s="8" t="s">
        <v>112</v>
      </c>
      <c r="AB174" s="8">
        <v>0</v>
      </c>
      <c r="AC174" s="8">
        <v>0</v>
      </c>
      <c r="AD174" s="8">
        <v>0</v>
      </c>
      <c r="AE174" s="8">
        <v>0</v>
      </c>
      <c r="AF174" s="8">
        <v>0.5</v>
      </c>
      <c r="AG174" s="8">
        <v>1</v>
      </c>
      <c r="AH174" s="8">
        <v>0</v>
      </c>
      <c r="AI174" s="8">
        <v>1</v>
      </c>
      <c r="AJ174" s="8">
        <v>0</v>
      </c>
      <c r="AK174" s="8">
        <v>0</v>
      </c>
      <c r="AL174" s="8">
        <v>0</v>
      </c>
      <c r="AM174" s="8">
        <v>0</v>
      </c>
      <c r="AN174" s="8">
        <v>0</v>
      </c>
      <c r="AO174" s="8">
        <v>0</v>
      </c>
      <c r="AP174" s="8">
        <v>0</v>
      </c>
      <c r="AQ174" s="8">
        <v>1</v>
      </c>
      <c r="AR174" s="8">
        <v>0</v>
      </c>
      <c r="AS174" s="8">
        <v>0</v>
      </c>
      <c r="AT174" s="8">
        <v>0</v>
      </c>
      <c r="AU174" s="8">
        <v>0</v>
      </c>
      <c r="AV174" s="8">
        <v>0</v>
      </c>
      <c r="AW174" s="8">
        <v>0</v>
      </c>
      <c r="AX174" s="8">
        <v>0</v>
      </c>
      <c r="AY174" s="8">
        <v>0</v>
      </c>
      <c r="AZ174" s="8">
        <v>0</v>
      </c>
      <c r="BA174" s="8">
        <v>0</v>
      </c>
      <c r="BB174" s="8">
        <v>0</v>
      </c>
      <c r="BC174" s="8">
        <v>0</v>
      </c>
      <c r="BD174" s="8">
        <v>0</v>
      </c>
      <c r="BE174" s="8">
        <v>0</v>
      </c>
      <c r="BF174" s="8">
        <v>0</v>
      </c>
      <c r="BG174" s="8">
        <v>0</v>
      </c>
      <c r="BH174" s="8">
        <v>0</v>
      </c>
      <c r="BI174" s="8">
        <v>0</v>
      </c>
      <c r="BJ174" s="8">
        <v>0</v>
      </c>
      <c r="BK174" s="8">
        <v>0</v>
      </c>
      <c r="BL174" s="8">
        <v>0</v>
      </c>
      <c r="BM174" s="8">
        <v>0</v>
      </c>
      <c r="BN174" s="8">
        <v>0</v>
      </c>
      <c r="BO174" s="8">
        <v>0</v>
      </c>
      <c r="BP174" s="8">
        <v>0</v>
      </c>
      <c r="BQ174" s="8">
        <v>0</v>
      </c>
      <c r="BR174" s="8">
        <v>0</v>
      </c>
      <c r="BS174" s="8">
        <f t="shared" si="257"/>
        <v>2</v>
      </c>
      <c r="BT174" s="8"/>
      <c r="BU174" s="2">
        <f t="shared" si="2"/>
        <v>1</v>
      </c>
      <c r="BV174" s="2">
        <f t="shared" si="3"/>
        <v>0</v>
      </c>
      <c r="BW174" s="2">
        <f t="shared" si="4"/>
        <v>0</v>
      </c>
      <c r="BX174" s="2">
        <f t="shared" si="5"/>
        <v>0</v>
      </c>
      <c r="BY174" s="2">
        <f t="shared" si="6"/>
        <v>0</v>
      </c>
      <c r="BZ174" s="2">
        <f t="shared" ref="BZ174:CA174" si="259">SUM(AQ174)</f>
        <v>1</v>
      </c>
      <c r="CA174" s="2">
        <f t="shared" si="259"/>
        <v>0</v>
      </c>
      <c r="CB174" s="2">
        <f t="shared" si="8"/>
        <v>0</v>
      </c>
    </row>
    <row r="175" spans="1:80" ht="16" x14ac:dyDescent="0.2">
      <c r="A175" s="3" t="s">
        <v>111</v>
      </c>
      <c r="B175" s="10">
        <v>246</v>
      </c>
      <c r="C175" s="5">
        <v>1</v>
      </c>
      <c r="D175" s="10">
        <v>1</v>
      </c>
      <c r="E175" s="5">
        <v>0</v>
      </c>
      <c r="F175" s="10">
        <v>1939</v>
      </c>
      <c r="G175" s="10" t="s">
        <v>91</v>
      </c>
      <c r="H175" s="7" t="str">
        <f t="shared" si="0"/>
        <v>No</v>
      </c>
      <c r="I175" s="54" t="s">
        <v>55</v>
      </c>
      <c r="J175" s="8">
        <v>1</v>
      </c>
      <c r="K175" s="8" t="s">
        <v>51</v>
      </c>
      <c r="L175" s="8" t="s">
        <v>64</v>
      </c>
      <c r="M175" s="8" t="s">
        <v>64</v>
      </c>
      <c r="N175" s="8">
        <v>0</v>
      </c>
      <c r="O175" s="8">
        <v>1</v>
      </c>
      <c r="P175" s="8">
        <v>0</v>
      </c>
      <c r="Q175" s="8" t="s">
        <v>58</v>
      </c>
      <c r="R175" s="12">
        <v>0.33300000000000002</v>
      </c>
      <c r="S175" s="8">
        <v>0</v>
      </c>
      <c r="T175" s="8">
        <v>0</v>
      </c>
      <c r="U175" s="8">
        <v>0</v>
      </c>
      <c r="V175" s="8">
        <v>0</v>
      </c>
      <c r="W175" s="8">
        <v>1</v>
      </c>
      <c r="X175" s="8">
        <v>1</v>
      </c>
      <c r="Y175" s="8">
        <v>0</v>
      </c>
      <c r="Z175" s="8">
        <v>0</v>
      </c>
      <c r="AA175" s="8" t="s">
        <v>112</v>
      </c>
      <c r="AB175" s="8">
        <v>0</v>
      </c>
      <c r="AC175" s="8">
        <v>0</v>
      </c>
      <c r="AD175" s="8">
        <v>0</v>
      </c>
      <c r="AE175" s="8">
        <v>0</v>
      </c>
      <c r="AF175" s="8">
        <v>0.5</v>
      </c>
      <c r="AG175" s="8">
        <v>1</v>
      </c>
      <c r="AH175" s="8">
        <v>0</v>
      </c>
      <c r="AI175" s="8">
        <v>1</v>
      </c>
      <c r="AJ175" s="8">
        <v>0</v>
      </c>
      <c r="AK175" s="8">
        <v>0</v>
      </c>
      <c r="AL175" s="8">
        <v>0</v>
      </c>
      <c r="AM175" s="8">
        <v>0</v>
      </c>
      <c r="AN175" s="8">
        <v>0</v>
      </c>
      <c r="AO175" s="8">
        <v>0</v>
      </c>
      <c r="AP175" s="8">
        <v>0</v>
      </c>
      <c r="AQ175" s="8">
        <v>1</v>
      </c>
      <c r="AR175" s="8">
        <v>0</v>
      </c>
      <c r="AS175" s="8">
        <v>0</v>
      </c>
      <c r="AT175" s="8">
        <v>0</v>
      </c>
      <c r="AU175" s="8">
        <v>0</v>
      </c>
      <c r="AV175" s="8">
        <v>0</v>
      </c>
      <c r="AW175" s="8">
        <v>0</v>
      </c>
      <c r="AX175" s="8">
        <v>0</v>
      </c>
      <c r="AY175" s="8">
        <v>0</v>
      </c>
      <c r="AZ175" s="8">
        <v>0</v>
      </c>
      <c r="BA175" s="8">
        <v>0</v>
      </c>
      <c r="BB175" s="8">
        <v>0</v>
      </c>
      <c r="BC175" s="8">
        <v>0</v>
      </c>
      <c r="BD175" s="8">
        <v>0</v>
      </c>
      <c r="BE175" s="8">
        <v>0</v>
      </c>
      <c r="BF175" s="8">
        <v>0</v>
      </c>
      <c r="BG175" s="8">
        <v>0</v>
      </c>
      <c r="BH175" s="8">
        <v>0</v>
      </c>
      <c r="BI175" s="8">
        <v>0</v>
      </c>
      <c r="BJ175" s="8">
        <v>0</v>
      </c>
      <c r="BK175" s="8">
        <v>0</v>
      </c>
      <c r="BL175" s="8">
        <v>0</v>
      </c>
      <c r="BM175" s="8">
        <v>0</v>
      </c>
      <c r="BN175" s="8">
        <v>0</v>
      </c>
      <c r="BO175" s="8">
        <v>0</v>
      </c>
      <c r="BP175" s="8">
        <v>0</v>
      </c>
      <c r="BQ175" s="8">
        <v>0</v>
      </c>
      <c r="BR175" s="8">
        <v>0</v>
      </c>
      <c r="BS175" s="8">
        <f t="shared" si="257"/>
        <v>2</v>
      </c>
      <c r="BT175" s="8"/>
      <c r="BU175" s="2">
        <f t="shared" si="2"/>
        <v>1</v>
      </c>
      <c r="BV175" s="2">
        <f t="shared" si="3"/>
        <v>0</v>
      </c>
      <c r="BW175" s="2">
        <f t="shared" si="4"/>
        <v>0</v>
      </c>
      <c r="BX175" s="2">
        <f t="shared" si="5"/>
        <v>0</v>
      </c>
      <c r="BY175" s="2">
        <f t="shared" si="6"/>
        <v>0</v>
      </c>
      <c r="BZ175" s="2">
        <f t="shared" ref="BZ175:CA175" si="260">SUM(AQ175)</f>
        <v>1</v>
      </c>
      <c r="CA175" s="2">
        <f t="shared" si="260"/>
        <v>0</v>
      </c>
      <c r="CB175" s="2">
        <f t="shared" si="8"/>
        <v>0</v>
      </c>
    </row>
    <row r="176" spans="1:80" ht="16" x14ac:dyDescent="0.2">
      <c r="A176" s="3" t="s">
        <v>111</v>
      </c>
      <c r="B176" s="10">
        <v>246</v>
      </c>
      <c r="C176" s="5">
        <v>1</v>
      </c>
      <c r="D176" s="10">
        <v>1</v>
      </c>
      <c r="E176" s="5">
        <v>0</v>
      </c>
      <c r="F176" s="10">
        <v>1939</v>
      </c>
      <c r="G176" s="10" t="s">
        <v>93</v>
      </c>
      <c r="H176" s="7" t="str">
        <f t="shared" si="0"/>
        <v>No</v>
      </c>
      <c r="I176" s="54" t="s">
        <v>55</v>
      </c>
      <c r="J176" s="8">
        <v>1</v>
      </c>
      <c r="K176" s="8" t="s">
        <v>51</v>
      </c>
      <c r="L176" s="8" t="s">
        <v>64</v>
      </c>
      <c r="M176" s="8" t="s">
        <v>64</v>
      </c>
      <c r="N176" s="8">
        <v>0</v>
      </c>
      <c r="O176" s="8">
        <v>1</v>
      </c>
      <c r="P176" s="8">
        <v>0</v>
      </c>
      <c r="Q176" s="8" t="s">
        <v>58</v>
      </c>
      <c r="R176" s="12">
        <v>0.33300000000000002</v>
      </c>
      <c r="S176" s="8">
        <v>0</v>
      </c>
      <c r="T176" s="8">
        <v>0</v>
      </c>
      <c r="U176" s="8">
        <v>0</v>
      </c>
      <c r="V176" s="8">
        <v>0</v>
      </c>
      <c r="W176" s="8">
        <v>1</v>
      </c>
      <c r="X176" s="8">
        <v>1</v>
      </c>
      <c r="Y176" s="8">
        <v>0</v>
      </c>
      <c r="Z176" s="8">
        <v>0</v>
      </c>
      <c r="AA176" s="8" t="s">
        <v>112</v>
      </c>
      <c r="AB176" s="8">
        <v>0</v>
      </c>
      <c r="AC176" s="8">
        <v>0</v>
      </c>
      <c r="AD176" s="8">
        <v>0</v>
      </c>
      <c r="AE176" s="8">
        <v>0</v>
      </c>
      <c r="AF176" s="8">
        <v>0.5</v>
      </c>
      <c r="AG176" s="8">
        <v>1</v>
      </c>
      <c r="AH176" s="8">
        <v>0</v>
      </c>
      <c r="AI176" s="8">
        <v>1</v>
      </c>
      <c r="AJ176" s="8">
        <v>0</v>
      </c>
      <c r="AK176" s="8">
        <v>0</v>
      </c>
      <c r="AL176" s="8">
        <v>0</v>
      </c>
      <c r="AM176" s="8">
        <v>0</v>
      </c>
      <c r="AN176" s="8">
        <v>0</v>
      </c>
      <c r="AO176" s="8">
        <v>0</v>
      </c>
      <c r="AP176" s="8">
        <v>0</v>
      </c>
      <c r="AQ176" s="8">
        <v>1</v>
      </c>
      <c r="AR176" s="8">
        <v>0</v>
      </c>
      <c r="AS176" s="8">
        <v>0</v>
      </c>
      <c r="AT176" s="8">
        <v>0</v>
      </c>
      <c r="AU176" s="8">
        <v>0</v>
      </c>
      <c r="AV176" s="8">
        <v>0</v>
      </c>
      <c r="AW176" s="8">
        <v>0</v>
      </c>
      <c r="AX176" s="8">
        <v>0</v>
      </c>
      <c r="AY176" s="8">
        <v>0</v>
      </c>
      <c r="AZ176" s="8">
        <v>0</v>
      </c>
      <c r="BA176" s="8">
        <v>0</v>
      </c>
      <c r="BB176" s="8">
        <v>0</v>
      </c>
      <c r="BC176" s="8">
        <v>0</v>
      </c>
      <c r="BD176" s="8">
        <v>0</v>
      </c>
      <c r="BE176" s="8">
        <v>0</v>
      </c>
      <c r="BF176" s="8">
        <v>0</v>
      </c>
      <c r="BG176" s="8">
        <v>0</v>
      </c>
      <c r="BH176" s="8">
        <v>0</v>
      </c>
      <c r="BI176" s="8">
        <v>0</v>
      </c>
      <c r="BJ176" s="8">
        <v>0</v>
      </c>
      <c r="BK176" s="8">
        <v>0</v>
      </c>
      <c r="BL176" s="8">
        <v>0</v>
      </c>
      <c r="BM176" s="8">
        <v>0</v>
      </c>
      <c r="BN176" s="8">
        <v>0</v>
      </c>
      <c r="BO176" s="8">
        <v>0</v>
      </c>
      <c r="BP176" s="8">
        <v>0</v>
      </c>
      <c r="BQ176" s="8">
        <v>0</v>
      </c>
      <c r="BR176" s="8">
        <v>0</v>
      </c>
      <c r="BS176" s="8">
        <f t="shared" si="257"/>
        <v>2</v>
      </c>
      <c r="BT176" s="8"/>
      <c r="BU176" s="2">
        <f t="shared" si="2"/>
        <v>1</v>
      </c>
      <c r="BV176" s="2">
        <f t="shared" si="3"/>
        <v>0</v>
      </c>
      <c r="BW176" s="2">
        <f t="shared" si="4"/>
        <v>0</v>
      </c>
      <c r="BX176" s="2">
        <f t="shared" si="5"/>
        <v>0</v>
      </c>
      <c r="BY176" s="2">
        <f t="shared" si="6"/>
        <v>0</v>
      </c>
      <c r="BZ176" s="2">
        <f t="shared" ref="BZ176:CA176" si="261">SUM(AQ176)</f>
        <v>1</v>
      </c>
      <c r="CA176" s="2">
        <f t="shared" si="261"/>
        <v>0</v>
      </c>
      <c r="CB176" s="2">
        <f t="shared" si="8"/>
        <v>0</v>
      </c>
    </row>
    <row r="177" spans="1:80" ht="16" x14ac:dyDescent="0.2">
      <c r="A177" s="3" t="s">
        <v>111</v>
      </c>
      <c r="B177" s="10">
        <v>246</v>
      </c>
      <c r="C177" s="5">
        <v>1</v>
      </c>
      <c r="D177" s="10">
        <v>1</v>
      </c>
      <c r="E177" s="5">
        <v>0</v>
      </c>
      <c r="F177" s="10">
        <v>1939</v>
      </c>
      <c r="G177" s="10" t="s">
        <v>70</v>
      </c>
      <c r="H177" s="7" t="str">
        <f t="shared" si="0"/>
        <v>No</v>
      </c>
      <c r="I177" s="54" t="s">
        <v>55</v>
      </c>
      <c r="J177" s="8">
        <v>1</v>
      </c>
      <c r="K177" s="8" t="s">
        <v>51</v>
      </c>
      <c r="L177" s="8" t="s">
        <v>64</v>
      </c>
      <c r="M177" s="8" t="s">
        <v>64</v>
      </c>
      <c r="N177" s="8">
        <v>0</v>
      </c>
      <c r="O177" s="8">
        <v>1</v>
      </c>
      <c r="P177" s="8">
        <v>0</v>
      </c>
      <c r="Q177" s="8" t="s">
        <v>58</v>
      </c>
      <c r="R177" s="12">
        <v>0.33300000000000002</v>
      </c>
      <c r="S177" s="8">
        <v>0</v>
      </c>
      <c r="T177" s="8">
        <v>0</v>
      </c>
      <c r="U177" s="8">
        <v>0</v>
      </c>
      <c r="V177" s="8">
        <v>0</v>
      </c>
      <c r="W177" s="8">
        <v>1</v>
      </c>
      <c r="X177" s="8">
        <v>1</v>
      </c>
      <c r="Y177" s="8">
        <v>0</v>
      </c>
      <c r="Z177" s="8">
        <v>0</v>
      </c>
      <c r="AA177" s="8" t="s">
        <v>112</v>
      </c>
      <c r="AB177" s="8">
        <v>0</v>
      </c>
      <c r="AC177" s="8">
        <v>0</v>
      </c>
      <c r="AD177" s="8">
        <v>0</v>
      </c>
      <c r="AE177" s="8">
        <v>0</v>
      </c>
      <c r="AF177" s="8">
        <v>0.5</v>
      </c>
      <c r="AG177" s="8">
        <v>1</v>
      </c>
      <c r="AH177" s="8">
        <v>0</v>
      </c>
      <c r="AI177" s="8">
        <v>1</v>
      </c>
      <c r="AJ177" s="8">
        <v>0</v>
      </c>
      <c r="AK177" s="8">
        <v>0</v>
      </c>
      <c r="AL177" s="8">
        <v>0</v>
      </c>
      <c r="AM177" s="8">
        <v>0</v>
      </c>
      <c r="AN177" s="8">
        <v>0</v>
      </c>
      <c r="AO177" s="8">
        <v>0</v>
      </c>
      <c r="AP177" s="8">
        <v>0</v>
      </c>
      <c r="AQ177" s="8">
        <v>1</v>
      </c>
      <c r="AR177" s="8">
        <v>0</v>
      </c>
      <c r="AS177" s="8">
        <v>0</v>
      </c>
      <c r="AT177" s="8">
        <v>0</v>
      </c>
      <c r="AU177" s="8">
        <v>0</v>
      </c>
      <c r="AV177" s="8">
        <v>0</v>
      </c>
      <c r="AW177" s="8">
        <v>0</v>
      </c>
      <c r="AX177" s="8">
        <v>0</v>
      </c>
      <c r="AY177" s="8">
        <v>0</v>
      </c>
      <c r="AZ177" s="8">
        <v>0</v>
      </c>
      <c r="BA177" s="8">
        <v>0</v>
      </c>
      <c r="BB177" s="8">
        <v>0</v>
      </c>
      <c r="BC177" s="8">
        <v>0</v>
      </c>
      <c r="BD177" s="8">
        <v>0</v>
      </c>
      <c r="BE177" s="8">
        <v>0</v>
      </c>
      <c r="BF177" s="8">
        <v>0</v>
      </c>
      <c r="BG177" s="8">
        <v>0</v>
      </c>
      <c r="BH177" s="8">
        <v>0</v>
      </c>
      <c r="BI177" s="8">
        <v>0</v>
      </c>
      <c r="BJ177" s="8">
        <v>0</v>
      </c>
      <c r="BK177" s="8">
        <v>0</v>
      </c>
      <c r="BL177" s="8">
        <v>0</v>
      </c>
      <c r="BM177" s="8">
        <v>0</v>
      </c>
      <c r="BN177" s="8">
        <v>0</v>
      </c>
      <c r="BO177" s="8">
        <v>0</v>
      </c>
      <c r="BP177" s="8">
        <v>0</v>
      </c>
      <c r="BQ177" s="8">
        <v>0</v>
      </c>
      <c r="BR177" s="8">
        <v>0</v>
      </c>
      <c r="BS177" s="8">
        <f t="shared" si="257"/>
        <v>2</v>
      </c>
      <c r="BT177" s="8"/>
      <c r="BU177" s="2">
        <f t="shared" si="2"/>
        <v>1</v>
      </c>
      <c r="BV177" s="2">
        <f t="shared" si="3"/>
        <v>0</v>
      </c>
      <c r="BW177" s="2">
        <f t="shared" si="4"/>
        <v>0</v>
      </c>
      <c r="BX177" s="2">
        <f t="shared" si="5"/>
        <v>0</v>
      </c>
      <c r="BY177" s="2">
        <f t="shared" si="6"/>
        <v>0</v>
      </c>
      <c r="BZ177" s="2">
        <f t="shared" ref="BZ177:CA177" si="262">SUM(AQ177)</f>
        <v>1</v>
      </c>
      <c r="CA177" s="2">
        <f t="shared" si="262"/>
        <v>0</v>
      </c>
      <c r="CB177" s="2">
        <f t="shared" si="8"/>
        <v>0</v>
      </c>
    </row>
    <row r="178" spans="1:80" ht="16" x14ac:dyDescent="0.2">
      <c r="A178" s="3" t="s">
        <v>111</v>
      </c>
      <c r="B178" s="10">
        <v>246</v>
      </c>
      <c r="C178" s="5">
        <v>1</v>
      </c>
      <c r="D178" s="10">
        <v>1</v>
      </c>
      <c r="E178" s="5">
        <v>0</v>
      </c>
      <c r="F178" s="10">
        <v>1939</v>
      </c>
      <c r="G178" s="10" t="s">
        <v>71</v>
      </c>
      <c r="H178" s="7" t="str">
        <f t="shared" si="0"/>
        <v>Yes</v>
      </c>
      <c r="I178" s="54" t="s">
        <v>56</v>
      </c>
      <c r="J178" s="8">
        <v>1</v>
      </c>
      <c r="K178" s="8" t="s">
        <v>51</v>
      </c>
      <c r="L178" s="8" t="s">
        <v>52</v>
      </c>
      <c r="M178" s="8" t="s">
        <v>52</v>
      </c>
      <c r="N178" s="8">
        <v>1</v>
      </c>
      <c r="O178" s="8">
        <v>0</v>
      </c>
      <c r="P178" s="8">
        <v>0</v>
      </c>
      <c r="Q178" s="8" t="s">
        <v>67</v>
      </c>
      <c r="R178" s="9">
        <v>0.1</v>
      </c>
      <c r="S178" s="8">
        <v>1</v>
      </c>
      <c r="T178" s="8">
        <v>0</v>
      </c>
      <c r="U178" s="8">
        <v>0</v>
      </c>
      <c r="V178" s="8">
        <v>1</v>
      </c>
      <c r="W178" s="8">
        <v>1</v>
      </c>
      <c r="X178" s="8">
        <v>0</v>
      </c>
      <c r="Y178" s="8">
        <v>0</v>
      </c>
      <c r="Z178" s="8">
        <v>0</v>
      </c>
      <c r="AA178" s="8" t="s">
        <v>112</v>
      </c>
      <c r="AB178" s="8">
        <v>0</v>
      </c>
      <c r="AC178" s="8">
        <v>0</v>
      </c>
      <c r="AD178" s="8">
        <v>0</v>
      </c>
      <c r="AE178" s="8">
        <v>0</v>
      </c>
      <c r="AF178" s="8">
        <v>1</v>
      </c>
      <c r="AG178" s="8">
        <v>0.5</v>
      </c>
      <c r="AH178" s="8">
        <v>0</v>
      </c>
      <c r="AI178" s="8">
        <v>1</v>
      </c>
      <c r="AJ178" s="8">
        <v>0</v>
      </c>
      <c r="AK178" s="8">
        <v>0</v>
      </c>
      <c r="AL178" s="8">
        <v>0</v>
      </c>
      <c r="AM178" s="8">
        <v>0</v>
      </c>
      <c r="AN178" s="8">
        <v>0</v>
      </c>
      <c r="AO178" s="8">
        <v>0</v>
      </c>
      <c r="AP178" s="8">
        <v>0</v>
      </c>
      <c r="AQ178" s="8">
        <v>1</v>
      </c>
      <c r="AR178" s="8">
        <v>0</v>
      </c>
      <c r="AS178" s="8">
        <v>0</v>
      </c>
      <c r="AT178" s="8">
        <v>0</v>
      </c>
      <c r="AU178" s="8">
        <v>1</v>
      </c>
      <c r="AV178" s="8">
        <v>0</v>
      </c>
      <c r="AW178" s="8">
        <v>0</v>
      </c>
      <c r="AX178" s="8">
        <v>0</v>
      </c>
      <c r="AY178" s="8">
        <v>0</v>
      </c>
      <c r="AZ178" s="8">
        <v>0</v>
      </c>
      <c r="BA178" s="8">
        <v>0</v>
      </c>
      <c r="BB178" s="8">
        <v>0</v>
      </c>
      <c r="BC178" s="8">
        <v>0</v>
      </c>
      <c r="BD178" s="8">
        <v>0</v>
      </c>
      <c r="BE178" s="8">
        <v>0</v>
      </c>
      <c r="BF178" s="8">
        <v>0</v>
      </c>
      <c r="BG178" s="8">
        <v>0</v>
      </c>
      <c r="BH178" s="8">
        <v>0</v>
      </c>
      <c r="BI178" s="8">
        <v>0</v>
      </c>
      <c r="BJ178" s="8">
        <v>0</v>
      </c>
      <c r="BK178" s="8">
        <v>0</v>
      </c>
      <c r="BL178" s="8">
        <v>0</v>
      </c>
      <c r="BM178" s="8">
        <v>0</v>
      </c>
      <c r="BN178" s="8">
        <v>0</v>
      </c>
      <c r="BO178" s="8">
        <v>0</v>
      </c>
      <c r="BP178" s="8">
        <v>0</v>
      </c>
      <c r="BQ178" s="8">
        <v>0</v>
      </c>
      <c r="BR178" s="8">
        <v>0</v>
      </c>
      <c r="BS178" s="8">
        <f t="shared" si="257"/>
        <v>3</v>
      </c>
      <c r="BT178" s="8"/>
      <c r="BU178" s="2">
        <f t="shared" si="2"/>
        <v>1</v>
      </c>
      <c r="BV178" s="2">
        <f t="shared" si="3"/>
        <v>0</v>
      </c>
      <c r="BW178" s="2">
        <f t="shared" si="4"/>
        <v>0</v>
      </c>
      <c r="BX178" s="2">
        <f t="shared" si="5"/>
        <v>1</v>
      </c>
      <c r="BY178" s="2">
        <f t="shared" si="6"/>
        <v>0</v>
      </c>
      <c r="BZ178" s="2">
        <f t="shared" ref="BZ178:CA178" si="263">SUM(AQ178)</f>
        <v>1</v>
      </c>
      <c r="CA178" s="2">
        <f t="shared" si="263"/>
        <v>0</v>
      </c>
      <c r="CB178" s="2">
        <f t="shared" si="8"/>
        <v>0</v>
      </c>
    </row>
    <row r="179" spans="1:80" ht="16" x14ac:dyDescent="0.2">
      <c r="A179" s="3" t="s">
        <v>111</v>
      </c>
      <c r="B179" s="10">
        <v>246</v>
      </c>
      <c r="C179" s="5">
        <v>1</v>
      </c>
      <c r="D179" s="10">
        <v>1</v>
      </c>
      <c r="E179" s="5">
        <v>0</v>
      </c>
      <c r="F179" s="10">
        <v>1939</v>
      </c>
      <c r="G179" s="10" t="s">
        <v>72</v>
      </c>
      <c r="H179" s="7" t="str">
        <f t="shared" si="0"/>
        <v>No</v>
      </c>
      <c r="I179" s="54" t="s">
        <v>55</v>
      </c>
      <c r="J179" s="8">
        <v>1</v>
      </c>
      <c r="K179" s="8" t="s">
        <v>51</v>
      </c>
      <c r="L179" s="8" t="s">
        <v>52</v>
      </c>
      <c r="M179" s="8" t="s">
        <v>52</v>
      </c>
      <c r="N179" s="8">
        <v>1</v>
      </c>
      <c r="O179" s="8">
        <v>0</v>
      </c>
      <c r="P179" s="8">
        <v>0</v>
      </c>
      <c r="Q179" s="8" t="s">
        <v>67</v>
      </c>
      <c r="R179" s="9">
        <v>0.1</v>
      </c>
      <c r="S179" s="8">
        <v>1</v>
      </c>
      <c r="T179" s="8">
        <v>0</v>
      </c>
      <c r="U179" s="8">
        <v>0</v>
      </c>
      <c r="V179" s="8">
        <v>1</v>
      </c>
      <c r="W179" s="8">
        <v>1</v>
      </c>
      <c r="X179" s="8">
        <v>0</v>
      </c>
      <c r="Y179" s="8">
        <v>0</v>
      </c>
      <c r="Z179" s="8">
        <v>0</v>
      </c>
      <c r="AA179" s="8" t="s">
        <v>112</v>
      </c>
      <c r="AB179" s="8">
        <v>0</v>
      </c>
      <c r="AC179" s="8">
        <v>0</v>
      </c>
      <c r="AD179" s="8">
        <v>0</v>
      </c>
      <c r="AE179" s="8">
        <v>0</v>
      </c>
      <c r="AF179" s="8">
        <v>1</v>
      </c>
      <c r="AG179" s="8">
        <v>0.5</v>
      </c>
      <c r="AH179" s="8">
        <v>0</v>
      </c>
      <c r="AI179" s="8">
        <v>1</v>
      </c>
      <c r="AJ179" s="8">
        <v>0</v>
      </c>
      <c r="AK179" s="8">
        <v>0</v>
      </c>
      <c r="AL179" s="8">
        <v>0</v>
      </c>
      <c r="AM179" s="8">
        <v>0</v>
      </c>
      <c r="AN179" s="8">
        <v>0</v>
      </c>
      <c r="AO179" s="8">
        <v>0</v>
      </c>
      <c r="AP179" s="8">
        <v>0</v>
      </c>
      <c r="AQ179" s="8">
        <v>1</v>
      </c>
      <c r="AR179" s="8">
        <v>0</v>
      </c>
      <c r="AS179" s="8">
        <v>0</v>
      </c>
      <c r="AT179" s="8">
        <v>0</v>
      </c>
      <c r="AU179" s="8">
        <v>1</v>
      </c>
      <c r="AV179" s="8">
        <v>0</v>
      </c>
      <c r="AW179" s="8">
        <v>0</v>
      </c>
      <c r="AX179" s="8">
        <v>0</v>
      </c>
      <c r="AY179" s="8">
        <v>0</v>
      </c>
      <c r="AZ179" s="8">
        <v>0</v>
      </c>
      <c r="BA179" s="8">
        <v>0</v>
      </c>
      <c r="BB179" s="8">
        <v>0</v>
      </c>
      <c r="BC179" s="8">
        <v>0</v>
      </c>
      <c r="BD179" s="8">
        <v>0</v>
      </c>
      <c r="BE179" s="8">
        <v>0</v>
      </c>
      <c r="BF179" s="8">
        <v>0</v>
      </c>
      <c r="BG179" s="8">
        <v>0</v>
      </c>
      <c r="BH179" s="8">
        <v>0</v>
      </c>
      <c r="BI179" s="8">
        <v>0</v>
      </c>
      <c r="BJ179" s="8">
        <v>0</v>
      </c>
      <c r="BK179" s="8">
        <v>0</v>
      </c>
      <c r="BL179" s="8">
        <v>0</v>
      </c>
      <c r="BM179" s="8">
        <v>0</v>
      </c>
      <c r="BN179" s="8">
        <v>0</v>
      </c>
      <c r="BO179" s="8">
        <v>0</v>
      </c>
      <c r="BP179" s="8">
        <v>0</v>
      </c>
      <c r="BQ179" s="8">
        <v>0</v>
      </c>
      <c r="BR179" s="8">
        <v>0</v>
      </c>
      <c r="BS179" s="8">
        <f t="shared" si="257"/>
        <v>3</v>
      </c>
      <c r="BT179" s="8"/>
      <c r="BU179" s="2">
        <f t="shared" si="2"/>
        <v>1</v>
      </c>
      <c r="BV179" s="2">
        <f t="shared" si="3"/>
        <v>0</v>
      </c>
      <c r="BW179" s="2">
        <f t="shared" si="4"/>
        <v>0</v>
      </c>
      <c r="BX179" s="2">
        <f t="shared" si="5"/>
        <v>1</v>
      </c>
      <c r="BY179" s="2">
        <f t="shared" si="6"/>
        <v>0</v>
      </c>
      <c r="BZ179" s="2">
        <f t="shared" ref="BZ179:CA179" si="264">SUM(AQ179)</f>
        <v>1</v>
      </c>
      <c r="CA179" s="2">
        <f t="shared" si="264"/>
        <v>0</v>
      </c>
      <c r="CB179" s="2">
        <f t="shared" si="8"/>
        <v>0</v>
      </c>
    </row>
    <row r="180" spans="1:80" ht="16" x14ac:dyDescent="0.2">
      <c r="A180" s="3" t="s">
        <v>111</v>
      </c>
      <c r="B180" s="10">
        <v>246</v>
      </c>
      <c r="C180" s="5">
        <v>1</v>
      </c>
      <c r="D180" s="10">
        <v>1</v>
      </c>
      <c r="E180" s="5">
        <v>0</v>
      </c>
      <c r="F180" s="10">
        <v>1939</v>
      </c>
      <c r="G180" s="10" t="s">
        <v>73</v>
      </c>
      <c r="H180" s="7" t="str">
        <f t="shared" si="0"/>
        <v>No</v>
      </c>
      <c r="I180" s="54" t="s">
        <v>55</v>
      </c>
      <c r="J180" s="8">
        <v>1</v>
      </c>
      <c r="K180" s="8" t="s">
        <v>51</v>
      </c>
      <c r="L180" s="8" t="s">
        <v>52</v>
      </c>
      <c r="M180" s="8" t="s">
        <v>52</v>
      </c>
      <c r="N180" s="8">
        <v>1</v>
      </c>
      <c r="O180" s="8">
        <v>0</v>
      </c>
      <c r="P180" s="8">
        <v>0</v>
      </c>
      <c r="Q180" s="8" t="s">
        <v>67</v>
      </c>
      <c r="R180" s="9">
        <v>0.1</v>
      </c>
      <c r="S180" s="8">
        <v>1</v>
      </c>
      <c r="T180" s="8">
        <v>0</v>
      </c>
      <c r="U180" s="8">
        <v>0</v>
      </c>
      <c r="V180" s="8">
        <v>1</v>
      </c>
      <c r="W180" s="8">
        <v>1</v>
      </c>
      <c r="X180" s="8">
        <v>0</v>
      </c>
      <c r="Y180" s="8">
        <v>0</v>
      </c>
      <c r="Z180" s="8">
        <v>0</v>
      </c>
      <c r="AA180" s="8" t="s">
        <v>112</v>
      </c>
      <c r="AB180" s="8">
        <v>0</v>
      </c>
      <c r="AC180" s="8">
        <v>0</v>
      </c>
      <c r="AD180" s="8">
        <v>0</v>
      </c>
      <c r="AE180" s="8">
        <v>0</v>
      </c>
      <c r="AF180" s="8">
        <v>1</v>
      </c>
      <c r="AG180" s="8">
        <v>0.5</v>
      </c>
      <c r="AH180" s="8">
        <v>0</v>
      </c>
      <c r="AI180" s="8">
        <v>1</v>
      </c>
      <c r="AJ180" s="8">
        <v>0</v>
      </c>
      <c r="AK180" s="8">
        <v>0</v>
      </c>
      <c r="AL180" s="8">
        <v>0</v>
      </c>
      <c r="AM180" s="8">
        <v>0</v>
      </c>
      <c r="AN180" s="8">
        <v>0</v>
      </c>
      <c r="AO180" s="8">
        <v>0</v>
      </c>
      <c r="AP180" s="8">
        <v>0</v>
      </c>
      <c r="AQ180" s="8">
        <v>1</v>
      </c>
      <c r="AR180" s="8">
        <v>0</v>
      </c>
      <c r="AS180" s="8">
        <v>0</v>
      </c>
      <c r="AT180" s="8">
        <v>0</v>
      </c>
      <c r="AU180" s="8">
        <v>1</v>
      </c>
      <c r="AV180" s="8">
        <v>0</v>
      </c>
      <c r="AW180" s="8">
        <v>0</v>
      </c>
      <c r="AX180" s="8">
        <v>0</v>
      </c>
      <c r="AY180" s="8">
        <v>0</v>
      </c>
      <c r="AZ180" s="8">
        <v>0</v>
      </c>
      <c r="BA180" s="8">
        <v>0</v>
      </c>
      <c r="BB180" s="8">
        <v>0</v>
      </c>
      <c r="BC180" s="8">
        <v>0</v>
      </c>
      <c r="BD180" s="8">
        <v>0</v>
      </c>
      <c r="BE180" s="8">
        <v>0</v>
      </c>
      <c r="BF180" s="8">
        <v>0</v>
      </c>
      <c r="BG180" s="8">
        <v>0</v>
      </c>
      <c r="BH180" s="8">
        <v>0</v>
      </c>
      <c r="BI180" s="8">
        <v>0</v>
      </c>
      <c r="BJ180" s="8">
        <v>0</v>
      </c>
      <c r="BK180" s="8">
        <v>0</v>
      </c>
      <c r="BL180" s="8">
        <v>0</v>
      </c>
      <c r="BM180" s="8">
        <v>0</v>
      </c>
      <c r="BN180" s="8">
        <v>0</v>
      </c>
      <c r="BO180" s="8">
        <v>0</v>
      </c>
      <c r="BP180" s="8">
        <v>0</v>
      </c>
      <c r="BQ180" s="8">
        <v>0</v>
      </c>
      <c r="BR180" s="8">
        <v>0</v>
      </c>
      <c r="BS180" s="8">
        <f t="shared" si="257"/>
        <v>3</v>
      </c>
      <c r="BT180" s="8"/>
      <c r="BU180" s="2">
        <f t="shared" si="2"/>
        <v>1</v>
      </c>
      <c r="BV180" s="2">
        <f t="shared" si="3"/>
        <v>0</v>
      </c>
      <c r="BW180" s="2">
        <f t="shared" si="4"/>
        <v>0</v>
      </c>
      <c r="BX180" s="2">
        <f t="shared" si="5"/>
        <v>1</v>
      </c>
      <c r="BY180" s="2">
        <f t="shared" si="6"/>
        <v>0</v>
      </c>
      <c r="BZ180" s="2">
        <f t="shared" ref="BZ180:CA180" si="265">SUM(AQ180)</f>
        <v>1</v>
      </c>
      <c r="CA180" s="2">
        <f t="shared" si="265"/>
        <v>0</v>
      </c>
      <c r="CB180" s="2">
        <f t="shared" si="8"/>
        <v>0</v>
      </c>
    </row>
    <row r="181" spans="1:80" ht="16" x14ac:dyDescent="0.2">
      <c r="A181" s="3" t="s">
        <v>111</v>
      </c>
      <c r="B181" s="10">
        <v>246</v>
      </c>
      <c r="C181" s="5">
        <v>1</v>
      </c>
      <c r="D181" s="10">
        <v>1</v>
      </c>
      <c r="E181" s="5">
        <v>0</v>
      </c>
      <c r="F181" s="10">
        <v>1939</v>
      </c>
      <c r="G181" s="10" t="s">
        <v>74</v>
      </c>
      <c r="H181" s="7" t="str">
        <f t="shared" si="0"/>
        <v>No</v>
      </c>
      <c r="I181" s="54" t="s">
        <v>55</v>
      </c>
      <c r="J181" s="8">
        <v>1</v>
      </c>
      <c r="K181" s="8" t="s">
        <v>51</v>
      </c>
      <c r="L181" s="8" t="s">
        <v>52</v>
      </c>
      <c r="M181" s="8" t="s">
        <v>52</v>
      </c>
      <c r="N181" s="8">
        <v>1</v>
      </c>
      <c r="O181" s="8">
        <v>0</v>
      </c>
      <c r="P181" s="8">
        <v>0</v>
      </c>
      <c r="Q181" s="8" t="s">
        <v>67</v>
      </c>
      <c r="R181" s="9">
        <v>0.1</v>
      </c>
      <c r="S181" s="8">
        <v>1</v>
      </c>
      <c r="T181" s="8">
        <v>0</v>
      </c>
      <c r="U181" s="8">
        <v>0</v>
      </c>
      <c r="V181" s="8">
        <v>1</v>
      </c>
      <c r="W181" s="8">
        <v>1</v>
      </c>
      <c r="X181" s="8">
        <v>0</v>
      </c>
      <c r="Y181" s="8">
        <v>0</v>
      </c>
      <c r="Z181" s="8">
        <v>0</v>
      </c>
      <c r="AA181" s="8" t="s">
        <v>112</v>
      </c>
      <c r="AB181" s="8">
        <v>0</v>
      </c>
      <c r="AC181" s="8">
        <v>0</v>
      </c>
      <c r="AD181" s="8">
        <v>0</v>
      </c>
      <c r="AE181" s="8">
        <v>0</v>
      </c>
      <c r="AF181" s="8">
        <v>1</v>
      </c>
      <c r="AG181" s="8">
        <v>0.5</v>
      </c>
      <c r="AH181" s="8">
        <v>0</v>
      </c>
      <c r="AI181" s="8">
        <v>1</v>
      </c>
      <c r="AJ181" s="8">
        <v>0</v>
      </c>
      <c r="AK181" s="8">
        <v>0</v>
      </c>
      <c r="AL181" s="8">
        <v>0</v>
      </c>
      <c r="AM181" s="8">
        <v>0</v>
      </c>
      <c r="AN181" s="8">
        <v>0</v>
      </c>
      <c r="AO181" s="8">
        <v>0</v>
      </c>
      <c r="AP181" s="8">
        <v>0</v>
      </c>
      <c r="AQ181" s="8">
        <v>1</v>
      </c>
      <c r="AR181" s="8">
        <v>0</v>
      </c>
      <c r="AS181" s="8">
        <v>0</v>
      </c>
      <c r="AT181" s="8">
        <v>0</v>
      </c>
      <c r="AU181" s="8">
        <v>1</v>
      </c>
      <c r="AV181" s="8">
        <v>0</v>
      </c>
      <c r="AW181" s="8">
        <v>0</v>
      </c>
      <c r="AX181" s="8">
        <v>0</v>
      </c>
      <c r="AY181" s="8">
        <v>0</v>
      </c>
      <c r="AZ181" s="8">
        <v>0</v>
      </c>
      <c r="BA181" s="8">
        <v>0</v>
      </c>
      <c r="BB181" s="8">
        <v>0</v>
      </c>
      <c r="BC181" s="8">
        <v>0</v>
      </c>
      <c r="BD181" s="8">
        <v>0</v>
      </c>
      <c r="BE181" s="8">
        <v>0</v>
      </c>
      <c r="BF181" s="8">
        <v>0</v>
      </c>
      <c r="BG181" s="8">
        <v>0</v>
      </c>
      <c r="BH181" s="8">
        <v>0</v>
      </c>
      <c r="BI181" s="8">
        <v>0</v>
      </c>
      <c r="BJ181" s="8">
        <v>0</v>
      </c>
      <c r="BK181" s="8">
        <v>0</v>
      </c>
      <c r="BL181" s="8">
        <v>0</v>
      </c>
      <c r="BM181" s="8">
        <v>0</v>
      </c>
      <c r="BN181" s="8">
        <v>0</v>
      </c>
      <c r="BO181" s="8">
        <v>0</v>
      </c>
      <c r="BP181" s="8">
        <v>0</v>
      </c>
      <c r="BQ181" s="8">
        <v>0</v>
      </c>
      <c r="BR181" s="8">
        <v>0</v>
      </c>
      <c r="BS181" s="8">
        <f t="shared" si="257"/>
        <v>3</v>
      </c>
      <c r="BT181" s="8"/>
      <c r="BU181" s="2">
        <f t="shared" si="2"/>
        <v>1</v>
      </c>
      <c r="BV181" s="2">
        <f t="shared" si="3"/>
        <v>0</v>
      </c>
      <c r="BW181" s="2">
        <f t="shared" si="4"/>
        <v>0</v>
      </c>
      <c r="BX181" s="2">
        <f t="shared" si="5"/>
        <v>1</v>
      </c>
      <c r="BY181" s="2">
        <f t="shared" si="6"/>
        <v>0</v>
      </c>
      <c r="BZ181" s="2">
        <f t="shared" ref="BZ181:CA181" si="266">SUM(AQ181)</f>
        <v>1</v>
      </c>
      <c r="CA181" s="2">
        <f t="shared" si="266"/>
        <v>0</v>
      </c>
      <c r="CB181" s="2">
        <f t="shared" si="8"/>
        <v>0</v>
      </c>
    </row>
    <row r="182" spans="1:80" ht="16" x14ac:dyDescent="0.2">
      <c r="A182" s="3" t="s">
        <v>111</v>
      </c>
      <c r="B182" s="10">
        <v>246</v>
      </c>
      <c r="C182" s="5">
        <v>1</v>
      </c>
      <c r="D182" s="10">
        <v>1</v>
      </c>
      <c r="E182" s="5">
        <v>0</v>
      </c>
      <c r="F182" s="10">
        <v>1939</v>
      </c>
      <c r="G182" s="10" t="s">
        <v>75</v>
      </c>
      <c r="H182" s="7" t="str">
        <f t="shared" si="0"/>
        <v>No</v>
      </c>
      <c r="I182" s="54" t="s">
        <v>55</v>
      </c>
      <c r="J182" s="8">
        <v>1</v>
      </c>
      <c r="K182" s="8" t="s">
        <v>51</v>
      </c>
      <c r="L182" s="8" t="s">
        <v>52</v>
      </c>
      <c r="M182" s="8" t="s">
        <v>52</v>
      </c>
      <c r="N182" s="8">
        <v>1</v>
      </c>
      <c r="O182" s="8">
        <v>0</v>
      </c>
      <c r="P182" s="8">
        <v>0</v>
      </c>
      <c r="Q182" s="8" t="s">
        <v>67</v>
      </c>
      <c r="R182" s="9">
        <v>0.1</v>
      </c>
      <c r="S182" s="8">
        <v>1</v>
      </c>
      <c r="T182" s="8">
        <v>0</v>
      </c>
      <c r="U182" s="8">
        <v>0</v>
      </c>
      <c r="V182" s="8">
        <v>1</v>
      </c>
      <c r="W182" s="8">
        <v>1</v>
      </c>
      <c r="X182" s="8">
        <v>0</v>
      </c>
      <c r="Y182" s="8">
        <v>0</v>
      </c>
      <c r="Z182" s="8">
        <v>0</v>
      </c>
      <c r="AA182" s="8" t="s">
        <v>112</v>
      </c>
      <c r="AB182" s="8">
        <v>0</v>
      </c>
      <c r="AC182" s="8">
        <v>0</v>
      </c>
      <c r="AD182" s="8">
        <v>0</v>
      </c>
      <c r="AE182" s="8">
        <v>0</v>
      </c>
      <c r="AF182" s="8">
        <v>1</v>
      </c>
      <c r="AG182" s="8">
        <v>0.5</v>
      </c>
      <c r="AH182" s="8">
        <v>0</v>
      </c>
      <c r="AI182" s="8">
        <v>1</v>
      </c>
      <c r="AJ182" s="8">
        <v>0</v>
      </c>
      <c r="AK182" s="8">
        <v>0</v>
      </c>
      <c r="AL182" s="8">
        <v>0</v>
      </c>
      <c r="AM182" s="8">
        <v>0</v>
      </c>
      <c r="AN182" s="8">
        <v>0</v>
      </c>
      <c r="AO182" s="8">
        <v>0</v>
      </c>
      <c r="AP182" s="8">
        <v>0</v>
      </c>
      <c r="AQ182" s="8">
        <v>1</v>
      </c>
      <c r="AR182" s="8">
        <v>0</v>
      </c>
      <c r="AS182" s="8">
        <v>0</v>
      </c>
      <c r="AT182" s="8">
        <v>0</v>
      </c>
      <c r="AU182" s="8">
        <v>1</v>
      </c>
      <c r="AV182" s="8">
        <v>0</v>
      </c>
      <c r="AW182" s="8">
        <v>0</v>
      </c>
      <c r="AX182" s="8">
        <v>0</v>
      </c>
      <c r="AY182" s="8">
        <v>0</v>
      </c>
      <c r="AZ182" s="8">
        <v>0</v>
      </c>
      <c r="BA182" s="8">
        <v>0</v>
      </c>
      <c r="BB182" s="8">
        <v>0</v>
      </c>
      <c r="BC182" s="8">
        <v>0</v>
      </c>
      <c r="BD182" s="8">
        <v>0</v>
      </c>
      <c r="BE182" s="8">
        <v>0</v>
      </c>
      <c r="BF182" s="8">
        <v>0</v>
      </c>
      <c r="BG182" s="8">
        <v>0</v>
      </c>
      <c r="BH182" s="8">
        <v>0</v>
      </c>
      <c r="BI182" s="8">
        <v>0</v>
      </c>
      <c r="BJ182" s="8">
        <v>0</v>
      </c>
      <c r="BK182" s="8">
        <v>0</v>
      </c>
      <c r="BL182" s="8">
        <v>0</v>
      </c>
      <c r="BM182" s="8">
        <v>0</v>
      </c>
      <c r="BN182" s="8">
        <v>0</v>
      </c>
      <c r="BO182" s="8">
        <v>0</v>
      </c>
      <c r="BP182" s="8">
        <v>0</v>
      </c>
      <c r="BQ182" s="8">
        <v>0</v>
      </c>
      <c r="BR182" s="8">
        <v>0</v>
      </c>
      <c r="BS182" s="8">
        <f t="shared" si="257"/>
        <v>3</v>
      </c>
      <c r="BT182" s="8"/>
      <c r="BU182" s="2">
        <f t="shared" si="2"/>
        <v>1</v>
      </c>
      <c r="BV182" s="2">
        <f t="shared" si="3"/>
        <v>0</v>
      </c>
      <c r="BW182" s="2">
        <f t="shared" si="4"/>
        <v>0</v>
      </c>
      <c r="BX182" s="2">
        <f t="shared" si="5"/>
        <v>1</v>
      </c>
      <c r="BY182" s="2">
        <f t="shared" si="6"/>
        <v>0</v>
      </c>
      <c r="BZ182" s="2">
        <f t="shared" ref="BZ182:CA182" si="267">SUM(AQ182)</f>
        <v>1</v>
      </c>
      <c r="CA182" s="2">
        <f t="shared" si="267"/>
        <v>0</v>
      </c>
      <c r="CB182" s="2">
        <f t="shared" si="8"/>
        <v>0</v>
      </c>
    </row>
    <row r="183" spans="1:80" ht="16" x14ac:dyDescent="0.2">
      <c r="A183" s="3" t="s">
        <v>111</v>
      </c>
      <c r="B183" s="10">
        <v>246</v>
      </c>
      <c r="C183" s="5">
        <v>1</v>
      </c>
      <c r="D183" s="10">
        <v>1</v>
      </c>
      <c r="E183" s="5">
        <v>0</v>
      </c>
      <c r="F183" s="10">
        <v>1939</v>
      </c>
      <c r="G183" s="10" t="s">
        <v>76</v>
      </c>
      <c r="H183" s="7" t="str">
        <f t="shared" si="0"/>
        <v>No</v>
      </c>
      <c r="I183" s="54" t="s">
        <v>55</v>
      </c>
      <c r="J183" s="8">
        <v>1</v>
      </c>
      <c r="K183" s="8" t="s">
        <v>51</v>
      </c>
      <c r="L183" s="8" t="s">
        <v>52</v>
      </c>
      <c r="M183" s="8" t="s">
        <v>52</v>
      </c>
      <c r="N183" s="8">
        <v>1</v>
      </c>
      <c r="O183" s="8">
        <v>0</v>
      </c>
      <c r="P183" s="8">
        <v>0</v>
      </c>
      <c r="Q183" s="8" t="s">
        <v>67</v>
      </c>
      <c r="R183" s="9">
        <v>0.1</v>
      </c>
      <c r="S183" s="8">
        <v>1</v>
      </c>
      <c r="T183" s="8">
        <v>0</v>
      </c>
      <c r="U183" s="8">
        <v>0</v>
      </c>
      <c r="V183" s="8">
        <v>1</v>
      </c>
      <c r="W183" s="8">
        <v>1</v>
      </c>
      <c r="X183" s="8">
        <v>0</v>
      </c>
      <c r="Y183" s="8">
        <v>0</v>
      </c>
      <c r="Z183" s="8">
        <v>0</v>
      </c>
      <c r="AA183" s="8" t="s">
        <v>112</v>
      </c>
      <c r="AB183" s="8">
        <v>0</v>
      </c>
      <c r="AC183" s="8">
        <v>0</v>
      </c>
      <c r="AD183" s="8">
        <v>0</v>
      </c>
      <c r="AE183" s="8">
        <v>0</v>
      </c>
      <c r="AF183" s="8">
        <v>1</v>
      </c>
      <c r="AG183" s="8">
        <v>0.5</v>
      </c>
      <c r="AH183" s="8">
        <v>0</v>
      </c>
      <c r="AI183" s="8">
        <v>1</v>
      </c>
      <c r="AJ183" s="8">
        <v>0</v>
      </c>
      <c r="AK183" s="8">
        <v>0</v>
      </c>
      <c r="AL183" s="8">
        <v>0</v>
      </c>
      <c r="AM183" s="8">
        <v>0</v>
      </c>
      <c r="AN183" s="8">
        <v>0</v>
      </c>
      <c r="AO183" s="8">
        <v>0</v>
      </c>
      <c r="AP183" s="8">
        <v>0</v>
      </c>
      <c r="AQ183" s="8">
        <v>1</v>
      </c>
      <c r="AR183" s="8">
        <v>0</v>
      </c>
      <c r="AS183" s="8">
        <v>0</v>
      </c>
      <c r="AT183" s="8">
        <v>0</v>
      </c>
      <c r="AU183" s="8">
        <v>1</v>
      </c>
      <c r="AV183" s="8">
        <v>0</v>
      </c>
      <c r="AW183" s="8">
        <v>0</v>
      </c>
      <c r="AX183" s="8">
        <v>0</v>
      </c>
      <c r="AY183" s="8">
        <v>0</v>
      </c>
      <c r="AZ183" s="8">
        <v>0</v>
      </c>
      <c r="BA183" s="8">
        <v>0</v>
      </c>
      <c r="BB183" s="8">
        <v>0</v>
      </c>
      <c r="BC183" s="8">
        <v>0</v>
      </c>
      <c r="BD183" s="8">
        <v>0</v>
      </c>
      <c r="BE183" s="8">
        <v>0</v>
      </c>
      <c r="BF183" s="8">
        <v>0</v>
      </c>
      <c r="BG183" s="8">
        <v>0</v>
      </c>
      <c r="BH183" s="8">
        <v>0</v>
      </c>
      <c r="BI183" s="8">
        <v>0</v>
      </c>
      <c r="BJ183" s="8">
        <v>0</v>
      </c>
      <c r="BK183" s="8">
        <v>0</v>
      </c>
      <c r="BL183" s="8">
        <v>0</v>
      </c>
      <c r="BM183" s="8">
        <v>0</v>
      </c>
      <c r="BN183" s="8">
        <v>0</v>
      </c>
      <c r="BO183" s="8">
        <v>0</v>
      </c>
      <c r="BP183" s="8">
        <v>0</v>
      </c>
      <c r="BQ183" s="8">
        <v>0</v>
      </c>
      <c r="BR183" s="8">
        <v>0</v>
      </c>
      <c r="BS183" s="8">
        <f t="shared" si="257"/>
        <v>3</v>
      </c>
      <c r="BT183" s="8"/>
      <c r="BU183" s="2">
        <f t="shared" si="2"/>
        <v>1</v>
      </c>
      <c r="BV183" s="2">
        <f t="shared" si="3"/>
        <v>0</v>
      </c>
      <c r="BW183" s="2">
        <f t="shared" si="4"/>
        <v>0</v>
      </c>
      <c r="BX183" s="2">
        <f t="shared" si="5"/>
        <v>1</v>
      </c>
      <c r="BY183" s="2">
        <f t="shared" si="6"/>
        <v>0</v>
      </c>
      <c r="BZ183" s="2">
        <f t="shared" ref="BZ183:CA183" si="268">SUM(AQ183)</f>
        <v>1</v>
      </c>
      <c r="CA183" s="2">
        <f t="shared" si="268"/>
        <v>0</v>
      </c>
      <c r="CB183" s="2">
        <f t="shared" si="8"/>
        <v>0</v>
      </c>
    </row>
    <row r="184" spans="1:80" ht="16" x14ac:dyDescent="0.2">
      <c r="A184" s="3" t="s">
        <v>111</v>
      </c>
      <c r="B184" s="10">
        <v>246</v>
      </c>
      <c r="C184" s="5">
        <v>1</v>
      </c>
      <c r="D184" s="10">
        <v>1</v>
      </c>
      <c r="E184" s="5">
        <v>0</v>
      </c>
      <c r="F184" s="10">
        <v>1939</v>
      </c>
      <c r="G184" s="10" t="s">
        <v>77</v>
      </c>
      <c r="H184" s="7" t="str">
        <f t="shared" si="0"/>
        <v>No</v>
      </c>
      <c r="I184" s="54" t="s">
        <v>55</v>
      </c>
      <c r="J184" s="8">
        <v>1</v>
      </c>
      <c r="K184" s="8" t="s">
        <v>51</v>
      </c>
      <c r="L184" s="8" t="s">
        <v>52</v>
      </c>
      <c r="M184" s="8" t="s">
        <v>52</v>
      </c>
      <c r="N184" s="8">
        <v>1</v>
      </c>
      <c r="O184" s="8">
        <v>0</v>
      </c>
      <c r="P184" s="8">
        <v>0</v>
      </c>
      <c r="Q184" s="8" t="s">
        <v>67</v>
      </c>
      <c r="R184" s="9">
        <v>0.1</v>
      </c>
      <c r="S184" s="8">
        <v>1</v>
      </c>
      <c r="T184" s="8">
        <v>0</v>
      </c>
      <c r="U184" s="8">
        <v>0</v>
      </c>
      <c r="V184" s="8">
        <v>1</v>
      </c>
      <c r="W184" s="8">
        <v>1</v>
      </c>
      <c r="X184" s="8">
        <v>0</v>
      </c>
      <c r="Y184" s="8">
        <v>0</v>
      </c>
      <c r="Z184" s="8">
        <v>0</v>
      </c>
      <c r="AA184" s="8" t="s">
        <v>112</v>
      </c>
      <c r="AB184" s="8">
        <v>0</v>
      </c>
      <c r="AC184" s="8">
        <v>0</v>
      </c>
      <c r="AD184" s="8">
        <v>0</v>
      </c>
      <c r="AE184" s="8">
        <v>0</v>
      </c>
      <c r="AF184" s="8">
        <v>1</v>
      </c>
      <c r="AG184" s="8">
        <v>0.5</v>
      </c>
      <c r="AH184" s="8">
        <v>0</v>
      </c>
      <c r="AI184" s="8">
        <v>1</v>
      </c>
      <c r="AJ184" s="8">
        <v>0</v>
      </c>
      <c r="AK184" s="8">
        <v>0</v>
      </c>
      <c r="AL184" s="8">
        <v>0</v>
      </c>
      <c r="AM184" s="8">
        <v>0</v>
      </c>
      <c r="AN184" s="8">
        <v>0</v>
      </c>
      <c r="AO184" s="8">
        <v>0</v>
      </c>
      <c r="AP184" s="8">
        <v>0</v>
      </c>
      <c r="AQ184" s="8">
        <v>1</v>
      </c>
      <c r="AR184" s="8">
        <v>0</v>
      </c>
      <c r="AS184" s="8">
        <v>0</v>
      </c>
      <c r="AT184" s="8">
        <v>0</v>
      </c>
      <c r="AU184" s="8">
        <v>1</v>
      </c>
      <c r="AV184" s="8">
        <v>0</v>
      </c>
      <c r="AW184" s="8">
        <v>0</v>
      </c>
      <c r="AX184" s="8">
        <v>0</v>
      </c>
      <c r="AY184" s="8">
        <v>0</v>
      </c>
      <c r="AZ184" s="8">
        <v>0</v>
      </c>
      <c r="BA184" s="8">
        <v>0</v>
      </c>
      <c r="BB184" s="8">
        <v>0</v>
      </c>
      <c r="BC184" s="8">
        <v>0</v>
      </c>
      <c r="BD184" s="8">
        <v>0</v>
      </c>
      <c r="BE184" s="8">
        <v>0</v>
      </c>
      <c r="BF184" s="8">
        <v>0</v>
      </c>
      <c r="BG184" s="8">
        <v>0</v>
      </c>
      <c r="BH184" s="8">
        <v>0</v>
      </c>
      <c r="BI184" s="8">
        <v>0</v>
      </c>
      <c r="BJ184" s="8">
        <v>0</v>
      </c>
      <c r="BK184" s="8">
        <v>0</v>
      </c>
      <c r="BL184" s="8">
        <v>0</v>
      </c>
      <c r="BM184" s="8">
        <v>0</v>
      </c>
      <c r="BN184" s="8">
        <v>0</v>
      </c>
      <c r="BO184" s="8">
        <v>0</v>
      </c>
      <c r="BP184" s="8">
        <v>0</v>
      </c>
      <c r="BQ184" s="8">
        <v>0</v>
      </c>
      <c r="BR184" s="8">
        <v>0</v>
      </c>
      <c r="BS184" s="8">
        <f t="shared" si="257"/>
        <v>3</v>
      </c>
      <c r="BT184" s="8"/>
      <c r="BU184" s="2">
        <f t="shared" si="2"/>
        <v>1</v>
      </c>
      <c r="BV184" s="2">
        <f t="shared" si="3"/>
        <v>0</v>
      </c>
      <c r="BW184" s="2">
        <f t="shared" si="4"/>
        <v>0</v>
      </c>
      <c r="BX184" s="2">
        <f t="shared" si="5"/>
        <v>1</v>
      </c>
      <c r="BY184" s="2">
        <f t="shared" si="6"/>
        <v>0</v>
      </c>
      <c r="BZ184" s="2">
        <f t="shared" ref="BZ184:CA184" si="269">SUM(AQ184)</f>
        <v>1</v>
      </c>
      <c r="CA184" s="2">
        <f t="shared" si="269"/>
        <v>0</v>
      </c>
      <c r="CB184" s="2">
        <f t="shared" si="8"/>
        <v>0</v>
      </c>
    </row>
    <row r="185" spans="1:80" ht="16" x14ac:dyDescent="0.2">
      <c r="A185" s="3" t="s">
        <v>111</v>
      </c>
      <c r="B185" s="10">
        <v>246</v>
      </c>
      <c r="C185" s="5">
        <v>1</v>
      </c>
      <c r="D185" s="10">
        <v>1</v>
      </c>
      <c r="E185" s="5">
        <v>0</v>
      </c>
      <c r="F185" s="10">
        <v>1939</v>
      </c>
      <c r="G185" s="10" t="s">
        <v>78</v>
      </c>
      <c r="H185" s="7" t="str">
        <f t="shared" si="0"/>
        <v>No</v>
      </c>
      <c r="I185" s="54" t="s">
        <v>55</v>
      </c>
      <c r="J185" s="8">
        <v>1</v>
      </c>
      <c r="K185" s="8" t="s">
        <v>51</v>
      </c>
      <c r="L185" s="8" t="s">
        <v>52</v>
      </c>
      <c r="M185" s="8" t="s">
        <v>52</v>
      </c>
      <c r="N185" s="8">
        <v>1</v>
      </c>
      <c r="O185" s="8">
        <v>0</v>
      </c>
      <c r="P185" s="8">
        <v>0</v>
      </c>
      <c r="Q185" s="8" t="s">
        <v>67</v>
      </c>
      <c r="R185" s="9">
        <v>0.1</v>
      </c>
      <c r="S185" s="8">
        <v>1</v>
      </c>
      <c r="T185" s="8">
        <v>0</v>
      </c>
      <c r="U185" s="8">
        <v>0</v>
      </c>
      <c r="V185" s="8">
        <v>1</v>
      </c>
      <c r="W185" s="8">
        <v>1</v>
      </c>
      <c r="X185" s="8">
        <v>0</v>
      </c>
      <c r="Y185" s="8">
        <v>0</v>
      </c>
      <c r="Z185" s="8">
        <v>0</v>
      </c>
      <c r="AA185" s="8" t="s">
        <v>112</v>
      </c>
      <c r="AB185" s="8">
        <v>0</v>
      </c>
      <c r="AC185" s="8">
        <v>0</v>
      </c>
      <c r="AD185" s="8">
        <v>0</v>
      </c>
      <c r="AE185" s="8">
        <v>0</v>
      </c>
      <c r="AF185" s="8">
        <v>1</v>
      </c>
      <c r="AG185" s="8">
        <v>0.5</v>
      </c>
      <c r="AH185" s="8">
        <v>0</v>
      </c>
      <c r="AI185" s="8">
        <v>1</v>
      </c>
      <c r="AJ185" s="8">
        <v>0</v>
      </c>
      <c r="AK185" s="8">
        <v>0</v>
      </c>
      <c r="AL185" s="8">
        <v>0</v>
      </c>
      <c r="AM185" s="8">
        <v>0</v>
      </c>
      <c r="AN185" s="8">
        <v>0</v>
      </c>
      <c r="AO185" s="8">
        <v>0</v>
      </c>
      <c r="AP185" s="8">
        <v>0</v>
      </c>
      <c r="AQ185" s="8">
        <v>1</v>
      </c>
      <c r="AR185" s="8">
        <v>0</v>
      </c>
      <c r="AS185" s="8">
        <v>0</v>
      </c>
      <c r="AT185" s="8">
        <v>0</v>
      </c>
      <c r="AU185" s="8">
        <v>1</v>
      </c>
      <c r="AV185" s="8">
        <v>0</v>
      </c>
      <c r="AW185" s="8">
        <v>0</v>
      </c>
      <c r="AX185" s="8">
        <v>0</v>
      </c>
      <c r="AY185" s="8">
        <v>0</v>
      </c>
      <c r="AZ185" s="8">
        <v>0</v>
      </c>
      <c r="BA185" s="8">
        <v>0</v>
      </c>
      <c r="BB185" s="8">
        <v>0</v>
      </c>
      <c r="BC185" s="8">
        <v>0</v>
      </c>
      <c r="BD185" s="8">
        <v>0</v>
      </c>
      <c r="BE185" s="8">
        <v>0</v>
      </c>
      <c r="BF185" s="8">
        <v>0</v>
      </c>
      <c r="BG185" s="8">
        <v>0</v>
      </c>
      <c r="BH185" s="8">
        <v>0</v>
      </c>
      <c r="BI185" s="8">
        <v>0</v>
      </c>
      <c r="BJ185" s="8">
        <v>0</v>
      </c>
      <c r="BK185" s="8">
        <v>0</v>
      </c>
      <c r="BL185" s="8">
        <v>0</v>
      </c>
      <c r="BM185" s="8">
        <v>0</v>
      </c>
      <c r="BN185" s="8">
        <v>0</v>
      </c>
      <c r="BO185" s="8">
        <v>0</v>
      </c>
      <c r="BP185" s="8">
        <v>0</v>
      </c>
      <c r="BQ185" s="8">
        <v>0</v>
      </c>
      <c r="BR185" s="8">
        <v>0</v>
      </c>
      <c r="BS185" s="8">
        <f t="shared" si="257"/>
        <v>3</v>
      </c>
      <c r="BT185" s="8"/>
      <c r="BU185" s="2">
        <f t="shared" si="2"/>
        <v>1</v>
      </c>
      <c r="BV185" s="2">
        <f t="shared" si="3"/>
        <v>0</v>
      </c>
      <c r="BW185" s="2">
        <f t="shared" si="4"/>
        <v>0</v>
      </c>
      <c r="BX185" s="2">
        <f t="shared" si="5"/>
        <v>1</v>
      </c>
      <c r="BY185" s="2">
        <f t="shared" si="6"/>
        <v>0</v>
      </c>
      <c r="BZ185" s="2">
        <f t="shared" ref="BZ185:CA185" si="270">SUM(AQ185)</f>
        <v>1</v>
      </c>
      <c r="CA185" s="2">
        <f t="shared" si="270"/>
        <v>0</v>
      </c>
      <c r="CB185" s="2">
        <f t="shared" si="8"/>
        <v>0</v>
      </c>
    </row>
    <row r="186" spans="1:80" ht="15" customHeight="1" x14ac:dyDescent="0.2">
      <c r="A186" s="3" t="s">
        <v>111</v>
      </c>
      <c r="B186" s="10">
        <v>246</v>
      </c>
      <c r="C186" s="5">
        <v>1</v>
      </c>
      <c r="D186" s="10">
        <v>1</v>
      </c>
      <c r="E186" s="5">
        <v>0</v>
      </c>
      <c r="F186" s="10">
        <v>1939</v>
      </c>
      <c r="G186" s="10" t="s">
        <v>79</v>
      </c>
      <c r="H186" s="7" t="str">
        <f t="shared" si="0"/>
        <v>No</v>
      </c>
      <c r="I186" s="54" t="s">
        <v>57</v>
      </c>
      <c r="J186" s="8">
        <v>1</v>
      </c>
      <c r="K186" s="8" t="s">
        <v>51</v>
      </c>
      <c r="L186" s="8" t="s">
        <v>52</v>
      </c>
      <c r="M186" s="8" t="s">
        <v>52</v>
      </c>
      <c r="N186" s="8">
        <v>1</v>
      </c>
      <c r="O186" s="8">
        <v>0</v>
      </c>
      <c r="P186" s="8">
        <v>1</v>
      </c>
      <c r="Q186" s="8" t="s">
        <v>67</v>
      </c>
      <c r="R186" s="9">
        <v>0.1</v>
      </c>
      <c r="S186" s="8">
        <v>1</v>
      </c>
      <c r="T186" s="8">
        <v>0</v>
      </c>
      <c r="U186" s="8">
        <v>1</v>
      </c>
      <c r="V186" s="8">
        <v>1</v>
      </c>
      <c r="W186" s="8">
        <v>1</v>
      </c>
      <c r="X186" s="8">
        <v>0</v>
      </c>
      <c r="Y186" s="8">
        <v>0</v>
      </c>
      <c r="Z186" s="8">
        <v>0</v>
      </c>
      <c r="AA186" s="8" t="s">
        <v>112</v>
      </c>
      <c r="AB186" s="8">
        <v>0</v>
      </c>
      <c r="AC186" s="8">
        <v>0</v>
      </c>
      <c r="AD186" s="8">
        <v>0</v>
      </c>
      <c r="AE186" s="8">
        <v>0</v>
      </c>
      <c r="AF186" s="8">
        <v>1</v>
      </c>
      <c r="AG186" s="8">
        <v>0.5</v>
      </c>
      <c r="AH186" s="8">
        <v>0</v>
      </c>
      <c r="AI186" s="8">
        <v>1</v>
      </c>
      <c r="AJ186" s="8">
        <v>0</v>
      </c>
      <c r="AK186" s="8">
        <v>0</v>
      </c>
      <c r="AL186" s="8">
        <v>0</v>
      </c>
      <c r="AM186" s="8">
        <v>0</v>
      </c>
      <c r="AN186" s="8">
        <v>0</v>
      </c>
      <c r="AO186" s="8">
        <v>0</v>
      </c>
      <c r="AP186" s="8">
        <v>0</v>
      </c>
      <c r="AQ186" s="8">
        <v>1</v>
      </c>
      <c r="AR186" s="8">
        <v>0</v>
      </c>
      <c r="AS186" s="8">
        <v>0</v>
      </c>
      <c r="AT186" s="8">
        <v>0</v>
      </c>
      <c r="AU186" s="8">
        <v>1</v>
      </c>
      <c r="AV186" s="8">
        <v>0</v>
      </c>
      <c r="AW186" s="8">
        <v>0</v>
      </c>
      <c r="AX186" s="8">
        <v>0</v>
      </c>
      <c r="AY186" s="8">
        <v>0</v>
      </c>
      <c r="AZ186" s="8">
        <v>0</v>
      </c>
      <c r="BA186" s="8">
        <v>0</v>
      </c>
      <c r="BB186" s="8">
        <v>0</v>
      </c>
      <c r="BC186" s="8">
        <v>0</v>
      </c>
      <c r="BD186" s="8">
        <v>0</v>
      </c>
      <c r="BE186" s="8">
        <v>0</v>
      </c>
      <c r="BF186" s="8">
        <v>0</v>
      </c>
      <c r="BG186" s="8">
        <v>0</v>
      </c>
      <c r="BH186" s="8">
        <v>0</v>
      </c>
      <c r="BI186" s="8">
        <v>0</v>
      </c>
      <c r="BJ186" s="8">
        <v>0</v>
      </c>
      <c r="BK186" s="8">
        <v>1</v>
      </c>
      <c r="BL186" s="8">
        <v>0</v>
      </c>
      <c r="BM186" s="8">
        <v>0</v>
      </c>
      <c r="BN186" s="8">
        <v>0</v>
      </c>
      <c r="BO186" s="8">
        <v>0</v>
      </c>
      <c r="BP186" s="8">
        <v>0</v>
      </c>
      <c r="BQ186" s="8">
        <v>0</v>
      </c>
      <c r="BR186" s="8">
        <v>0</v>
      </c>
      <c r="BS186" s="8">
        <f t="shared" si="257"/>
        <v>4</v>
      </c>
      <c r="BT186" s="8" t="s">
        <v>113</v>
      </c>
      <c r="BU186" s="2">
        <f t="shared" si="2"/>
        <v>2</v>
      </c>
      <c r="BV186" s="2">
        <f t="shared" si="3"/>
        <v>0</v>
      </c>
      <c r="BW186" s="2">
        <f t="shared" si="4"/>
        <v>0</v>
      </c>
      <c r="BX186" s="2">
        <f t="shared" si="5"/>
        <v>1</v>
      </c>
      <c r="BY186" s="2">
        <f t="shared" si="6"/>
        <v>0</v>
      </c>
      <c r="BZ186" s="2">
        <f t="shared" ref="BZ186:CA186" si="271">SUM(AQ186)</f>
        <v>1</v>
      </c>
      <c r="CA186" s="2">
        <f t="shared" si="271"/>
        <v>0</v>
      </c>
      <c r="CB186" s="2">
        <f t="shared" si="8"/>
        <v>0</v>
      </c>
    </row>
    <row r="187" spans="1:80" ht="15" customHeight="1" x14ac:dyDescent="0.2">
      <c r="A187" s="3" t="s">
        <v>111</v>
      </c>
      <c r="B187" s="10">
        <v>246</v>
      </c>
      <c r="C187" s="5">
        <v>1</v>
      </c>
      <c r="D187" s="10">
        <v>1</v>
      </c>
      <c r="E187" s="5">
        <v>0</v>
      </c>
      <c r="F187" s="10">
        <v>1939</v>
      </c>
      <c r="G187" s="10" t="s">
        <v>80</v>
      </c>
      <c r="H187" s="7" t="str">
        <f t="shared" si="0"/>
        <v>No</v>
      </c>
      <c r="I187" s="54" t="s">
        <v>55</v>
      </c>
      <c r="J187" s="8">
        <v>1</v>
      </c>
      <c r="K187" s="8" t="s">
        <v>51</v>
      </c>
      <c r="L187" s="8" t="s">
        <v>52</v>
      </c>
      <c r="M187" s="8" t="s">
        <v>52</v>
      </c>
      <c r="N187" s="8">
        <v>1</v>
      </c>
      <c r="O187" s="8">
        <v>0</v>
      </c>
      <c r="P187" s="8">
        <v>1</v>
      </c>
      <c r="Q187" s="8" t="s">
        <v>67</v>
      </c>
      <c r="R187" s="9">
        <v>0.1</v>
      </c>
      <c r="S187" s="8">
        <v>1</v>
      </c>
      <c r="T187" s="8">
        <v>0</v>
      </c>
      <c r="U187" s="8">
        <v>1</v>
      </c>
      <c r="V187" s="8">
        <v>1</v>
      </c>
      <c r="W187" s="8">
        <v>1</v>
      </c>
      <c r="X187" s="8">
        <v>0</v>
      </c>
      <c r="Y187" s="8">
        <v>0</v>
      </c>
      <c r="Z187" s="8">
        <v>0</v>
      </c>
      <c r="AA187" s="8" t="s">
        <v>112</v>
      </c>
      <c r="AB187" s="8">
        <v>0</v>
      </c>
      <c r="AC187" s="8">
        <v>0</v>
      </c>
      <c r="AD187" s="8">
        <v>0</v>
      </c>
      <c r="AE187" s="8">
        <v>0</v>
      </c>
      <c r="AF187" s="8">
        <v>1</v>
      </c>
      <c r="AG187" s="8">
        <v>0.5</v>
      </c>
      <c r="AH187" s="8">
        <v>0</v>
      </c>
      <c r="AI187" s="8">
        <v>1</v>
      </c>
      <c r="AJ187" s="8">
        <v>0</v>
      </c>
      <c r="AK187" s="8">
        <v>0</v>
      </c>
      <c r="AL187" s="8">
        <v>0</v>
      </c>
      <c r="AM187" s="8">
        <v>0</v>
      </c>
      <c r="AN187" s="8">
        <v>0</v>
      </c>
      <c r="AO187" s="8">
        <v>0</v>
      </c>
      <c r="AP187" s="8">
        <v>0</v>
      </c>
      <c r="AQ187" s="8">
        <v>1</v>
      </c>
      <c r="AR187" s="8">
        <v>0</v>
      </c>
      <c r="AS187" s="8">
        <v>0</v>
      </c>
      <c r="AT187" s="8">
        <v>0</v>
      </c>
      <c r="AU187" s="8">
        <v>1</v>
      </c>
      <c r="AV187" s="8">
        <v>0</v>
      </c>
      <c r="AW187" s="8">
        <v>0</v>
      </c>
      <c r="AX187" s="8">
        <v>0</v>
      </c>
      <c r="AY187" s="8">
        <v>0</v>
      </c>
      <c r="AZ187" s="8">
        <v>0</v>
      </c>
      <c r="BA187" s="8">
        <v>0</v>
      </c>
      <c r="BB187" s="8">
        <v>0</v>
      </c>
      <c r="BC187" s="8">
        <v>0</v>
      </c>
      <c r="BD187" s="8">
        <v>0</v>
      </c>
      <c r="BE187" s="8">
        <v>0</v>
      </c>
      <c r="BF187" s="8">
        <v>0</v>
      </c>
      <c r="BG187" s="8">
        <v>0</v>
      </c>
      <c r="BH187" s="8">
        <v>0</v>
      </c>
      <c r="BI187" s="8">
        <v>0</v>
      </c>
      <c r="BJ187" s="8">
        <v>0</v>
      </c>
      <c r="BK187" s="8">
        <v>1</v>
      </c>
      <c r="BL187" s="8">
        <v>0</v>
      </c>
      <c r="BM187" s="8">
        <v>0</v>
      </c>
      <c r="BN187" s="8">
        <v>0</v>
      </c>
      <c r="BO187" s="8">
        <v>0</v>
      </c>
      <c r="BP187" s="8">
        <v>0</v>
      </c>
      <c r="BQ187" s="8">
        <v>0</v>
      </c>
      <c r="BR187" s="8">
        <v>0</v>
      </c>
      <c r="BS187" s="8">
        <f t="shared" si="257"/>
        <v>4</v>
      </c>
      <c r="BT187" s="8" t="s">
        <v>114</v>
      </c>
      <c r="BU187" s="2">
        <f t="shared" si="2"/>
        <v>2</v>
      </c>
      <c r="BV187" s="2">
        <f t="shared" si="3"/>
        <v>0</v>
      </c>
      <c r="BW187" s="2">
        <f t="shared" si="4"/>
        <v>0</v>
      </c>
      <c r="BX187" s="2">
        <f t="shared" si="5"/>
        <v>1</v>
      </c>
      <c r="BY187" s="2">
        <f t="shared" si="6"/>
        <v>0</v>
      </c>
      <c r="BZ187" s="2">
        <f t="shared" ref="BZ187:CA187" si="272">SUM(AQ187)</f>
        <v>1</v>
      </c>
      <c r="CA187" s="2">
        <f t="shared" si="272"/>
        <v>0</v>
      </c>
      <c r="CB187" s="2">
        <f t="shared" si="8"/>
        <v>0</v>
      </c>
    </row>
    <row r="188" spans="1:80" ht="15" customHeight="1" x14ac:dyDescent="0.2">
      <c r="A188" s="3" t="s">
        <v>111</v>
      </c>
      <c r="B188" s="10">
        <v>246</v>
      </c>
      <c r="C188" s="5">
        <v>1</v>
      </c>
      <c r="D188" s="10">
        <v>1</v>
      </c>
      <c r="E188" s="5">
        <v>0</v>
      </c>
      <c r="F188" s="10">
        <v>1939</v>
      </c>
      <c r="G188" s="10">
        <v>2022</v>
      </c>
      <c r="H188" s="7" t="str">
        <f t="shared" si="0"/>
        <v>No</v>
      </c>
      <c r="I188" s="54" t="s">
        <v>55</v>
      </c>
      <c r="J188" s="8">
        <v>1</v>
      </c>
      <c r="K188" s="8" t="s">
        <v>51</v>
      </c>
      <c r="L188" s="8" t="s">
        <v>52</v>
      </c>
      <c r="M188" s="8" t="s">
        <v>52</v>
      </c>
      <c r="N188" s="8">
        <v>1</v>
      </c>
      <c r="O188" s="8">
        <v>0</v>
      </c>
      <c r="P188" s="8">
        <v>1</v>
      </c>
      <c r="Q188" s="8" t="s">
        <v>67</v>
      </c>
      <c r="R188" s="9">
        <v>0.1</v>
      </c>
      <c r="S188" s="8">
        <v>1</v>
      </c>
      <c r="T188" s="8">
        <v>0</v>
      </c>
      <c r="U188" s="8">
        <v>1</v>
      </c>
      <c r="V188" s="8">
        <v>1</v>
      </c>
      <c r="W188" s="8">
        <v>1</v>
      </c>
      <c r="X188" s="8">
        <v>0</v>
      </c>
      <c r="Y188" s="8">
        <v>0</v>
      </c>
      <c r="Z188" s="8">
        <v>0</v>
      </c>
      <c r="AA188" s="8" t="s">
        <v>112</v>
      </c>
      <c r="AB188" s="8">
        <v>0</v>
      </c>
      <c r="AC188" s="8">
        <v>0</v>
      </c>
      <c r="AD188" s="8">
        <v>0</v>
      </c>
      <c r="AE188" s="8">
        <v>0</v>
      </c>
      <c r="AF188" s="8">
        <v>1</v>
      </c>
      <c r="AG188" s="8">
        <v>0.5</v>
      </c>
      <c r="AH188" s="8">
        <v>0</v>
      </c>
      <c r="AI188" s="8">
        <v>1</v>
      </c>
      <c r="AJ188" s="8">
        <v>0</v>
      </c>
      <c r="AK188" s="8">
        <v>0</v>
      </c>
      <c r="AL188" s="8">
        <v>0</v>
      </c>
      <c r="AM188" s="8">
        <v>0</v>
      </c>
      <c r="AN188" s="8">
        <v>0</v>
      </c>
      <c r="AO188" s="8">
        <v>0</v>
      </c>
      <c r="AP188" s="8">
        <v>0</v>
      </c>
      <c r="AQ188" s="8">
        <v>1</v>
      </c>
      <c r="AR188" s="8">
        <v>0</v>
      </c>
      <c r="AS188" s="8">
        <v>0</v>
      </c>
      <c r="AT188" s="8">
        <v>0</v>
      </c>
      <c r="AU188" s="8">
        <v>1</v>
      </c>
      <c r="AV188" s="8">
        <v>0</v>
      </c>
      <c r="AW188" s="8">
        <v>0</v>
      </c>
      <c r="AX188" s="8">
        <v>0</v>
      </c>
      <c r="AY188" s="8">
        <v>0</v>
      </c>
      <c r="AZ188" s="8">
        <v>0</v>
      </c>
      <c r="BA188" s="8">
        <v>0</v>
      </c>
      <c r="BB188" s="8">
        <v>0</v>
      </c>
      <c r="BC188" s="8">
        <v>0</v>
      </c>
      <c r="BD188" s="8">
        <v>0</v>
      </c>
      <c r="BE188" s="8">
        <v>0</v>
      </c>
      <c r="BF188" s="8">
        <v>0</v>
      </c>
      <c r="BG188" s="8">
        <v>0</v>
      </c>
      <c r="BH188" s="8">
        <v>0</v>
      </c>
      <c r="BI188" s="8">
        <v>0</v>
      </c>
      <c r="BJ188" s="8">
        <v>0</v>
      </c>
      <c r="BK188" s="8">
        <v>1</v>
      </c>
      <c r="BL188" s="8">
        <v>0</v>
      </c>
      <c r="BM188" s="8">
        <v>0</v>
      </c>
      <c r="BN188" s="8">
        <v>0</v>
      </c>
      <c r="BO188" s="8">
        <v>0</v>
      </c>
      <c r="BP188" s="8">
        <v>0</v>
      </c>
      <c r="BQ188" s="8">
        <v>0</v>
      </c>
      <c r="BR188" s="8">
        <v>0</v>
      </c>
      <c r="BS188" s="8">
        <f t="shared" si="257"/>
        <v>4</v>
      </c>
      <c r="BT188" s="8" t="s">
        <v>114</v>
      </c>
      <c r="BU188" s="2">
        <f t="shared" si="2"/>
        <v>2</v>
      </c>
      <c r="BV188" s="2">
        <f t="shared" si="3"/>
        <v>0</v>
      </c>
      <c r="BW188" s="2">
        <f t="shared" si="4"/>
        <v>0</v>
      </c>
      <c r="BX188" s="2">
        <f t="shared" si="5"/>
        <v>1</v>
      </c>
      <c r="BY188" s="2">
        <f t="shared" si="6"/>
        <v>0</v>
      </c>
      <c r="BZ188" s="2">
        <f t="shared" ref="BZ188:CA188" si="273">SUM(AQ188)</f>
        <v>1</v>
      </c>
      <c r="CA188" s="2">
        <f t="shared" si="273"/>
        <v>0</v>
      </c>
      <c r="CB188" s="2">
        <f t="shared" si="8"/>
        <v>0</v>
      </c>
    </row>
    <row r="189" spans="1:80" ht="15" customHeight="1" x14ac:dyDescent="0.2">
      <c r="A189" s="3" t="s">
        <v>111</v>
      </c>
      <c r="B189" s="10">
        <v>246</v>
      </c>
      <c r="C189" s="5">
        <v>1</v>
      </c>
      <c r="D189" s="10">
        <v>1</v>
      </c>
      <c r="E189" s="5">
        <v>0</v>
      </c>
      <c r="F189" s="10">
        <v>1939</v>
      </c>
      <c r="G189" s="10">
        <v>2023</v>
      </c>
      <c r="H189" s="7" t="str">
        <f t="shared" ref="H189" si="274">IF($I189="1", "Yes", "No")</f>
        <v>No</v>
      </c>
      <c r="I189" s="54" t="s">
        <v>55</v>
      </c>
      <c r="J189" s="8">
        <v>1</v>
      </c>
      <c r="K189" s="8" t="s">
        <v>51</v>
      </c>
      <c r="L189" s="8" t="s">
        <v>52</v>
      </c>
      <c r="M189" s="8" t="s">
        <v>52</v>
      </c>
      <c r="N189" s="8">
        <v>1</v>
      </c>
      <c r="O189" s="8">
        <v>0</v>
      </c>
      <c r="P189" s="8">
        <v>1</v>
      </c>
      <c r="Q189" s="8" t="s">
        <v>67</v>
      </c>
      <c r="R189" s="9">
        <v>0.1</v>
      </c>
      <c r="S189" s="8">
        <v>1</v>
      </c>
      <c r="T189" s="8">
        <v>0</v>
      </c>
      <c r="U189" s="8">
        <v>1</v>
      </c>
      <c r="V189" s="8">
        <v>1</v>
      </c>
      <c r="W189" s="8">
        <v>1</v>
      </c>
      <c r="X189" s="8">
        <v>0</v>
      </c>
      <c r="Y189" s="8">
        <v>0</v>
      </c>
      <c r="Z189" s="8">
        <v>0</v>
      </c>
      <c r="AA189" s="8" t="s">
        <v>112</v>
      </c>
      <c r="AB189" s="8">
        <v>0</v>
      </c>
      <c r="AC189" s="8">
        <v>0</v>
      </c>
      <c r="AD189" s="8">
        <v>0</v>
      </c>
      <c r="AE189" s="8">
        <v>0</v>
      </c>
      <c r="AF189" s="8">
        <v>1</v>
      </c>
      <c r="AG189" s="8">
        <v>0.5</v>
      </c>
      <c r="AH189" s="8">
        <v>0</v>
      </c>
      <c r="AI189" s="8">
        <v>1</v>
      </c>
      <c r="AJ189" s="8">
        <v>0</v>
      </c>
      <c r="AK189" s="8">
        <v>0</v>
      </c>
      <c r="AL189" s="8">
        <v>0</v>
      </c>
      <c r="AM189" s="8">
        <v>0</v>
      </c>
      <c r="AN189" s="8">
        <v>0</v>
      </c>
      <c r="AO189" s="8">
        <v>0</v>
      </c>
      <c r="AP189" s="8">
        <v>0</v>
      </c>
      <c r="AQ189" s="8">
        <v>1</v>
      </c>
      <c r="AR189" s="8">
        <v>0</v>
      </c>
      <c r="AS189" s="8">
        <v>0</v>
      </c>
      <c r="AT189" s="8">
        <v>0</v>
      </c>
      <c r="AU189" s="8">
        <v>1</v>
      </c>
      <c r="AV189" s="8">
        <v>0</v>
      </c>
      <c r="AW189" s="8">
        <v>0</v>
      </c>
      <c r="AX189" s="8">
        <v>0</v>
      </c>
      <c r="AY189" s="8">
        <v>0</v>
      </c>
      <c r="AZ189" s="8">
        <v>0</v>
      </c>
      <c r="BA189" s="8">
        <v>0</v>
      </c>
      <c r="BB189" s="8">
        <v>0</v>
      </c>
      <c r="BC189" s="8">
        <v>0</v>
      </c>
      <c r="BD189" s="8">
        <v>0</v>
      </c>
      <c r="BE189" s="8">
        <v>0</v>
      </c>
      <c r="BF189" s="8">
        <v>0</v>
      </c>
      <c r="BG189" s="8">
        <v>0</v>
      </c>
      <c r="BH189" s="8">
        <v>0</v>
      </c>
      <c r="BI189" s="8">
        <v>0</v>
      </c>
      <c r="BJ189" s="8">
        <v>0</v>
      </c>
      <c r="BK189" s="8">
        <v>1</v>
      </c>
      <c r="BL189" s="8">
        <v>0</v>
      </c>
      <c r="BM189" s="8">
        <v>0</v>
      </c>
      <c r="BN189" s="8">
        <v>0</v>
      </c>
      <c r="BO189" s="8">
        <v>0</v>
      </c>
      <c r="BP189" s="8">
        <v>0</v>
      </c>
      <c r="BQ189" s="8">
        <v>0</v>
      </c>
      <c r="BR189" s="8">
        <v>0</v>
      </c>
      <c r="BS189" s="8">
        <f t="shared" ref="BS189" si="275">SUM(AI189:BR189)</f>
        <v>4</v>
      </c>
      <c r="BT189" s="8" t="s">
        <v>114</v>
      </c>
      <c r="BU189" s="2">
        <f t="shared" ref="BU189" si="276">SUM(AI189,BK189)</f>
        <v>2</v>
      </c>
      <c r="BV189" s="2">
        <f t="shared" ref="BV189" si="277">SUM(AK189, AL189, AM189,AJ189,BL189,BO189, AP189)</f>
        <v>0</v>
      </c>
      <c r="BW189" s="2">
        <f t="shared" ref="BW189" si="278">SUM(AN189, AO189, AS189)</f>
        <v>0</v>
      </c>
      <c r="BX189" s="2">
        <f t="shared" ref="BX189" si="279">SUM(AU189,AV189,AW189,AX189,AY189,AZ189,BA189,BB189,BC189,BD189,BE189,BF189,BG189,BH189,BI189,BJ189,BQ189,BR189,BM189)</f>
        <v>1</v>
      </c>
      <c r="BY189" s="2">
        <f t="shared" ref="BY189" si="280">SUM(BP189, BN189)</f>
        <v>0</v>
      </c>
      <c r="BZ189" s="2">
        <f t="shared" ref="BZ189" si="281">SUM(AQ189)</f>
        <v>1</v>
      </c>
      <c r="CA189" s="2">
        <f t="shared" ref="CA189" si="282">SUM(AR189)</f>
        <v>0</v>
      </c>
      <c r="CB189" s="2">
        <f t="shared" ref="CB189" si="283">SUM(AT189)</f>
        <v>0</v>
      </c>
    </row>
    <row r="190" spans="1:80" ht="16" x14ac:dyDescent="0.2">
      <c r="A190" s="3" t="s">
        <v>115</v>
      </c>
      <c r="B190" s="10">
        <v>250</v>
      </c>
      <c r="C190" s="5">
        <v>1</v>
      </c>
      <c r="D190" s="10">
        <v>1</v>
      </c>
      <c r="E190" s="5">
        <v>0</v>
      </c>
      <c r="F190" s="10">
        <v>1966</v>
      </c>
      <c r="G190" s="10" t="s">
        <v>86</v>
      </c>
      <c r="H190" s="7" t="str">
        <f t="shared" si="0"/>
        <v>No</v>
      </c>
      <c r="I190" s="54" t="s">
        <v>55</v>
      </c>
      <c r="J190" s="8">
        <v>1</v>
      </c>
      <c r="K190" s="8" t="s">
        <v>63</v>
      </c>
      <c r="L190" s="8" t="s">
        <v>64</v>
      </c>
      <c r="M190" s="8" t="s">
        <v>64</v>
      </c>
      <c r="N190" s="8">
        <v>0</v>
      </c>
      <c r="O190" s="8">
        <v>0</v>
      </c>
      <c r="P190" s="8">
        <v>0</v>
      </c>
      <c r="Q190" s="8" t="s">
        <v>65</v>
      </c>
      <c r="R190" s="12">
        <v>0.33329999999999999</v>
      </c>
      <c r="S190" s="8">
        <v>0</v>
      </c>
      <c r="T190" s="8">
        <v>0</v>
      </c>
      <c r="U190" s="8">
        <v>1</v>
      </c>
      <c r="V190" s="8">
        <v>0</v>
      </c>
      <c r="W190" s="8">
        <v>1</v>
      </c>
      <c r="X190" s="8">
        <v>0</v>
      </c>
      <c r="Y190" s="8">
        <v>0</v>
      </c>
      <c r="Z190" s="8">
        <v>1</v>
      </c>
      <c r="AA190" s="8" t="s">
        <v>116</v>
      </c>
      <c r="AB190" s="8">
        <v>0</v>
      </c>
      <c r="AC190" s="8">
        <v>0</v>
      </c>
      <c r="AD190" s="8">
        <v>0</v>
      </c>
      <c r="AE190" s="8">
        <v>0</v>
      </c>
      <c r="AF190" s="8">
        <v>1</v>
      </c>
      <c r="AG190" s="8">
        <v>0.5</v>
      </c>
      <c r="AH190" s="8">
        <v>0</v>
      </c>
      <c r="AI190" s="8">
        <v>1</v>
      </c>
      <c r="AJ190" s="8">
        <v>0</v>
      </c>
      <c r="AK190" s="8">
        <v>0</v>
      </c>
      <c r="AL190" s="8">
        <v>1</v>
      </c>
      <c r="AM190" s="8">
        <v>0</v>
      </c>
      <c r="AN190" s="8">
        <v>0</v>
      </c>
      <c r="AO190" s="8">
        <v>0</v>
      </c>
      <c r="AP190" s="8">
        <v>0</v>
      </c>
      <c r="AQ190" s="8">
        <v>0</v>
      </c>
      <c r="AR190" s="8">
        <v>0</v>
      </c>
      <c r="AS190" s="8">
        <v>0</v>
      </c>
      <c r="AT190" s="8">
        <v>0</v>
      </c>
      <c r="AU190" s="8">
        <v>1</v>
      </c>
      <c r="AV190" s="8">
        <v>0</v>
      </c>
      <c r="AW190" s="8">
        <v>0</v>
      </c>
      <c r="AX190" s="8">
        <v>0</v>
      </c>
      <c r="AY190" s="8">
        <v>0</v>
      </c>
      <c r="AZ190" s="8">
        <v>0</v>
      </c>
      <c r="BA190" s="8">
        <v>0</v>
      </c>
      <c r="BB190" s="8">
        <v>0</v>
      </c>
      <c r="BC190" s="8">
        <v>0</v>
      </c>
      <c r="BD190" s="8">
        <v>0</v>
      </c>
      <c r="BE190" s="8">
        <v>0</v>
      </c>
      <c r="BF190" s="8">
        <v>0</v>
      </c>
      <c r="BG190" s="8">
        <v>0</v>
      </c>
      <c r="BH190" s="8">
        <v>0</v>
      </c>
      <c r="BI190" s="8">
        <v>1</v>
      </c>
      <c r="BJ190" s="8">
        <v>1</v>
      </c>
      <c r="BK190" s="8">
        <v>1</v>
      </c>
      <c r="BL190" s="8">
        <v>0</v>
      </c>
      <c r="BM190" s="8">
        <v>0</v>
      </c>
      <c r="BN190" s="8">
        <v>1</v>
      </c>
      <c r="BO190" s="8">
        <v>0</v>
      </c>
      <c r="BP190" s="8">
        <v>0</v>
      </c>
      <c r="BQ190" s="8">
        <v>1</v>
      </c>
      <c r="BR190" s="8">
        <v>0</v>
      </c>
      <c r="BS190" s="8">
        <f t="shared" si="257"/>
        <v>8</v>
      </c>
      <c r="BT190" s="8" t="s">
        <v>117</v>
      </c>
      <c r="BU190" s="2">
        <f t="shared" si="2"/>
        <v>2</v>
      </c>
      <c r="BV190" s="2">
        <f t="shared" si="3"/>
        <v>1</v>
      </c>
      <c r="BW190" s="2">
        <f t="shared" si="4"/>
        <v>0</v>
      </c>
      <c r="BX190" s="2">
        <f t="shared" si="5"/>
        <v>4</v>
      </c>
      <c r="BY190" s="2">
        <f t="shared" si="6"/>
        <v>1</v>
      </c>
      <c r="BZ190" s="2">
        <f t="shared" ref="BZ190:CA190" si="284">SUM(AQ190)</f>
        <v>0</v>
      </c>
      <c r="CA190" s="2">
        <f t="shared" si="284"/>
        <v>0</v>
      </c>
      <c r="CB190" s="2">
        <f t="shared" si="8"/>
        <v>0</v>
      </c>
    </row>
    <row r="191" spans="1:80" ht="16" x14ac:dyDescent="0.2">
      <c r="A191" s="3" t="s">
        <v>115</v>
      </c>
      <c r="B191" s="10">
        <v>250</v>
      </c>
      <c r="C191" s="5">
        <v>1</v>
      </c>
      <c r="D191" s="10">
        <v>1</v>
      </c>
      <c r="E191" s="5">
        <v>0</v>
      </c>
      <c r="F191" s="10">
        <v>1966</v>
      </c>
      <c r="G191" s="10" t="s">
        <v>90</v>
      </c>
      <c r="H191" s="7" t="str">
        <f t="shared" si="0"/>
        <v>No</v>
      </c>
      <c r="I191" s="54" t="s">
        <v>55</v>
      </c>
      <c r="J191" s="8">
        <v>1</v>
      </c>
      <c r="K191" s="8" t="s">
        <v>63</v>
      </c>
      <c r="L191" s="8" t="s">
        <v>64</v>
      </c>
      <c r="M191" s="8" t="s">
        <v>64</v>
      </c>
      <c r="N191" s="8">
        <v>0</v>
      </c>
      <c r="O191" s="8">
        <v>0</v>
      </c>
      <c r="P191" s="8">
        <v>0</v>
      </c>
      <c r="Q191" s="8" t="s">
        <v>65</v>
      </c>
      <c r="R191" s="12">
        <v>0.33329999999999999</v>
      </c>
      <c r="S191" s="8">
        <v>0</v>
      </c>
      <c r="T191" s="8">
        <v>0</v>
      </c>
      <c r="U191" s="8">
        <v>1</v>
      </c>
      <c r="V191" s="8">
        <v>0</v>
      </c>
      <c r="W191" s="8">
        <v>1</v>
      </c>
      <c r="X191" s="8">
        <v>0</v>
      </c>
      <c r="Y191" s="8">
        <v>0</v>
      </c>
      <c r="Z191" s="8">
        <v>1</v>
      </c>
      <c r="AA191" s="8" t="s">
        <v>116</v>
      </c>
      <c r="AB191" s="8">
        <v>0</v>
      </c>
      <c r="AC191" s="8">
        <v>0</v>
      </c>
      <c r="AD191" s="8">
        <v>0</v>
      </c>
      <c r="AE191" s="8">
        <v>0</v>
      </c>
      <c r="AF191" s="8">
        <v>1</v>
      </c>
      <c r="AG191" s="8">
        <v>0.5</v>
      </c>
      <c r="AH191" s="8">
        <v>0</v>
      </c>
      <c r="AI191" s="8">
        <v>1</v>
      </c>
      <c r="AJ191" s="8">
        <v>0</v>
      </c>
      <c r="AK191" s="8">
        <v>0</v>
      </c>
      <c r="AL191" s="8">
        <v>1</v>
      </c>
      <c r="AM191" s="8">
        <v>0</v>
      </c>
      <c r="AN191" s="8">
        <v>0</v>
      </c>
      <c r="AO191" s="8">
        <v>0</v>
      </c>
      <c r="AP191" s="8">
        <v>0</v>
      </c>
      <c r="AQ191" s="8">
        <v>0</v>
      </c>
      <c r="AR191" s="8">
        <v>0</v>
      </c>
      <c r="AS191" s="8">
        <v>0</v>
      </c>
      <c r="AT191" s="8">
        <v>0</v>
      </c>
      <c r="AU191" s="8">
        <v>1</v>
      </c>
      <c r="AV191" s="8">
        <v>0</v>
      </c>
      <c r="AW191" s="8">
        <v>0</v>
      </c>
      <c r="AX191" s="8">
        <v>0</v>
      </c>
      <c r="AY191" s="8">
        <v>0</v>
      </c>
      <c r="AZ191" s="8">
        <v>0</v>
      </c>
      <c r="BA191" s="8">
        <v>0</v>
      </c>
      <c r="BB191" s="8">
        <v>0</v>
      </c>
      <c r="BC191" s="8">
        <v>0</v>
      </c>
      <c r="BD191" s="8">
        <v>0</v>
      </c>
      <c r="BE191" s="8">
        <v>0</v>
      </c>
      <c r="BF191" s="8">
        <v>0</v>
      </c>
      <c r="BG191" s="8">
        <v>0</v>
      </c>
      <c r="BH191" s="8">
        <v>0</v>
      </c>
      <c r="BI191" s="8">
        <v>1</v>
      </c>
      <c r="BJ191" s="8">
        <v>1</v>
      </c>
      <c r="BK191" s="8">
        <v>1</v>
      </c>
      <c r="BL191" s="8">
        <v>0</v>
      </c>
      <c r="BM191" s="8">
        <v>0</v>
      </c>
      <c r="BN191" s="8">
        <v>1</v>
      </c>
      <c r="BO191" s="8">
        <v>0</v>
      </c>
      <c r="BP191" s="8">
        <v>0</v>
      </c>
      <c r="BQ191" s="8">
        <v>1</v>
      </c>
      <c r="BR191" s="8">
        <v>0</v>
      </c>
      <c r="BS191" s="8">
        <f t="shared" si="257"/>
        <v>8</v>
      </c>
      <c r="BT191" s="8" t="s">
        <v>117</v>
      </c>
      <c r="BU191" s="2">
        <f t="shared" si="2"/>
        <v>2</v>
      </c>
      <c r="BV191" s="2">
        <f t="shared" si="3"/>
        <v>1</v>
      </c>
      <c r="BW191" s="2">
        <f t="shared" si="4"/>
        <v>0</v>
      </c>
      <c r="BX191" s="2">
        <f t="shared" si="5"/>
        <v>4</v>
      </c>
      <c r="BY191" s="2">
        <f t="shared" si="6"/>
        <v>1</v>
      </c>
      <c r="BZ191" s="2">
        <f t="shared" ref="BZ191:CA191" si="285">SUM(AQ191)</f>
        <v>0</v>
      </c>
      <c r="CA191" s="2">
        <f t="shared" si="285"/>
        <v>0</v>
      </c>
      <c r="CB191" s="2">
        <f t="shared" si="8"/>
        <v>0</v>
      </c>
    </row>
    <row r="192" spans="1:80" ht="16" x14ac:dyDescent="0.2">
      <c r="A192" s="3" t="s">
        <v>115</v>
      </c>
      <c r="B192" s="10">
        <v>250</v>
      </c>
      <c r="C192" s="5">
        <v>1</v>
      </c>
      <c r="D192" s="10">
        <v>1</v>
      </c>
      <c r="E192" s="5">
        <v>0</v>
      </c>
      <c r="F192" s="10">
        <v>1966</v>
      </c>
      <c r="G192" s="10" t="s">
        <v>91</v>
      </c>
      <c r="H192" s="7" t="str">
        <f t="shared" si="0"/>
        <v>No</v>
      </c>
      <c r="I192" s="54" t="s">
        <v>55</v>
      </c>
      <c r="J192" s="8">
        <v>1</v>
      </c>
      <c r="K192" s="8" t="s">
        <v>63</v>
      </c>
      <c r="L192" s="8" t="s">
        <v>64</v>
      </c>
      <c r="M192" s="8" t="s">
        <v>64</v>
      </c>
      <c r="N192" s="8">
        <v>0</v>
      </c>
      <c r="O192" s="8">
        <v>0</v>
      </c>
      <c r="P192" s="8">
        <v>0</v>
      </c>
      <c r="Q192" s="8" t="s">
        <v>65</v>
      </c>
      <c r="R192" s="12">
        <v>0.33329999999999999</v>
      </c>
      <c r="S192" s="8">
        <v>0</v>
      </c>
      <c r="T192" s="8">
        <v>0</v>
      </c>
      <c r="U192" s="8">
        <v>1</v>
      </c>
      <c r="V192" s="8">
        <v>0</v>
      </c>
      <c r="W192" s="8">
        <v>1</v>
      </c>
      <c r="X192" s="8">
        <v>0</v>
      </c>
      <c r="Y192" s="8">
        <v>0</v>
      </c>
      <c r="Z192" s="8">
        <v>1</v>
      </c>
      <c r="AA192" s="8" t="s">
        <v>116</v>
      </c>
      <c r="AB192" s="8">
        <v>0</v>
      </c>
      <c r="AC192" s="8">
        <v>0</v>
      </c>
      <c r="AD192" s="8">
        <v>0</v>
      </c>
      <c r="AE192" s="8">
        <v>0</v>
      </c>
      <c r="AF192" s="8">
        <v>1</v>
      </c>
      <c r="AG192" s="8">
        <v>0.5</v>
      </c>
      <c r="AH192" s="8">
        <v>0</v>
      </c>
      <c r="AI192" s="8">
        <v>1</v>
      </c>
      <c r="AJ192" s="8">
        <v>0</v>
      </c>
      <c r="AK192" s="8">
        <v>0</v>
      </c>
      <c r="AL192" s="8">
        <v>1</v>
      </c>
      <c r="AM192" s="8">
        <v>0</v>
      </c>
      <c r="AN192" s="8">
        <v>0</v>
      </c>
      <c r="AO192" s="8">
        <v>0</v>
      </c>
      <c r="AP192" s="8">
        <v>0</v>
      </c>
      <c r="AQ192" s="8">
        <v>0</v>
      </c>
      <c r="AR192" s="8">
        <v>0</v>
      </c>
      <c r="AS192" s="8">
        <v>0</v>
      </c>
      <c r="AT192" s="8">
        <v>0</v>
      </c>
      <c r="AU192" s="8">
        <v>1</v>
      </c>
      <c r="AV192" s="8">
        <v>0</v>
      </c>
      <c r="AW192" s="8">
        <v>0</v>
      </c>
      <c r="AX192" s="8">
        <v>0</v>
      </c>
      <c r="AY192" s="8">
        <v>0</v>
      </c>
      <c r="AZ192" s="8">
        <v>0</v>
      </c>
      <c r="BA192" s="8">
        <v>0</v>
      </c>
      <c r="BB192" s="8">
        <v>0</v>
      </c>
      <c r="BC192" s="8">
        <v>0</v>
      </c>
      <c r="BD192" s="8">
        <v>0</v>
      </c>
      <c r="BE192" s="8">
        <v>0</v>
      </c>
      <c r="BF192" s="8">
        <v>0</v>
      </c>
      <c r="BG192" s="8">
        <v>0</v>
      </c>
      <c r="BH192" s="8">
        <v>0</v>
      </c>
      <c r="BI192" s="8">
        <v>1</v>
      </c>
      <c r="BJ192" s="8">
        <v>1</v>
      </c>
      <c r="BK192" s="8">
        <v>1</v>
      </c>
      <c r="BL192" s="8">
        <v>0</v>
      </c>
      <c r="BM192" s="8">
        <v>0</v>
      </c>
      <c r="BN192" s="8">
        <v>1</v>
      </c>
      <c r="BO192" s="8">
        <v>0</v>
      </c>
      <c r="BP192" s="8">
        <v>0</v>
      </c>
      <c r="BQ192" s="8">
        <v>1</v>
      </c>
      <c r="BR192" s="8">
        <v>0</v>
      </c>
      <c r="BS192" s="8">
        <f t="shared" si="257"/>
        <v>8</v>
      </c>
      <c r="BT192" s="8" t="s">
        <v>117</v>
      </c>
      <c r="BU192" s="2">
        <f t="shared" si="2"/>
        <v>2</v>
      </c>
      <c r="BV192" s="2">
        <f t="shared" si="3"/>
        <v>1</v>
      </c>
      <c r="BW192" s="2">
        <f t="shared" si="4"/>
        <v>0</v>
      </c>
      <c r="BX192" s="2">
        <f t="shared" si="5"/>
        <v>4</v>
      </c>
      <c r="BY192" s="2">
        <f t="shared" si="6"/>
        <v>1</v>
      </c>
      <c r="BZ192" s="2">
        <f t="shared" ref="BZ192:CA192" si="286">SUM(AQ192)</f>
        <v>0</v>
      </c>
      <c r="CA192" s="2">
        <f t="shared" si="286"/>
        <v>0</v>
      </c>
      <c r="CB192" s="2">
        <f t="shared" si="8"/>
        <v>0</v>
      </c>
    </row>
    <row r="193" spans="1:80" ht="16" x14ac:dyDescent="0.2">
      <c r="A193" s="3" t="s">
        <v>115</v>
      </c>
      <c r="B193" s="10">
        <v>250</v>
      </c>
      <c r="C193" s="5">
        <v>1</v>
      </c>
      <c r="D193" s="10">
        <v>1</v>
      </c>
      <c r="E193" s="5">
        <v>0</v>
      </c>
      <c r="F193" s="10">
        <v>1966</v>
      </c>
      <c r="G193" s="10" t="s">
        <v>93</v>
      </c>
      <c r="H193" s="7" t="str">
        <f t="shared" si="0"/>
        <v>No</v>
      </c>
      <c r="I193" s="54" t="s">
        <v>55</v>
      </c>
      <c r="J193" s="8">
        <v>1</v>
      </c>
      <c r="K193" s="8" t="s">
        <v>63</v>
      </c>
      <c r="L193" s="8" t="s">
        <v>64</v>
      </c>
      <c r="M193" s="8" t="s">
        <v>64</v>
      </c>
      <c r="N193" s="8">
        <v>0</v>
      </c>
      <c r="O193" s="8">
        <v>0</v>
      </c>
      <c r="P193" s="8">
        <v>0</v>
      </c>
      <c r="Q193" s="8" t="s">
        <v>65</v>
      </c>
      <c r="R193" s="12">
        <v>0.33329999999999999</v>
      </c>
      <c r="S193" s="8">
        <v>0</v>
      </c>
      <c r="T193" s="8">
        <v>0</v>
      </c>
      <c r="U193" s="8">
        <v>1</v>
      </c>
      <c r="V193" s="8">
        <v>0</v>
      </c>
      <c r="W193" s="8">
        <v>1</v>
      </c>
      <c r="X193" s="8">
        <v>0</v>
      </c>
      <c r="Y193" s="8">
        <v>0</v>
      </c>
      <c r="Z193" s="8">
        <v>1</v>
      </c>
      <c r="AA193" s="8" t="s">
        <v>116</v>
      </c>
      <c r="AB193" s="8">
        <v>0</v>
      </c>
      <c r="AC193" s="8">
        <v>0</v>
      </c>
      <c r="AD193" s="8">
        <v>0</v>
      </c>
      <c r="AE193" s="8">
        <v>0</v>
      </c>
      <c r="AF193" s="8">
        <v>1</v>
      </c>
      <c r="AG193" s="8">
        <v>0.5</v>
      </c>
      <c r="AH193" s="8">
        <v>0</v>
      </c>
      <c r="AI193" s="8">
        <v>1</v>
      </c>
      <c r="AJ193" s="8">
        <v>0</v>
      </c>
      <c r="AK193" s="8">
        <v>0</v>
      </c>
      <c r="AL193" s="8">
        <v>1</v>
      </c>
      <c r="AM193" s="8">
        <v>0</v>
      </c>
      <c r="AN193" s="8">
        <v>0</v>
      </c>
      <c r="AO193" s="8">
        <v>0</v>
      </c>
      <c r="AP193" s="8">
        <v>0</v>
      </c>
      <c r="AQ193" s="8">
        <v>0</v>
      </c>
      <c r="AR193" s="8">
        <v>0</v>
      </c>
      <c r="AS193" s="8">
        <v>0</v>
      </c>
      <c r="AT193" s="8">
        <v>0</v>
      </c>
      <c r="AU193" s="8">
        <v>1</v>
      </c>
      <c r="AV193" s="8">
        <v>0</v>
      </c>
      <c r="AW193" s="8">
        <v>0</v>
      </c>
      <c r="AX193" s="8">
        <v>0</v>
      </c>
      <c r="AY193" s="8">
        <v>0</v>
      </c>
      <c r="AZ193" s="8">
        <v>0</v>
      </c>
      <c r="BA193" s="8">
        <v>0</v>
      </c>
      <c r="BB193" s="8">
        <v>0</v>
      </c>
      <c r="BC193" s="8">
        <v>0</v>
      </c>
      <c r="BD193" s="8">
        <v>0</v>
      </c>
      <c r="BE193" s="8">
        <v>0</v>
      </c>
      <c r="BF193" s="8">
        <v>0</v>
      </c>
      <c r="BG193" s="8">
        <v>0</v>
      </c>
      <c r="BH193" s="8">
        <v>0</v>
      </c>
      <c r="BI193" s="8">
        <v>1</v>
      </c>
      <c r="BJ193" s="8">
        <v>1</v>
      </c>
      <c r="BK193" s="8">
        <v>1</v>
      </c>
      <c r="BL193" s="8">
        <v>0</v>
      </c>
      <c r="BM193" s="8">
        <v>0</v>
      </c>
      <c r="BN193" s="8">
        <v>1</v>
      </c>
      <c r="BO193" s="8">
        <v>0</v>
      </c>
      <c r="BP193" s="8">
        <v>0</v>
      </c>
      <c r="BQ193" s="8">
        <v>1</v>
      </c>
      <c r="BR193" s="8">
        <v>0</v>
      </c>
      <c r="BS193" s="8">
        <f t="shared" si="257"/>
        <v>8</v>
      </c>
      <c r="BT193" s="8" t="s">
        <v>117</v>
      </c>
      <c r="BU193" s="2">
        <f t="shared" si="2"/>
        <v>2</v>
      </c>
      <c r="BV193" s="2">
        <f t="shared" si="3"/>
        <v>1</v>
      </c>
      <c r="BW193" s="2">
        <f t="shared" si="4"/>
        <v>0</v>
      </c>
      <c r="BX193" s="2">
        <f t="shared" si="5"/>
        <v>4</v>
      </c>
      <c r="BY193" s="2">
        <f t="shared" si="6"/>
        <v>1</v>
      </c>
      <c r="BZ193" s="2">
        <f t="shared" ref="BZ193:CA193" si="287">SUM(AQ193)</f>
        <v>0</v>
      </c>
      <c r="CA193" s="2">
        <f t="shared" si="287"/>
        <v>0</v>
      </c>
      <c r="CB193" s="2">
        <f t="shared" si="8"/>
        <v>0</v>
      </c>
    </row>
    <row r="194" spans="1:80" ht="16" x14ac:dyDescent="0.2">
      <c r="A194" s="3" t="s">
        <v>115</v>
      </c>
      <c r="B194" s="10">
        <v>250</v>
      </c>
      <c r="C194" s="5">
        <v>1</v>
      </c>
      <c r="D194" s="10">
        <v>1</v>
      </c>
      <c r="E194" s="5">
        <v>0</v>
      </c>
      <c r="F194" s="10">
        <v>1966</v>
      </c>
      <c r="G194" s="10" t="s">
        <v>70</v>
      </c>
      <c r="H194" s="7" t="str">
        <f t="shared" si="0"/>
        <v>No</v>
      </c>
      <c r="I194" s="54" t="s">
        <v>55</v>
      </c>
      <c r="J194" s="8">
        <v>1</v>
      </c>
      <c r="K194" s="8" t="s">
        <v>63</v>
      </c>
      <c r="L194" s="8" t="s">
        <v>64</v>
      </c>
      <c r="M194" s="8" t="s">
        <v>64</v>
      </c>
      <c r="N194" s="8">
        <v>0</v>
      </c>
      <c r="O194" s="8">
        <v>0</v>
      </c>
      <c r="P194" s="8">
        <v>0</v>
      </c>
      <c r="Q194" s="8" t="s">
        <v>65</v>
      </c>
      <c r="R194" s="12">
        <v>0.33329999999999999</v>
      </c>
      <c r="S194" s="8">
        <v>0</v>
      </c>
      <c r="T194" s="8">
        <v>0</v>
      </c>
      <c r="U194" s="8">
        <v>1</v>
      </c>
      <c r="V194" s="8">
        <v>0</v>
      </c>
      <c r="W194" s="8">
        <v>1</v>
      </c>
      <c r="X194" s="8">
        <v>0</v>
      </c>
      <c r="Y194" s="8">
        <v>0</v>
      </c>
      <c r="Z194" s="8">
        <v>1</v>
      </c>
      <c r="AA194" s="8" t="s">
        <v>116</v>
      </c>
      <c r="AB194" s="8">
        <v>0</v>
      </c>
      <c r="AC194" s="8">
        <v>0</v>
      </c>
      <c r="AD194" s="8">
        <v>0</v>
      </c>
      <c r="AE194" s="8">
        <v>0</v>
      </c>
      <c r="AF194" s="8">
        <v>1</v>
      </c>
      <c r="AG194" s="8">
        <v>0.5</v>
      </c>
      <c r="AH194" s="8">
        <v>0</v>
      </c>
      <c r="AI194" s="8">
        <v>1</v>
      </c>
      <c r="AJ194" s="8">
        <v>0</v>
      </c>
      <c r="AK194" s="8">
        <v>0</v>
      </c>
      <c r="AL194" s="8">
        <v>1</v>
      </c>
      <c r="AM194" s="8">
        <v>0</v>
      </c>
      <c r="AN194" s="8">
        <v>0</v>
      </c>
      <c r="AO194" s="8">
        <v>0</v>
      </c>
      <c r="AP194" s="8">
        <v>0</v>
      </c>
      <c r="AQ194" s="8">
        <v>0</v>
      </c>
      <c r="AR194" s="8">
        <v>0</v>
      </c>
      <c r="AS194" s="8">
        <v>0</v>
      </c>
      <c r="AT194" s="8">
        <v>0</v>
      </c>
      <c r="AU194" s="8">
        <v>1</v>
      </c>
      <c r="AV194" s="8">
        <v>0</v>
      </c>
      <c r="AW194" s="8">
        <v>0</v>
      </c>
      <c r="AX194" s="8">
        <v>0</v>
      </c>
      <c r="AY194" s="8">
        <v>0</v>
      </c>
      <c r="AZ194" s="8">
        <v>0</v>
      </c>
      <c r="BA194" s="8">
        <v>0</v>
      </c>
      <c r="BB194" s="8">
        <v>0</v>
      </c>
      <c r="BC194" s="8">
        <v>0</v>
      </c>
      <c r="BD194" s="8">
        <v>0</v>
      </c>
      <c r="BE194" s="8">
        <v>0</v>
      </c>
      <c r="BF194" s="8">
        <v>0</v>
      </c>
      <c r="BG194" s="8">
        <v>0</v>
      </c>
      <c r="BH194" s="8">
        <v>0</v>
      </c>
      <c r="BI194" s="8">
        <v>1</v>
      </c>
      <c r="BJ194" s="8">
        <v>1</v>
      </c>
      <c r="BK194" s="8">
        <v>1</v>
      </c>
      <c r="BL194" s="8">
        <v>0</v>
      </c>
      <c r="BM194" s="8">
        <v>0</v>
      </c>
      <c r="BN194" s="8">
        <v>1</v>
      </c>
      <c r="BO194" s="8">
        <v>0</v>
      </c>
      <c r="BP194" s="8">
        <v>0</v>
      </c>
      <c r="BQ194" s="8">
        <v>1</v>
      </c>
      <c r="BR194" s="8">
        <v>0</v>
      </c>
      <c r="BS194" s="8">
        <f t="shared" si="257"/>
        <v>8</v>
      </c>
      <c r="BT194" s="8" t="s">
        <v>117</v>
      </c>
      <c r="BU194" s="2">
        <f t="shared" si="2"/>
        <v>2</v>
      </c>
      <c r="BV194" s="2">
        <f t="shared" si="3"/>
        <v>1</v>
      </c>
      <c r="BW194" s="2">
        <f t="shared" si="4"/>
        <v>0</v>
      </c>
      <c r="BX194" s="2">
        <f t="shared" si="5"/>
        <v>4</v>
      </c>
      <c r="BY194" s="2">
        <f t="shared" si="6"/>
        <v>1</v>
      </c>
      <c r="BZ194" s="2">
        <f t="shared" ref="BZ194:CA194" si="288">SUM(AQ194)</f>
        <v>0</v>
      </c>
      <c r="CA194" s="2">
        <f t="shared" si="288"/>
        <v>0</v>
      </c>
      <c r="CB194" s="2">
        <f t="shared" si="8"/>
        <v>0</v>
      </c>
    </row>
    <row r="195" spans="1:80" ht="16" x14ac:dyDescent="0.2">
      <c r="A195" s="3" t="s">
        <v>115</v>
      </c>
      <c r="B195" s="10">
        <v>250</v>
      </c>
      <c r="C195" s="5">
        <v>1</v>
      </c>
      <c r="D195" s="10">
        <v>1</v>
      </c>
      <c r="E195" s="5">
        <v>0</v>
      </c>
      <c r="F195" s="10">
        <v>1966</v>
      </c>
      <c r="G195" s="10" t="s">
        <v>71</v>
      </c>
      <c r="H195" s="7" t="str">
        <f t="shared" si="0"/>
        <v>Yes</v>
      </c>
      <c r="I195" s="54" t="s">
        <v>56</v>
      </c>
      <c r="J195" s="8">
        <v>1</v>
      </c>
      <c r="K195" s="8" t="s">
        <v>63</v>
      </c>
      <c r="L195" s="8" t="s">
        <v>64</v>
      </c>
      <c r="M195" s="8" t="s">
        <v>64</v>
      </c>
      <c r="N195" s="8">
        <v>0</v>
      </c>
      <c r="O195" s="8">
        <v>0</v>
      </c>
      <c r="P195" s="8">
        <v>0</v>
      </c>
      <c r="Q195" s="8" t="s">
        <v>65</v>
      </c>
      <c r="R195" s="12">
        <v>0.33329999999999999</v>
      </c>
      <c r="S195" s="8">
        <v>0</v>
      </c>
      <c r="T195" s="8">
        <v>0</v>
      </c>
      <c r="U195" s="8">
        <v>1</v>
      </c>
      <c r="V195" s="8">
        <v>1</v>
      </c>
      <c r="W195" s="8">
        <v>1</v>
      </c>
      <c r="X195" s="8">
        <v>0</v>
      </c>
      <c r="Y195" s="8">
        <v>0</v>
      </c>
      <c r="Z195" s="8">
        <v>1</v>
      </c>
      <c r="AA195" s="8" t="s">
        <v>116</v>
      </c>
      <c r="AB195" s="8">
        <v>0</v>
      </c>
      <c r="AC195" s="8">
        <v>0</v>
      </c>
      <c r="AD195" s="8">
        <v>0</v>
      </c>
      <c r="AE195" s="8">
        <v>0</v>
      </c>
      <c r="AF195" s="8">
        <v>1</v>
      </c>
      <c r="AG195" s="8">
        <v>0.5</v>
      </c>
      <c r="AH195" s="8">
        <v>0</v>
      </c>
      <c r="AI195" s="8">
        <v>1</v>
      </c>
      <c r="AJ195" s="8">
        <v>0</v>
      </c>
      <c r="AK195" s="8">
        <v>0</v>
      </c>
      <c r="AL195" s="8">
        <v>1</v>
      </c>
      <c r="AM195" s="8">
        <v>0</v>
      </c>
      <c r="AN195" s="8">
        <v>0</v>
      </c>
      <c r="AO195" s="8">
        <v>0</v>
      </c>
      <c r="AP195" s="8">
        <v>0</v>
      </c>
      <c r="AQ195" s="8">
        <v>0</v>
      </c>
      <c r="AR195" s="8">
        <v>0</v>
      </c>
      <c r="AS195" s="8">
        <v>0</v>
      </c>
      <c r="AT195" s="8">
        <v>0</v>
      </c>
      <c r="AU195" s="8">
        <v>1</v>
      </c>
      <c r="AV195" s="8">
        <v>0</v>
      </c>
      <c r="AW195" s="8">
        <v>0</v>
      </c>
      <c r="AX195" s="8">
        <v>0</v>
      </c>
      <c r="AY195" s="8">
        <v>0</v>
      </c>
      <c r="AZ195" s="8">
        <v>0</v>
      </c>
      <c r="BA195" s="8">
        <v>0</v>
      </c>
      <c r="BB195" s="8">
        <v>0</v>
      </c>
      <c r="BC195" s="8">
        <v>0</v>
      </c>
      <c r="BD195" s="8">
        <v>0</v>
      </c>
      <c r="BE195" s="8">
        <v>0</v>
      </c>
      <c r="BF195" s="8">
        <v>0</v>
      </c>
      <c r="BG195" s="8">
        <v>0</v>
      </c>
      <c r="BH195" s="8">
        <v>0</v>
      </c>
      <c r="BI195" s="8">
        <v>1</v>
      </c>
      <c r="BJ195" s="8">
        <v>1</v>
      </c>
      <c r="BK195" s="8">
        <v>1</v>
      </c>
      <c r="BL195" s="8">
        <v>0</v>
      </c>
      <c r="BM195" s="8">
        <v>0</v>
      </c>
      <c r="BN195" s="8">
        <v>0</v>
      </c>
      <c r="BO195" s="8">
        <v>0</v>
      </c>
      <c r="BP195" s="8">
        <v>0</v>
      </c>
      <c r="BQ195" s="8">
        <v>1</v>
      </c>
      <c r="BR195" s="8">
        <v>0</v>
      </c>
      <c r="BS195" s="8">
        <f t="shared" si="257"/>
        <v>7</v>
      </c>
      <c r="BT195" s="8" t="s">
        <v>117</v>
      </c>
      <c r="BU195" s="2">
        <f t="shared" si="2"/>
        <v>2</v>
      </c>
      <c r="BV195" s="2">
        <f t="shared" si="3"/>
        <v>1</v>
      </c>
      <c r="BW195" s="2">
        <f t="shared" si="4"/>
        <v>0</v>
      </c>
      <c r="BX195" s="2">
        <f t="shared" si="5"/>
        <v>4</v>
      </c>
      <c r="BY195" s="2">
        <f t="shared" si="6"/>
        <v>0</v>
      </c>
      <c r="BZ195" s="2">
        <f t="shared" ref="BZ195:CA195" si="289">SUM(AQ195)</f>
        <v>0</v>
      </c>
      <c r="CA195" s="2">
        <f t="shared" si="289"/>
        <v>0</v>
      </c>
      <c r="CB195" s="2">
        <f t="shared" si="8"/>
        <v>0</v>
      </c>
    </row>
    <row r="196" spans="1:80" ht="16" x14ac:dyDescent="0.2">
      <c r="A196" s="3" t="s">
        <v>115</v>
      </c>
      <c r="B196" s="10">
        <v>250</v>
      </c>
      <c r="C196" s="5">
        <v>1</v>
      </c>
      <c r="D196" s="10">
        <v>1</v>
      </c>
      <c r="E196" s="5">
        <v>0</v>
      </c>
      <c r="F196" s="10">
        <v>1966</v>
      </c>
      <c r="G196" s="10" t="s">
        <v>72</v>
      </c>
      <c r="H196" s="7" t="str">
        <f t="shared" si="0"/>
        <v>No</v>
      </c>
      <c r="I196" s="54" t="s">
        <v>55</v>
      </c>
      <c r="J196" s="8">
        <v>1</v>
      </c>
      <c r="K196" s="8" t="s">
        <v>63</v>
      </c>
      <c r="L196" s="8" t="s">
        <v>64</v>
      </c>
      <c r="M196" s="8" t="s">
        <v>64</v>
      </c>
      <c r="N196" s="8">
        <v>0</v>
      </c>
      <c r="O196" s="8">
        <v>0</v>
      </c>
      <c r="P196" s="8">
        <v>0</v>
      </c>
      <c r="Q196" s="8" t="s">
        <v>65</v>
      </c>
      <c r="R196" s="12">
        <v>0.33329999999999999</v>
      </c>
      <c r="S196" s="8">
        <v>0</v>
      </c>
      <c r="T196" s="8">
        <v>0</v>
      </c>
      <c r="U196" s="8">
        <v>1</v>
      </c>
      <c r="V196" s="8">
        <v>1</v>
      </c>
      <c r="W196" s="8">
        <v>1</v>
      </c>
      <c r="X196" s="8">
        <v>0</v>
      </c>
      <c r="Y196" s="8">
        <v>0</v>
      </c>
      <c r="Z196" s="8">
        <v>1</v>
      </c>
      <c r="AA196" s="8" t="s">
        <v>116</v>
      </c>
      <c r="AB196" s="8">
        <v>0</v>
      </c>
      <c r="AC196" s="8">
        <v>0</v>
      </c>
      <c r="AD196" s="8">
        <v>0</v>
      </c>
      <c r="AE196" s="8">
        <v>0</v>
      </c>
      <c r="AF196" s="8">
        <v>1</v>
      </c>
      <c r="AG196" s="8">
        <v>0.5</v>
      </c>
      <c r="AH196" s="8">
        <v>0</v>
      </c>
      <c r="AI196" s="8">
        <v>1</v>
      </c>
      <c r="AJ196" s="8">
        <v>0</v>
      </c>
      <c r="AK196" s="8">
        <v>0</v>
      </c>
      <c r="AL196" s="8">
        <v>1</v>
      </c>
      <c r="AM196" s="8">
        <v>0</v>
      </c>
      <c r="AN196" s="8">
        <v>0</v>
      </c>
      <c r="AO196" s="8">
        <v>0</v>
      </c>
      <c r="AP196" s="8">
        <v>0</v>
      </c>
      <c r="AQ196" s="8">
        <v>0</v>
      </c>
      <c r="AR196" s="8">
        <v>1</v>
      </c>
      <c r="AS196" s="8">
        <v>0</v>
      </c>
      <c r="AT196" s="8">
        <v>0</v>
      </c>
      <c r="AU196" s="8">
        <v>1</v>
      </c>
      <c r="AV196" s="8">
        <v>0</v>
      </c>
      <c r="AW196" s="8">
        <v>0</v>
      </c>
      <c r="AX196" s="8">
        <v>0</v>
      </c>
      <c r="AY196" s="8">
        <v>0</v>
      </c>
      <c r="AZ196" s="8">
        <v>0</v>
      </c>
      <c r="BA196" s="8">
        <v>0</v>
      </c>
      <c r="BB196" s="8">
        <v>0</v>
      </c>
      <c r="BC196" s="8">
        <v>0</v>
      </c>
      <c r="BD196" s="8">
        <v>0</v>
      </c>
      <c r="BE196" s="8">
        <v>0</v>
      </c>
      <c r="BF196" s="8">
        <v>0</v>
      </c>
      <c r="BG196" s="8">
        <v>0</v>
      </c>
      <c r="BH196" s="8">
        <v>0</v>
      </c>
      <c r="BI196" s="8">
        <v>1</v>
      </c>
      <c r="BJ196" s="8">
        <v>1</v>
      </c>
      <c r="BK196" s="8">
        <v>1</v>
      </c>
      <c r="BL196" s="8">
        <v>0</v>
      </c>
      <c r="BM196" s="8">
        <v>0</v>
      </c>
      <c r="BN196" s="8">
        <v>0</v>
      </c>
      <c r="BO196" s="8">
        <v>0</v>
      </c>
      <c r="BP196" s="8">
        <v>0</v>
      </c>
      <c r="BQ196" s="8">
        <v>1</v>
      </c>
      <c r="BR196" s="8">
        <v>0</v>
      </c>
      <c r="BS196" s="8">
        <f t="shared" si="257"/>
        <v>8</v>
      </c>
      <c r="BT196" s="8" t="s">
        <v>117</v>
      </c>
      <c r="BU196" s="2">
        <f t="shared" si="2"/>
        <v>2</v>
      </c>
      <c r="BV196" s="2">
        <f t="shared" si="3"/>
        <v>1</v>
      </c>
      <c r="BW196" s="2">
        <f t="shared" si="4"/>
        <v>0</v>
      </c>
      <c r="BX196" s="2">
        <f t="shared" si="5"/>
        <v>4</v>
      </c>
      <c r="BY196" s="2">
        <f t="shared" si="6"/>
        <v>0</v>
      </c>
      <c r="BZ196" s="2">
        <f t="shared" ref="BZ196:CA196" si="290">SUM(AQ196)</f>
        <v>0</v>
      </c>
      <c r="CA196" s="2">
        <f t="shared" si="290"/>
        <v>1</v>
      </c>
      <c r="CB196" s="2">
        <f t="shared" si="8"/>
        <v>0</v>
      </c>
    </row>
    <row r="197" spans="1:80" ht="16" x14ac:dyDescent="0.2">
      <c r="A197" s="3" t="s">
        <v>115</v>
      </c>
      <c r="B197" s="10">
        <v>250</v>
      </c>
      <c r="C197" s="5">
        <v>1</v>
      </c>
      <c r="D197" s="10">
        <v>1</v>
      </c>
      <c r="E197" s="5">
        <v>0</v>
      </c>
      <c r="F197" s="10">
        <v>1966</v>
      </c>
      <c r="G197" s="10" t="s">
        <v>73</v>
      </c>
      <c r="H197" s="7" t="str">
        <f t="shared" si="0"/>
        <v>Yes</v>
      </c>
      <c r="I197" s="54" t="s">
        <v>56</v>
      </c>
      <c r="J197" s="8">
        <v>1</v>
      </c>
      <c r="K197" s="8" t="s">
        <v>63</v>
      </c>
      <c r="L197" s="8" t="s">
        <v>64</v>
      </c>
      <c r="M197" s="8" t="s">
        <v>64</v>
      </c>
      <c r="N197" s="8">
        <v>0</v>
      </c>
      <c r="O197" s="8">
        <v>0</v>
      </c>
      <c r="P197" s="8">
        <v>0</v>
      </c>
      <c r="Q197" s="8" t="s">
        <v>65</v>
      </c>
      <c r="R197" s="12">
        <v>0.33329999999999999</v>
      </c>
      <c r="S197" s="8">
        <v>0</v>
      </c>
      <c r="T197" s="8">
        <v>0</v>
      </c>
      <c r="U197" s="8">
        <v>1</v>
      </c>
      <c r="V197" s="8">
        <v>1</v>
      </c>
      <c r="W197" s="8">
        <v>1</v>
      </c>
      <c r="X197" s="8">
        <v>0</v>
      </c>
      <c r="Y197" s="8">
        <v>0</v>
      </c>
      <c r="Z197" s="8">
        <v>1</v>
      </c>
      <c r="AA197" s="8" t="s">
        <v>118</v>
      </c>
      <c r="AB197" s="8">
        <v>0</v>
      </c>
      <c r="AC197" s="8">
        <v>0</v>
      </c>
      <c r="AD197" s="8">
        <v>0</v>
      </c>
      <c r="AE197" s="8">
        <v>0</v>
      </c>
      <c r="AF197" s="8">
        <v>1</v>
      </c>
      <c r="AG197" s="8">
        <v>0.5</v>
      </c>
      <c r="AH197" s="8">
        <v>0</v>
      </c>
      <c r="AI197" s="8">
        <v>1</v>
      </c>
      <c r="AJ197" s="8">
        <v>1</v>
      </c>
      <c r="AK197" s="8">
        <v>1</v>
      </c>
      <c r="AL197" s="8">
        <v>1</v>
      </c>
      <c r="AM197" s="8">
        <v>1</v>
      </c>
      <c r="AN197" s="8">
        <v>1</v>
      </c>
      <c r="AO197" s="8">
        <v>0</v>
      </c>
      <c r="AP197" s="8">
        <v>0</v>
      </c>
      <c r="AQ197" s="8">
        <v>0</v>
      </c>
      <c r="AR197" s="8">
        <v>1</v>
      </c>
      <c r="AS197" s="8">
        <v>0</v>
      </c>
      <c r="AT197" s="8">
        <v>0</v>
      </c>
      <c r="AU197" s="8">
        <v>1</v>
      </c>
      <c r="AV197" s="8">
        <v>0</v>
      </c>
      <c r="AW197" s="8">
        <v>0</v>
      </c>
      <c r="AX197" s="8">
        <v>0</v>
      </c>
      <c r="AY197" s="8">
        <v>0</v>
      </c>
      <c r="AZ197" s="8">
        <v>0</v>
      </c>
      <c r="BA197" s="8">
        <v>0</v>
      </c>
      <c r="BB197" s="8">
        <v>0</v>
      </c>
      <c r="BC197" s="8">
        <v>0</v>
      </c>
      <c r="BD197" s="8">
        <v>0</v>
      </c>
      <c r="BE197" s="8">
        <v>0</v>
      </c>
      <c r="BF197" s="8">
        <v>0</v>
      </c>
      <c r="BG197" s="8">
        <v>0</v>
      </c>
      <c r="BH197" s="8">
        <v>0</v>
      </c>
      <c r="BI197" s="8">
        <v>1</v>
      </c>
      <c r="BJ197" s="8">
        <v>1</v>
      </c>
      <c r="BK197" s="8">
        <v>1</v>
      </c>
      <c r="BL197" s="8">
        <v>0</v>
      </c>
      <c r="BM197" s="8">
        <v>0</v>
      </c>
      <c r="BN197" s="8">
        <v>0</v>
      </c>
      <c r="BO197" s="8">
        <v>0</v>
      </c>
      <c r="BP197" s="8">
        <v>0</v>
      </c>
      <c r="BQ197" s="8">
        <v>1</v>
      </c>
      <c r="BR197" s="8">
        <v>0</v>
      </c>
      <c r="BS197" s="8">
        <f t="shared" si="257"/>
        <v>12</v>
      </c>
      <c r="BT197" s="8"/>
      <c r="BU197" s="2">
        <f t="shared" si="2"/>
        <v>2</v>
      </c>
      <c r="BV197" s="2">
        <f t="shared" si="3"/>
        <v>4</v>
      </c>
      <c r="BW197" s="2">
        <f t="shared" si="4"/>
        <v>1</v>
      </c>
      <c r="BX197" s="2">
        <f t="shared" si="5"/>
        <v>4</v>
      </c>
      <c r="BY197" s="2">
        <f t="shared" si="6"/>
        <v>0</v>
      </c>
      <c r="BZ197" s="2">
        <f t="shared" ref="BZ197:CA197" si="291">SUM(AQ197)</f>
        <v>0</v>
      </c>
      <c r="CA197" s="2">
        <f t="shared" si="291"/>
        <v>1</v>
      </c>
      <c r="CB197" s="2">
        <f t="shared" si="8"/>
        <v>0</v>
      </c>
    </row>
    <row r="198" spans="1:80" ht="16" x14ac:dyDescent="0.2">
      <c r="A198" s="3" t="s">
        <v>115</v>
      </c>
      <c r="B198" s="10">
        <v>250</v>
      </c>
      <c r="C198" s="5">
        <v>1</v>
      </c>
      <c r="D198" s="10">
        <v>1</v>
      </c>
      <c r="E198" s="5">
        <v>0</v>
      </c>
      <c r="F198" s="10">
        <v>1966</v>
      </c>
      <c r="G198" s="10" t="s">
        <v>74</v>
      </c>
      <c r="H198" s="7" t="str">
        <f t="shared" si="0"/>
        <v>No</v>
      </c>
      <c r="I198" s="54" t="s">
        <v>55</v>
      </c>
      <c r="J198" s="8">
        <v>1</v>
      </c>
      <c r="K198" s="8" t="s">
        <v>63</v>
      </c>
      <c r="L198" s="8" t="s">
        <v>64</v>
      </c>
      <c r="M198" s="8" t="s">
        <v>64</v>
      </c>
      <c r="N198" s="8">
        <v>0</v>
      </c>
      <c r="O198" s="8">
        <v>0</v>
      </c>
      <c r="P198" s="8">
        <v>0</v>
      </c>
      <c r="Q198" s="8" t="s">
        <v>65</v>
      </c>
      <c r="R198" s="12">
        <v>0.33329999999999999</v>
      </c>
      <c r="S198" s="8">
        <v>0</v>
      </c>
      <c r="T198" s="8">
        <v>0</v>
      </c>
      <c r="U198" s="8">
        <v>1</v>
      </c>
      <c r="V198" s="8">
        <v>1</v>
      </c>
      <c r="W198" s="8">
        <v>1</v>
      </c>
      <c r="X198" s="8">
        <v>0</v>
      </c>
      <c r="Y198" s="8">
        <v>0</v>
      </c>
      <c r="Z198" s="8">
        <v>1</v>
      </c>
      <c r="AA198" s="8" t="s">
        <v>118</v>
      </c>
      <c r="AB198" s="8">
        <v>0</v>
      </c>
      <c r="AC198" s="8">
        <v>0</v>
      </c>
      <c r="AD198" s="8">
        <v>0</v>
      </c>
      <c r="AE198" s="8">
        <v>0</v>
      </c>
      <c r="AF198" s="8">
        <v>1</v>
      </c>
      <c r="AG198" s="8">
        <v>0.5</v>
      </c>
      <c r="AH198" s="8">
        <v>0</v>
      </c>
      <c r="AI198" s="8">
        <v>1</v>
      </c>
      <c r="AJ198" s="8">
        <v>1</v>
      </c>
      <c r="AK198" s="8">
        <v>1</v>
      </c>
      <c r="AL198" s="8">
        <v>1</v>
      </c>
      <c r="AM198" s="8">
        <v>1</v>
      </c>
      <c r="AN198" s="8">
        <v>1</v>
      </c>
      <c r="AO198" s="8">
        <v>0</v>
      </c>
      <c r="AP198" s="8">
        <v>0</v>
      </c>
      <c r="AQ198" s="8">
        <v>0</v>
      </c>
      <c r="AR198" s="8">
        <v>1</v>
      </c>
      <c r="AS198" s="8">
        <v>0</v>
      </c>
      <c r="AT198" s="8">
        <v>0</v>
      </c>
      <c r="AU198" s="8">
        <v>1</v>
      </c>
      <c r="AV198" s="8">
        <v>0</v>
      </c>
      <c r="AW198" s="8">
        <v>0</v>
      </c>
      <c r="AX198" s="8">
        <v>0</v>
      </c>
      <c r="AY198" s="8">
        <v>0</v>
      </c>
      <c r="AZ198" s="8">
        <v>0</v>
      </c>
      <c r="BA198" s="8">
        <v>0</v>
      </c>
      <c r="BB198" s="8">
        <v>0</v>
      </c>
      <c r="BC198" s="8">
        <v>0</v>
      </c>
      <c r="BD198" s="8">
        <v>0</v>
      </c>
      <c r="BE198" s="8">
        <v>0</v>
      </c>
      <c r="BF198" s="8">
        <v>0</v>
      </c>
      <c r="BG198" s="8">
        <v>0</v>
      </c>
      <c r="BH198" s="8">
        <v>0</v>
      </c>
      <c r="BI198" s="8">
        <v>1</v>
      </c>
      <c r="BJ198" s="8">
        <v>1</v>
      </c>
      <c r="BK198" s="8">
        <v>1</v>
      </c>
      <c r="BL198" s="8">
        <v>0</v>
      </c>
      <c r="BM198" s="8">
        <v>0</v>
      </c>
      <c r="BN198" s="8">
        <v>0</v>
      </c>
      <c r="BO198" s="8">
        <v>0</v>
      </c>
      <c r="BP198" s="8">
        <v>0</v>
      </c>
      <c r="BQ198" s="8">
        <v>1</v>
      </c>
      <c r="BR198" s="8">
        <v>0</v>
      </c>
      <c r="BS198" s="8">
        <f t="shared" si="257"/>
        <v>12</v>
      </c>
      <c r="BT198" s="8"/>
      <c r="BU198" s="2">
        <f t="shared" si="2"/>
        <v>2</v>
      </c>
      <c r="BV198" s="2">
        <f t="shared" si="3"/>
        <v>4</v>
      </c>
      <c r="BW198" s="2">
        <f t="shared" si="4"/>
        <v>1</v>
      </c>
      <c r="BX198" s="2">
        <f t="shared" si="5"/>
        <v>4</v>
      </c>
      <c r="BY198" s="2">
        <f t="shared" si="6"/>
        <v>0</v>
      </c>
      <c r="BZ198" s="2">
        <f t="shared" ref="BZ198:CA198" si="292">SUM(AQ198)</f>
        <v>0</v>
      </c>
      <c r="CA198" s="2">
        <f t="shared" si="292"/>
        <v>1</v>
      </c>
      <c r="CB198" s="2">
        <f t="shared" si="8"/>
        <v>0</v>
      </c>
    </row>
    <row r="199" spans="1:80" ht="16" x14ac:dyDescent="0.2">
      <c r="A199" s="3" t="s">
        <v>115</v>
      </c>
      <c r="B199" s="10">
        <v>250</v>
      </c>
      <c r="C199" s="5">
        <v>1</v>
      </c>
      <c r="D199" s="10">
        <v>1</v>
      </c>
      <c r="E199" s="5">
        <v>0</v>
      </c>
      <c r="F199" s="10">
        <v>1966</v>
      </c>
      <c r="G199" s="10" t="s">
        <v>75</v>
      </c>
      <c r="H199" s="7" t="str">
        <f t="shared" si="0"/>
        <v>No</v>
      </c>
      <c r="I199" s="54" t="s">
        <v>55</v>
      </c>
      <c r="J199" s="8">
        <v>1</v>
      </c>
      <c r="K199" s="8" t="s">
        <v>63</v>
      </c>
      <c r="L199" s="8" t="s">
        <v>64</v>
      </c>
      <c r="M199" s="8" t="s">
        <v>64</v>
      </c>
      <c r="N199" s="8">
        <v>0</v>
      </c>
      <c r="O199" s="8">
        <v>0</v>
      </c>
      <c r="P199" s="8">
        <v>0</v>
      </c>
      <c r="Q199" s="8" t="s">
        <v>65</v>
      </c>
      <c r="R199" s="12">
        <v>0.33329999999999999</v>
      </c>
      <c r="S199" s="8">
        <v>0</v>
      </c>
      <c r="T199" s="8">
        <v>0</v>
      </c>
      <c r="U199" s="8">
        <v>1</v>
      </c>
      <c r="V199" s="8">
        <v>1</v>
      </c>
      <c r="W199" s="8">
        <v>1</v>
      </c>
      <c r="X199" s="8">
        <v>0</v>
      </c>
      <c r="Y199" s="8">
        <v>0</v>
      </c>
      <c r="Z199" s="8">
        <v>1</v>
      </c>
      <c r="AA199" s="8" t="s">
        <v>118</v>
      </c>
      <c r="AB199" s="8">
        <v>0</v>
      </c>
      <c r="AC199" s="8">
        <v>0</v>
      </c>
      <c r="AD199" s="8">
        <v>0</v>
      </c>
      <c r="AE199" s="8">
        <v>0</v>
      </c>
      <c r="AF199" s="8">
        <v>1</v>
      </c>
      <c r="AG199" s="8">
        <v>0.5</v>
      </c>
      <c r="AH199" s="8">
        <v>0</v>
      </c>
      <c r="AI199" s="8">
        <v>1</v>
      </c>
      <c r="AJ199" s="8">
        <v>1</v>
      </c>
      <c r="AK199" s="8">
        <v>1</v>
      </c>
      <c r="AL199" s="8">
        <v>1</v>
      </c>
      <c r="AM199" s="8">
        <v>1</v>
      </c>
      <c r="AN199" s="8">
        <v>1</v>
      </c>
      <c r="AO199" s="8">
        <v>0</v>
      </c>
      <c r="AP199" s="8">
        <v>0</v>
      </c>
      <c r="AQ199" s="8">
        <v>0</v>
      </c>
      <c r="AR199" s="8">
        <v>1</v>
      </c>
      <c r="AS199" s="8">
        <v>0</v>
      </c>
      <c r="AT199" s="8">
        <v>0</v>
      </c>
      <c r="AU199" s="8">
        <v>1</v>
      </c>
      <c r="AV199" s="8">
        <v>0</v>
      </c>
      <c r="AW199" s="8">
        <v>0</v>
      </c>
      <c r="AX199" s="8">
        <v>0</v>
      </c>
      <c r="AY199" s="8">
        <v>0</v>
      </c>
      <c r="AZ199" s="8">
        <v>0</v>
      </c>
      <c r="BA199" s="8">
        <v>0</v>
      </c>
      <c r="BB199" s="8">
        <v>0</v>
      </c>
      <c r="BC199" s="8">
        <v>0</v>
      </c>
      <c r="BD199" s="8">
        <v>0</v>
      </c>
      <c r="BE199" s="8">
        <v>0</v>
      </c>
      <c r="BF199" s="8">
        <v>0</v>
      </c>
      <c r="BG199" s="8">
        <v>0</v>
      </c>
      <c r="BH199" s="8">
        <v>0</v>
      </c>
      <c r="BI199" s="8">
        <v>1</v>
      </c>
      <c r="BJ199" s="8">
        <v>1</v>
      </c>
      <c r="BK199" s="8">
        <v>1</v>
      </c>
      <c r="BL199" s="8">
        <v>0</v>
      </c>
      <c r="BM199" s="8">
        <v>0</v>
      </c>
      <c r="BN199" s="8">
        <v>0</v>
      </c>
      <c r="BO199" s="8">
        <v>0</v>
      </c>
      <c r="BP199" s="8">
        <v>0</v>
      </c>
      <c r="BQ199" s="8">
        <v>1</v>
      </c>
      <c r="BR199" s="8">
        <v>0</v>
      </c>
      <c r="BS199" s="8">
        <f t="shared" si="257"/>
        <v>12</v>
      </c>
      <c r="BT199" s="8"/>
      <c r="BU199" s="2">
        <f t="shared" si="2"/>
        <v>2</v>
      </c>
      <c r="BV199" s="2">
        <f t="shared" si="3"/>
        <v>4</v>
      </c>
      <c r="BW199" s="2">
        <f t="shared" si="4"/>
        <v>1</v>
      </c>
      <c r="BX199" s="2">
        <f t="shared" si="5"/>
        <v>4</v>
      </c>
      <c r="BY199" s="2">
        <f t="shared" si="6"/>
        <v>0</v>
      </c>
      <c r="BZ199" s="2">
        <f t="shared" ref="BZ199:CA199" si="293">SUM(AQ199)</f>
        <v>0</v>
      </c>
      <c r="CA199" s="2">
        <f t="shared" si="293"/>
        <v>1</v>
      </c>
      <c r="CB199" s="2">
        <f t="shared" si="8"/>
        <v>0</v>
      </c>
    </row>
    <row r="200" spans="1:80" ht="16" x14ac:dyDescent="0.2">
      <c r="A200" s="3" t="s">
        <v>115</v>
      </c>
      <c r="B200" s="10">
        <v>250</v>
      </c>
      <c r="C200" s="5">
        <v>1</v>
      </c>
      <c r="D200" s="10">
        <v>1</v>
      </c>
      <c r="E200" s="5">
        <v>0</v>
      </c>
      <c r="F200" s="10">
        <v>1966</v>
      </c>
      <c r="G200" s="10" t="s">
        <v>76</v>
      </c>
      <c r="H200" s="7" t="str">
        <f t="shared" si="0"/>
        <v>No</v>
      </c>
      <c r="I200" s="54" t="s">
        <v>55</v>
      </c>
      <c r="J200" s="8">
        <v>1</v>
      </c>
      <c r="K200" s="8" t="s">
        <v>63</v>
      </c>
      <c r="L200" s="8" t="s">
        <v>64</v>
      </c>
      <c r="M200" s="8" t="s">
        <v>64</v>
      </c>
      <c r="N200" s="8">
        <v>0</v>
      </c>
      <c r="O200" s="8">
        <v>0</v>
      </c>
      <c r="P200" s="8">
        <v>0</v>
      </c>
      <c r="Q200" s="8" t="s">
        <v>65</v>
      </c>
      <c r="R200" s="12">
        <v>0.33329999999999999</v>
      </c>
      <c r="S200" s="8">
        <v>0</v>
      </c>
      <c r="T200" s="8">
        <v>0</v>
      </c>
      <c r="U200" s="8">
        <v>1</v>
      </c>
      <c r="V200" s="8">
        <v>1</v>
      </c>
      <c r="W200" s="8">
        <v>1</v>
      </c>
      <c r="X200" s="8">
        <v>0</v>
      </c>
      <c r="Y200" s="8">
        <v>0</v>
      </c>
      <c r="Z200" s="8">
        <v>1</v>
      </c>
      <c r="AA200" s="8" t="s">
        <v>118</v>
      </c>
      <c r="AB200" s="8">
        <v>0</v>
      </c>
      <c r="AC200" s="8">
        <v>0</v>
      </c>
      <c r="AD200" s="8">
        <v>0</v>
      </c>
      <c r="AE200" s="8">
        <v>0</v>
      </c>
      <c r="AF200" s="8">
        <v>1</v>
      </c>
      <c r="AG200" s="8">
        <v>0.5</v>
      </c>
      <c r="AH200" s="8">
        <v>0</v>
      </c>
      <c r="AI200" s="8">
        <v>1</v>
      </c>
      <c r="AJ200" s="8">
        <v>1</v>
      </c>
      <c r="AK200" s="8">
        <v>1</v>
      </c>
      <c r="AL200" s="8">
        <v>1</v>
      </c>
      <c r="AM200" s="8">
        <v>1</v>
      </c>
      <c r="AN200" s="8">
        <v>1</v>
      </c>
      <c r="AO200" s="8">
        <v>0</v>
      </c>
      <c r="AP200" s="8">
        <v>0</v>
      </c>
      <c r="AQ200" s="8">
        <v>0</v>
      </c>
      <c r="AR200" s="8">
        <v>1</v>
      </c>
      <c r="AS200" s="8">
        <v>0</v>
      </c>
      <c r="AT200" s="8">
        <v>0</v>
      </c>
      <c r="AU200" s="8">
        <v>1</v>
      </c>
      <c r="AV200" s="8">
        <v>0</v>
      </c>
      <c r="AW200" s="8">
        <v>0</v>
      </c>
      <c r="AX200" s="8">
        <v>0</v>
      </c>
      <c r="AY200" s="8">
        <v>0</v>
      </c>
      <c r="AZ200" s="8">
        <v>0</v>
      </c>
      <c r="BA200" s="8">
        <v>0</v>
      </c>
      <c r="BB200" s="8">
        <v>0</v>
      </c>
      <c r="BC200" s="8">
        <v>0</v>
      </c>
      <c r="BD200" s="8">
        <v>0</v>
      </c>
      <c r="BE200" s="8">
        <v>0</v>
      </c>
      <c r="BF200" s="8">
        <v>0</v>
      </c>
      <c r="BG200" s="8">
        <v>0</v>
      </c>
      <c r="BH200" s="8">
        <v>0</v>
      </c>
      <c r="BI200" s="8">
        <v>1</v>
      </c>
      <c r="BJ200" s="8">
        <v>1</v>
      </c>
      <c r="BK200" s="8">
        <v>1</v>
      </c>
      <c r="BL200" s="8">
        <v>0</v>
      </c>
      <c r="BM200" s="8">
        <v>0</v>
      </c>
      <c r="BN200" s="8">
        <v>0</v>
      </c>
      <c r="BO200" s="8">
        <v>0</v>
      </c>
      <c r="BP200" s="8">
        <v>0</v>
      </c>
      <c r="BQ200" s="8">
        <v>1</v>
      </c>
      <c r="BR200" s="8">
        <v>0</v>
      </c>
      <c r="BS200" s="8">
        <f t="shared" si="257"/>
        <v>12</v>
      </c>
      <c r="BT200" s="8"/>
      <c r="BU200" s="2">
        <f t="shared" si="2"/>
        <v>2</v>
      </c>
      <c r="BV200" s="2">
        <f t="shared" si="3"/>
        <v>4</v>
      </c>
      <c r="BW200" s="2">
        <f t="shared" si="4"/>
        <v>1</v>
      </c>
      <c r="BX200" s="2">
        <f t="shared" si="5"/>
        <v>4</v>
      </c>
      <c r="BY200" s="2">
        <f t="shared" si="6"/>
        <v>0</v>
      </c>
      <c r="BZ200" s="2">
        <f t="shared" ref="BZ200:CA200" si="294">SUM(AQ200)</f>
        <v>0</v>
      </c>
      <c r="CA200" s="2">
        <f t="shared" si="294"/>
        <v>1</v>
      </c>
      <c r="CB200" s="2">
        <f t="shared" si="8"/>
        <v>0</v>
      </c>
    </row>
    <row r="201" spans="1:80" ht="16" x14ac:dyDescent="0.2">
      <c r="A201" s="3" t="s">
        <v>115</v>
      </c>
      <c r="B201" s="10">
        <v>250</v>
      </c>
      <c r="C201" s="5">
        <v>1</v>
      </c>
      <c r="D201" s="10">
        <v>1</v>
      </c>
      <c r="E201" s="5">
        <v>0</v>
      </c>
      <c r="F201" s="10">
        <v>1966</v>
      </c>
      <c r="G201" s="10" t="s">
        <v>77</v>
      </c>
      <c r="H201" s="7" t="str">
        <f t="shared" si="0"/>
        <v>No</v>
      </c>
      <c r="I201" s="54" t="s">
        <v>55</v>
      </c>
      <c r="J201" s="8">
        <v>1</v>
      </c>
      <c r="K201" s="8" t="s">
        <v>63</v>
      </c>
      <c r="L201" s="8" t="s">
        <v>64</v>
      </c>
      <c r="M201" s="8" t="s">
        <v>64</v>
      </c>
      <c r="N201" s="8">
        <v>0</v>
      </c>
      <c r="O201" s="8">
        <v>0</v>
      </c>
      <c r="P201" s="8">
        <v>0</v>
      </c>
      <c r="Q201" s="8" t="s">
        <v>65</v>
      </c>
      <c r="R201" s="12">
        <v>0.33329999999999999</v>
      </c>
      <c r="S201" s="8">
        <v>0</v>
      </c>
      <c r="T201" s="8">
        <v>0</v>
      </c>
      <c r="U201" s="8">
        <v>1</v>
      </c>
      <c r="V201" s="8">
        <v>1</v>
      </c>
      <c r="W201" s="8">
        <v>1</v>
      </c>
      <c r="X201" s="8">
        <v>0</v>
      </c>
      <c r="Y201" s="8">
        <v>0</v>
      </c>
      <c r="Z201" s="8">
        <v>1</v>
      </c>
      <c r="AA201" s="8" t="s">
        <v>118</v>
      </c>
      <c r="AB201" s="8">
        <v>0</v>
      </c>
      <c r="AC201" s="8">
        <v>0</v>
      </c>
      <c r="AD201" s="8">
        <v>0</v>
      </c>
      <c r="AE201" s="8">
        <v>0</v>
      </c>
      <c r="AF201" s="8">
        <v>1</v>
      </c>
      <c r="AG201" s="8">
        <v>0.5</v>
      </c>
      <c r="AH201" s="8">
        <v>0</v>
      </c>
      <c r="AI201" s="8">
        <v>1</v>
      </c>
      <c r="AJ201" s="8">
        <v>1</v>
      </c>
      <c r="AK201" s="8">
        <v>1</v>
      </c>
      <c r="AL201" s="8">
        <v>1</v>
      </c>
      <c r="AM201" s="8">
        <v>1</v>
      </c>
      <c r="AN201" s="8">
        <v>1</v>
      </c>
      <c r="AO201" s="8">
        <v>0</v>
      </c>
      <c r="AP201" s="8">
        <v>0</v>
      </c>
      <c r="AQ201" s="8">
        <v>0</v>
      </c>
      <c r="AR201" s="8">
        <v>1</v>
      </c>
      <c r="AS201" s="8">
        <v>0</v>
      </c>
      <c r="AT201" s="8">
        <v>0</v>
      </c>
      <c r="AU201" s="8">
        <v>1</v>
      </c>
      <c r="AV201" s="8">
        <v>0</v>
      </c>
      <c r="AW201" s="8">
        <v>0</v>
      </c>
      <c r="AX201" s="8">
        <v>0</v>
      </c>
      <c r="AY201" s="8">
        <v>0</v>
      </c>
      <c r="AZ201" s="8">
        <v>0</v>
      </c>
      <c r="BA201" s="8">
        <v>0</v>
      </c>
      <c r="BB201" s="8">
        <v>0</v>
      </c>
      <c r="BC201" s="8">
        <v>0</v>
      </c>
      <c r="BD201" s="8">
        <v>0</v>
      </c>
      <c r="BE201" s="8">
        <v>0</v>
      </c>
      <c r="BF201" s="8">
        <v>0</v>
      </c>
      <c r="BG201" s="8">
        <v>0</v>
      </c>
      <c r="BH201" s="8">
        <v>0</v>
      </c>
      <c r="BI201" s="8">
        <v>1</v>
      </c>
      <c r="BJ201" s="8">
        <v>1</v>
      </c>
      <c r="BK201" s="8">
        <v>1</v>
      </c>
      <c r="BL201" s="8">
        <v>0</v>
      </c>
      <c r="BM201" s="8">
        <v>0</v>
      </c>
      <c r="BN201" s="8">
        <v>0</v>
      </c>
      <c r="BO201" s="8">
        <v>0</v>
      </c>
      <c r="BP201" s="8">
        <v>0</v>
      </c>
      <c r="BQ201" s="8">
        <v>1</v>
      </c>
      <c r="BR201" s="8">
        <v>0</v>
      </c>
      <c r="BS201" s="8">
        <f t="shared" si="257"/>
        <v>12</v>
      </c>
      <c r="BT201" s="8"/>
      <c r="BU201" s="2">
        <f t="shared" si="2"/>
        <v>2</v>
      </c>
      <c r="BV201" s="2">
        <f t="shared" si="3"/>
        <v>4</v>
      </c>
      <c r="BW201" s="2">
        <f t="shared" si="4"/>
        <v>1</v>
      </c>
      <c r="BX201" s="2">
        <f t="shared" si="5"/>
        <v>4</v>
      </c>
      <c r="BY201" s="2">
        <f t="shared" si="6"/>
        <v>0</v>
      </c>
      <c r="BZ201" s="2">
        <f t="shared" ref="BZ201:CA201" si="295">SUM(AQ201)</f>
        <v>0</v>
      </c>
      <c r="CA201" s="2">
        <f t="shared" si="295"/>
        <v>1</v>
      </c>
      <c r="CB201" s="2">
        <f t="shared" si="8"/>
        <v>0</v>
      </c>
    </row>
    <row r="202" spans="1:80" ht="16" x14ac:dyDescent="0.2">
      <c r="A202" s="3" t="s">
        <v>115</v>
      </c>
      <c r="B202" s="10">
        <v>250</v>
      </c>
      <c r="C202" s="5">
        <v>1</v>
      </c>
      <c r="D202" s="10">
        <v>1</v>
      </c>
      <c r="E202" s="5">
        <v>0</v>
      </c>
      <c r="F202" s="10">
        <v>1966</v>
      </c>
      <c r="G202" s="10" t="s">
        <v>78</v>
      </c>
      <c r="H202" s="7" t="str">
        <f t="shared" si="0"/>
        <v>Yes</v>
      </c>
      <c r="I202" s="54" t="s">
        <v>56</v>
      </c>
      <c r="J202" s="8">
        <v>1</v>
      </c>
      <c r="K202" s="8" t="s">
        <v>63</v>
      </c>
      <c r="L202" s="8" t="s">
        <v>64</v>
      </c>
      <c r="M202" s="8" t="s">
        <v>64</v>
      </c>
      <c r="N202" s="8">
        <v>0</v>
      </c>
      <c r="O202" s="8">
        <v>0</v>
      </c>
      <c r="P202" s="8">
        <v>0</v>
      </c>
      <c r="Q202" s="8" t="s">
        <v>65</v>
      </c>
      <c r="R202" s="12">
        <v>0.33329999999999999</v>
      </c>
      <c r="S202" s="8">
        <v>0</v>
      </c>
      <c r="T202" s="8">
        <v>0</v>
      </c>
      <c r="U202" s="8">
        <v>1</v>
      </c>
      <c r="V202" s="8">
        <v>1</v>
      </c>
      <c r="W202" s="8">
        <v>1</v>
      </c>
      <c r="X202" s="8">
        <v>0</v>
      </c>
      <c r="Y202" s="8">
        <v>0</v>
      </c>
      <c r="Z202" s="8">
        <v>1</v>
      </c>
      <c r="AA202" s="8" t="s">
        <v>658</v>
      </c>
      <c r="AB202" s="8">
        <v>0</v>
      </c>
      <c r="AC202" s="8">
        <v>0</v>
      </c>
      <c r="AD202" s="8">
        <v>0</v>
      </c>
      <c r="AE202" s="8">
        <v>0</v>
      </c>
      <c r="AF202" s="8">
        <v>1</v>
      </c>
      <c r="AG202" s="8">
        <v>0.5</v>
      </c>
      <c r="AH202" s="8">
        <v>0</v>
      </c>
      <c r="AI202" s="8">
        <v>1</v>
      </c>
      <c r="AJ202" s="8">
        <v>1</v>
      </c>
      <c r="AK202" s="8">
        <v>1</v>
      </c>
      <c r="AL202" s="8">
        <v>1</v>
      </c>
      <c r="AM202" s="8">
        <v>1</v>
      </c>
      <c r="AN202" s="8">
        <v>1</v>
      </c>
      <c r="AO202" s="8">
        <v>0</v>
      </c>
      <c r="AP202" s="8">
        <v>0</v>
      </c>
      <c r="AQ202" s="8">
        <v>0</v>
      </c>
      <c r="AR202" s="8">
        <v>1</v>
      </c>
      <c r="AS202" s="8">
        <v>0</v>
      </c>
      <c r="AT202" s="8">
        <v>1</v>
      </c>
      <c r="AU202" s="8">
        <v>1</v>
      </c>
      <c r="AV202" s="8">
        <v>0</v>
      </c>
      <c r="AW202" s="8">
        <v>1</v>
      </c>
      <c r="AX202" s="8">
        <v>0</v>
      </c>
      <c r="AY202" s="8">
        <v>1</v>
      </c>
      <c r="AZ202" s="8">
        <v>0</v>
      </c>
      <c r="BA202" s="8">
        <v>0</v>
      </c>
      <c r="BB202" s="8">
        <v>1</v>
      </c>
      <c r="BC202" s="8">
        <v>0</v>
      </c>
      <c r="BD202" s="8">
        <v>1</v>
      </c>
      <c r="BE202" s="8">
        <v>1</v>
      </c>
      <c r="BF202" s="8">
        <v>0</v>
      </c>
      <c r="BG202" s="8">
        <v>0</v>
      </c>
      <c r="BH202" s="8">
        <v>0</v>
      </c>
      <c r="BI202" s="8">
        <v>1</v>
      </c>
      <c r="BJ202" s="8">
        <v>1</v>
      </c>
      <c r="BK202" s="8">
        <v>1</v>
      </c>
      <c r="BL202" s="8">
        <v>1</v>
      </c>
      <c r="BM202" s="8">
        <v>0</v>
      </c>
      <c r="BN202" s="8">
        <v>0</v>
      </c>
      <c r="BO202" s="8">
        <v>0</v>
      </c>
      <c r="BP202" s="8">
        <v>0</v>
      </c>
      <c r="BQ202" s="8">
        <v>1</v>
      </c>
      <c r="BR202" s="8">
        <v>0</v>
      </c>
      <c r="BS202" s="8">
        <f t="shared" si="257"/>
        <v>19</v>
      </c>
      <c r="BT202" s="8"/>
      <c r="BU202" s="2">
        <f t="shared" si="2"/>
        <v>2</v>
      </c>
      <c r="BV202" s="2">
        <f t="shared" si="3"/>
        <v>5</v>
      </c>
      <c r="BW202" s="2">
        <f t="shared" si="4"/>
        <v>1</v>
      </c>
      <c r="BX202" s="2">
        <f t="shared" si="5"/>
        <v>9</v>
      </c>
      <c r="BY202" s="2">
        <f t="shared" si="6"/>
        <v>0</v>
      </c>
      <c r="BZ202" s="2">
        <f t="shared" ref="BZ202:CA202" si="296">SUM(AQ202)</f>
        <v>0</v>
      </c>
      <c r="CA202" s="2">
        <f t="shared" si="296"/>
        <v>1</v>
      </c>
      <c r="CB202" s="2">
        <f t="shared" si="8"/>
        <v>1</v>
      </c>
    </row>
    <row r="203" spans="1:80" ht="15" customHeight="1" x14ac:dyDescent="0.2">
      <c r="A203" s="3" t="s">
        <v>115</v>
      </c>
      <c r="B203" s="10">
        <v>250</v>
      </c>
      <c r="C203" s="5">
        <v>1</v>
      </c>
      <c r="D203" s="10">
        <v>1</v>
      </c>
      <c r="E203" s="5">
        <v>0</v>
      </c>
      <c r="F203" s="10">
        <v>1966</v>
      </c>
      <c r="G203" s="10" t="s">
        <v>79</v>
      </c>
      <c r="H203" s="7" t="str">
        <f t="shared" si="0"/>
        <v>No</v>
      </c>
      <c r="I203" s="54" t="s">
        <v>57</v>
      </c>
      <c r="J203" s="8">
        <v>1</v>
      </c>
      <c r="K203" s="8" t="s">
        <v>63</v>
      </c>
      <c r="L203" s="8" t="s">
        <v>64</v>
      </c>
      <c r="M203" s="8" t="s">
        <v>119</v>
      </c>
      <c r="N203" s="8">
        <v>0</v>
      </c>
      <c r="O203" s="8">
        <v>0</v>
      </c>
      <c r="P203" s="8">
        <v>0</v>
      </c>
      <c r="Q203" s="8" t="s">
        <v>120</v>
      </c>
      <c r="R203" s="9">
        <v>0.1</v>
      </c>
      <c r="S203" s="8">
        <v>0</v>
      </c>
      <c r="T203" s="8">
        <v>0</v>
      </c>
      <c r="U203" s="8">
        <v>1</v>
      </c>
      <c r="V203" s="8">
        <v>1</v>
      </c>
      <c r="W203" s="8">
        <v>1</v>
      </c>
      <c r="X203" s="8">
        <v>0</v>
      </c>
      <c r="Y203" s="8">
        <v>0</v>
      </c>
      <c r="Z203" s="8">
        <v>1</v>
      </c>
      <c r="AA203" s="8" t="s">
        <v>658</v>
      </c>
      <c r="AB203" s="8">
        <v>1</v>
      </c>
      <c r="AC203" s="8">
        <v>0</v>
      </c>
      <c r="AD203" s="8">
        <v>0</v>
      </c>
      <c r="AE203" s="8">
        <v>0</v>
      </c>
      <c r="AF203" s="8">
        <v>1</v>
      </c>
      <c r="AG203" s="8">
        <v>0</v>
      </c>
      <c r="AH203" s="8">
        <v>1</v>
      </c>
      <c r="AI203" s="8">
        <v>1</v>
      </c>
      <c r="AJ203" s="8">
        <v>1</v>
      </c>
      <c r="AK203" s="8">
        <v>1</v>
      </c>
      <c r="AL203" s="8">
        <v>1</v>
      </c>
      <c r="AM203" s="8">
        <v>1</v>
      </c>
      <c r="AN203" s="8">
        <v>1</v>
      </c>
      <c r="AO203" s="8">
        <v>0</v>
      </c>
      <c r="AP203" s="8">
        <v>1</v>
      </c>
      <c r="AQ203" s="8">
        <v>0</v>
      </c>
      <c r="AR203" s="8">
        <v>1</v>
      </c>
      <c r="AS203" s="8">
        <v>0</v>
      </c>
      <c r="AT203" s="8">
        <v>1</v>
      </c>
      <c r="AU203" s="8">
        <v>1</v>
      </c>
      <c r="AV203" s="8">
        <v>1</v>
      </c>
      <c r="AW203" s="8">
        <v>1</v>
      </c>
      <c r="AX203" s="8">
        <v>0</v>
      </c>
      <c r="AY203" s="8">
        <v>1</v>
      </c>
      <c r="AZ203" s="8">
        <v>0</v>
      </c>
      <c r="BA203" s="8">
        <v>0</v>
      </c>
      <c r="BB203" s="8">
        <v>1</v>
      </c>
      <c r="BC203" s="8">
        <v>0</v>
      </c>
      <c r="BD203" s="8">
        <v>1</v>
      </c>
      <c r="BE203" s="8">
        <v>1</v>
      </c>
      <c r="BF203" s="8">
        <v>0</v>
      </c>
      <c r="BG203" s="8">
        <v>0</v>
      </c>
      <c r="BH203" s="8">
        <v>0</v>
      </c>
      <c r="BI203" s="8">
        <v>1</v>
      </c>
      <c r="BJ203" s="8">
        <v>1</v>
      </c>
      <c r="BK203" s="8">
        <v>1</v>
      </c>
      <c r="BL203" s="8">
        <v>1</v>
      </c>
      <c r="BM203" s="8">
        <v>0</v>
      </c>
      <c r="BN203" s="8">
        <v>0</v>
      </c>
      <c r="BO203" s="8">
        <v>0</v>
      </c>
      <c r="BP203" s="8">
        <v>0</v>
      </c>
      <c r="BQ203" s="8">
        <v>1</v>
      </c>
      <c r="BR203" s="8">
        <v>0</v>
      </c>
      <c r="BS203" s="8">
        <f t="shared" si="257"/>
        <v>21</v>
      </c>
      <c r="BT203" s="8"/>
      <c r="BU203" s="2">
        <f t="shared" si="2"/>
        <v>2</v>
      </c>
      <c r="BV203" s="2">
        <f t="shared" si="3"/>
        <v>6</v>
      </c>
      <c r="BW203" s="2">
        <f t="shared" si="4"/>
        <v>1</v>
      </c>
      <c r="BX203" s="2">
        <f t="shared" si="5"/>
        <v>10</v>
      </c>
      <c r="BY203" s="2">
        <f t="shared" si="6"/>
        <v>0</v>
      </c>
      <c r="BZ203" s="2">
        <f t="shared" ref="BZ203:CA203" si="297">SUM(AQ203)</f>
        <v>0</v>
      </c>
      <c r="CA203" s="2">
        <f t="shared" si="297"/>
        <v>1</v>
      </c>
      <c r="CB203" s="2">
        <f t="shared" si="8"/>
        <v>1</v>
      </c>
    </row>
    <row r="204" spans="1:80" ht="15" customHeight="1" x14ac:dyDescent="0.2">
      <c r="A204" s="3" t="s">
        <v>115</v>
      </c>
      <c r="B204" s="10">
        <v>250</v>
      </c>
      <c r="C204" s="5">
        <v>1</v>
      </c>
      <c r="D204" s="10">
        <v>1</v>
      </c>
      <c r="E204" s="5">
        <v>0</v>
      </c>
      <c r="F204" s="10">
        <v>1966</v>
      </c>
      <c r="G204" s="10" t="s">
        <v>80</v>
      </c>
      <c r="H204" s="7" t="str">
        <f t="shared" si="0"/>
        <v>No</v>
      </c>
      <c r="I204" s="54" t="s">
        <v>55</v>
      </c>
      <c r="J204" s="8">
        <v>1</v>
      </c>
      <c r="K204" s="8" t="s">
        <v>63</v>
      </c>
      <c r="L204" s="8" t="s">
        <v>64</v>
      </c>
      <c r="M204" s="8" t="s">
        <v>119</v>
      </c>
      <c r="N204" s="8">
        <v>0</v>
      </c>
      <c r="O204" s="8">
        <v>0</v>
      </c>
      <c r="P204" s="8">
        <v>0</v>
      </c>
      <c r="Q204" s="8" t="s">
        <v>120</v>
      </c>
      <c r="R204" s="9">
        <v>0.1</v>
      </c>
      <c r="S204" s="8">
        <v>0</v>
      </c>
      <c r="T204" s="8">
        <v>0</v>
      </c>
      <c r="U204" s="8">
        <v>1</v>
      </c>
      <c r="V204" s="8">
        <v>1</v>
      </c>
      <c r="W204" s="8">
        <v>1</v>
      </c>
      <c r="X204" s="8">
        <v>0</v>
      </c>
      <c r="Y204" s="8">
        <v>0</v>
      </c>
      <c r="Z204" s="8">
        <v>1</v>
      </c>
      <c r="AA204" s="8" t="s">
        <v>658</v>
      </c>
      <c r="AB204" s="8">
        <v>1</v>
      </c>
      <c r="AC204" s="8">
        <v>0</v>
      </c>
      <c r="AD204" s="8">
        <v>0</v>
      </c>
      <c r="AE204" s="8">
        <v>0</v>
      </c>
      <c r="AF204" s="8">
        <v>1</v>
      </c>
      <c r="AG204" s="8">
        <v>0</v>
      </c>
      <c r="AH204" s="8">
        <v>1</v>
      </c>
      <c r="AI204" s="8">
        <v>1</v>
      </c>
      <c r="AJ204" s="8">
        <v>1</v>
      </c>
      <c r="AK204" s="8">
        <v>1</v>
      </c>
      <c r="AL204" s="8">
        <v>1</v>
      </c>
      <c r="AM204" s="8">
        <v>1</v>
      </c>
      <c r="AN204" s="8">
        <v>1</v>
      </c>
      <c r="AO204" s="8">
        <v>0</v>
      </c>
      <c r="AP204" s="8">
        <v>1</v>
      </c>
      <c r="AQ204" s="8">
        <v>0</v>
      </c>
      <c r="AR204" s="8">
        <v>1</v>
      </c>
      <c r="AS204" s="8">
        <v>0</v>
      </c>
      <c r="AT204" s="8">
        <v>1</v>
      </c>
      <c r="AU204" s="8">
        <v>1</v>
      </c>
      <c r="AV204" s="8">
        <v>1</v>
      </c>
      <c r="AW204" s="8">
        <v>1</v>
      </c>
      <c r="AX204" s="8">
        <v>0</v>
      </c>
      <c r="AY204" s="8">
        <v>1</v>
      </c>
      <c r="AZ204" s="8">
        <v>0</v>
      </c>
      <c r="BA204" s="8">
        <v>0</v>
      </c>
      <c r="BB204" s="8">
        <v>1</v>
      </c>
      <c r="BC204" s="8">
        <v>0</v>
      </c>
      <c r="BD204" s="8">
        <v>1</v>
      </c>
      <c r="BE204" s="8">
        <v>1</v>
      </c>
      <c r="BF204" s="8">
        <v>0</v>
      </c>
      <c r="BG204" s="8">
        <v>0</v>
      </c>
      <c r="BH204" s="8">
        <v>0</v>
      </c>
      <c r="BI204" s="8">
        <v>1</v>
      </c>
      <c r="BJ204" s="8">
        <v>1</v>
      </c>
      <c r="BK204" s="8">
        <v>1</v>
      </c>
      <c r="BL204" s="8">
        <v>1</v>
      </c>
      <c r="BM204" s="8">
        <v>0</v>
      </c>
      <c r="BN204" s="8">
        <v>0</v>
      </c>
      <c r="BO204" s="8">
        <v>0</v>
      </c>
      <c r="BP204" s="8">
        <v>0</v>
      </c>
      <c r="BQ204" s="8">
        <v>1</v>
      </c>
      <c r="BR204" s="8">
        <v>0</v>
      </c>
      <c r="BS204" s="8">
        <f t="shared" si="257"/>
        <v>21</v>
      </c>
      <c r="BT204" s="8"/>
      <c r="BU204" s="2">
        <f t="shared" si="2"/>
        <v>2</v>
      </c>
      <c r="BV204" s="2">
        <f t="shared" si="3"/>
        <v>6</v>
      </c>
      <c r="BW204" s="2">
        <f t="shared" si="4"/>
        <v>1</v>
      </c>
      <c r="BX204" s="2">
        <f t="shared" si="5"/>
        <v>10</v>
      </c>
      <c r="BY204" s="2">
        <f t="shared" si="6"/>
        <v>0</v>
      </c>
      <c r="BZ204" s="2">
        <f t="shared" ref="BZ204:CA204" si="298">SUM(AQ204)</f>
        <v>0</v>
      </c>
      <c r="CA204" s="2">
        <f t="shared" si="298"/>
        <v>1</v>
      </c>
      <c r="CB204" s="2">
        <f t="shared" si="8"/>
        <v>1</v>
      </c>
    </row>
    <row r="205" spans="1:80" ht="16" x14ac:dyDescent="0.2">
      <c r="A205" s="3" t="s">
        <v>115</v>
      </c>
      <c r="B205" s="10">
        <v>250</v>
      </c>
      <c r="C205" s="5">
        <v>1</v>
      </c>
      <c r="D205" s="10">
        <v>1</v>
      </c>
      <c r="E205" s="5">
        <v>0</v>
      </c>
      <c r="F205" s="10">
        <v>1966</v>
      </c>
      <c r="G205" s="10">
        <v>2022</v>
      </c>
      <c r="H205" s="7" t="str">
        <f t="shared" si="0"/>
        <v>Yes</v>
      </c>
      <c r="I205" s="54" t="s">
        <v>56</v>
      </c>
      <c r="J205" s="8">
        <v>1</v>
      </c>
      <c r="K205" s="8" t="s">
        <v>63</v>
      </c>
      <c r="L205" s="8" t="s">
        <v>64</v>
      </c>
      <c r="M205" s="8" t="s">
        <v>119</v>
      </c>
      <c r="N205" s="8">
        <v>0</v>
      </c>
      <c r="O205" s="8">
        <v>0</v>
      </c>
      <c r="P205" s="8">
        <v>0</v>
      </c>
      <c r="Q205" s="8" t="s">
        <v>120</v>
      </c>
      <c r="R205" s="9">
        <v>0.1</v>
      </c>
      <c r="S205" s="8">
        <v>0</v>
      </c>
      <c r="T205" s="8">
        <v>0</v>
      </c>
      <c r="U205" s="8">
        <v>1</v>
      </c>
      <c r="V205" s="8">
        <v>1</v>
      </c>
      <c r="W205" s="8">
        <v>1</v>
      </c>
      <c r="X205" s="8">
        <v>0</v>
      </c>
      <c r="Y205" s="8">
        <v>0</v>
      </c>
      <c r="Z205" s="8">
        <v>1</v>
      </c>
      <c r="AA205" s="8" t="s">
        <v>658</v>
      </c>
      <c r="AB205" s="8">
        <v>1</v>
      </c>
      <c r="AC205" s="8">
        <v>0</v>
      </c>
      <c r="AD205" s="8">
        <v>0</v>
      </c>
      <c r="AE205" s="8">
        <v>0</v>
      </c>
      <c r="AF205" s="8">
        <v>1</v>
      </c>
      <c r="AG205" s="8">
        <v>0</v>
      </c>
      <c r="AH205" s="8">
        <v>1</v>
      </c>
      <c r="AI205" s="8">
        <v>1</v>
      </c>
      <c r="AJ205" s="8">
        <v>1</v>
      </c>
      <c r="AK205" s="8">
        <v>1</v>
      </c>
      <c r="AL205" s="8">
        <v>1</v>
      </c>
      <c r="AM205" s="8">
        <v>1</v>
      </c>
      <c r="AN205" s="8">
        <v>1</v>
      </c>
      <c r="AO205" s="8">
        <v>0</v>
      </c>
      <c r="AP205" s="8">
        <v>1</v>
      </c>
      <c r="AQ205" s="8">
        <v>0</v>
      </c>
      <c r="AR205" s="8">
        <v>1</v>
      </c>
      <c r="AS205" s="8">
        <v>0</v>
      </c>
      <c r="AT205" s="8">
        <v>1</v>
      </c>
      <c r="AU205" s="8">
        <v>1</v>
      </c>
      <c r="AV205" s="8">
        <v>1</v>
      </c>
      <c r="AW205" s="8">
        <v>1</v>
      </c>
      <c r="AX205" s="8">
        <v>0</v>
      </c>
      <c r="AY205" s="8">
        <v>1</v>
      </c>
      <c r="AZ205" s="8">
        <v>0</v>
      </c>
      <c r="BA205" s="8">
        <v>0</v>
      </c>
      <c r="BB205" s="8">
        <v>1</v>
      </c>
      <c r="BC205" s="8">
        <v>0</v>
      </c>
      <c r="BD205" s="8">
        <v>1</v>
      </c>
      <c r="BE205" s="8">
        <v>1</v>
      </c>
      <c r="BF205" s="8">
        <v>0</v>
      </c>
      <c r="BG205" s="8">
        <v>0</v>
      </c>
      <c r="BH205" s="8">
        <v>0</v>
      </c>
      <c r="BI205" s="8">
        <v>1</v>
      </c>
      <c r="BJ205" s="8">
        <v>1</v>
      </c>
      <c r="BK205" s="8">
        <v>1</v>
      </c>
      <c r="BL205" s="8">
        <v>1</v>
      </c>
      <c r="BM205" s="8">
        <v>0</v>
      </c>
      <c r="BN205" s="8">
        <v>0</v>
      </c>
      <c r="BO205" s="8">
        <v>0</v>
      </c>
      <c r="BP205" s="8">
        <v>0</v>
      </c>
      <c r="BQ205" s="8">
        <v>1</v>
      </c>
      <c r="BR205" s="8">
        <v>0</v>
      </c>
      <c r="BS205" s="8">
        <f t="shared" si="257"/>
        <v>21</v>
      </c>
      <c r="BT205" s="8"/>
      <c r="BU205" s="2">
        <f t="shared" si="2"/>
        <v>2</v>
      </c>
      <c r="BV205" s="2">
        <f t="shared" si="3"/>
        <v>6</v>
      </c>
      <c r="BW205" s="2">
        <f t="shared" si="4"/>
        <v>1</v>
      </c>
      <c r="BX205" s="2">
        <f t="shared" si="5"/>
        <v>10</v>
      </c>
      <c r="BY205" s="2">
        <f t="shared" si="6"/>
        <v>0</v>
      </c>
      <c r="BZ205" s="2">
        <f t="shared" ref="BZ205:CA205" si="299">SUM(AQ205)</f>
        <v>0</v>
      </c>
      <c r="CA205" s="2">
        <f t="shared" si="299"/>
        <v>1</v>
      </c>
      <c r="CB205" s="2">
        <f t="shared" si="8"/>
        <v>1</v>
      </c>
    </row>
    <row r="206" spans="1:80" ht="16" x14ac:dyDescent="0.2">
      <c r="A206" s="3" t="s">
        <v>115</v>
      </c>
      <c r="B206" s="10">
        <v>250</v>
      </c>
      <c r="C206" s="5">
        <v>1</v>
      </c>
      <c r="D206" s="10">
        <v>1</v>
      </c>
      <c r="E206" s="5">
        <v>0</v>
      </c>
      <c r="F206" s="10">
        <v>1966</v>
      </c>
      <c r="G206" s="10">
        <v>2023</v>
      </c>
      <c r="H206" s="7" t="str">
        <f t="shared" ref="H206" si="300">IF($I206="1", "Yes", "No")</f>
        <v>Yes</v>
      </c>
      <c r="I206" s="54" t="s">
        <v>56</v>
      </c>
      <c r="J206" s="8">
        <v>1</v>
      </c>
      <c r="K206" s="8" t="s">
        <v>63</v>
      </c>
      <c r="L206" s="8" t="s">
        <v>64</v>
      </c>
      <c r="M206" s="8" t="s">
        <v>119</v>
      </c>
      <c r="N206" s="8">
        <v>0</v>
      </c>
      <c r="O206" s="8">
        <v>0</v>
      </c>
      <c r="P206" s="8">
        <v>0</v>
      </c>
      <c r="Q206" s="8" t="s">
        <v>120</v>
      </c>
      <c r="R206" s="9">
        <v>0.1</v>
      </c>
      <c r="S206" s="8">
        <v>0</v>
      </c>
      <c r="T206" s="8">
        <v>0</v>
      </c>
      <c r="U206" s="8">
        <v>1</v>
      </c>
      <c r="V206" s="8">
        <v>1</v>
      </c>
      <c r="W206" s="8">
        <v>1</v>
      </c>
      <c r="X206" s="8">
        <v>0</v>
      </c>
      <c r="Y206" s="8">
        <v>0</v>
      </c>
      <c r="Z206" s="8">
        <v>1</v>
      </c>
      <c r="AA206" s="8" t="s">
        <v>658</v>
      </c>
      <c r="AB206" s="8">
        <v>1</v>
      </c>
      <c r="AC206" s="8">
        <v>0</v>
      </c>
      <c r="AD206" s="8">
        <v>0</v>
      </c>
      <c r="AE206" s="8">
        <v>0</v>
      </c>
      <c r="AF206" s="8">
        <v>1</v>
      </c>
      <c r="AG206" s="8">
        <v>0</v>
      </c>
      <c r="AH206" s="8">
        <v>1</v>
      </c>
      <c r="AI206" s="8">
        <v>1</v>
      </c>
      <c r="AJ206" s="8">
        <v>1</v>
      </c>
      <c r="AK206" s="8">
        <v>1</v>
      </c>
      <c r="AL206" s="8">
        <v>1</v>
      </c>
      <c r="AM206" s="8">
        <v>1</v>
      </c>
      <c r="AN206" s="8">
        <v>1</v>
      </c>
      <c r="AO206" s="8">
        <v>0</v>
      </c>
      <c r="AP206" s="8">
        <v>1</v>
      </c>
      <c r="AQ206" s="8">
        <v>0</v>
      </c>
      <c r="AR206" s="8">
        <v>1</v>
      </c>
      <c r="AS206" s="8">
        <v>0</v>
      </c>
      <c r="AT206" s="8">
        <v>1</v>
      </c>
      <c r="AU206" s="8">
        <v>1</v>
      </c>
      <c r="AV206" s="8">
        <v>1</v>
      </c>
      <c r="AW206" s="8">
        <v>1</v>
      </c>
      <c r="AX206" s="8">
        <v>0</v>
      </c>
      <c r="AY206" s="8">
        <v>1</v>
      </c>
      <c r="AZ206" s="8">
        <v>0</v>
      </c>
      <c r="BA206" s="8">
        <v>0</v>
      </c>
      <c r="BB206" s="8">
        <v>1</v>
      </c>
      <c r="BC206" s="8">
        <v>0</v>
      </c>
      <c r="BD206" s="8">
        <v>1</v>
      </c>
      <c r="BE206" s="8">
        <v>1</v>
      </c>
      <c r="BF206" s="8">
        <v>0</v>
      </c>
      <c r="BG206" s="8">
        <v>0</v>
      </c>
      <c r="BH206" s="8">
        <v>0</v>
      </c>
      <c r="BI206" s="8">
        <v>1</v>
      </c>
      <c r="BJ206" s="8">
        <v>1</v>
      </c>
      <c r="BK206" s="8">
        <v>1</v>
      </c>
      <c r="BL206" s="8">
        <v>1</v>
      </c>
      <c r="BM206" s="8">
        <v>0</v>
      </c>
      <c r="BN206" s="8">
        <v>0</v>
      </c>
      <c r="BO206" s="8">
        <v>0</v>
      </c>
      <c r="BP206" s="8">
        <v>0</v>
      </c>
      <c r="BQ206" s="8">
        <v>1</v>
      </c>
      <c r="BR206" s="8">
        <v>0</v>
      </c>
      <c r="BS206" s="8">
        <f t="shared" ref="BS206" si="301">SUM(AI206:BR206)</f>
        <v>21</v>
      </c>
      <c r="BT206" s="8"/>
      <c r="BU206" s="2">
        <f t="shared" ref="BU206" si="302">SUM(AI206,BK206)</f>
        <v>2</v>
      </c>
      <c r="BV206" s="2">
        <f t="shared" ref="BV206" si="303">SUM(AK206, AL206, AM206,AJ206,BL206,BO206, AP206)</f>
        <v>6</v>
      </c>
      <c r="BW206" s="2">
        <f t="shared" ref="BW206" si="304">SUM(AN206, AO206, AS206)</f>
        <v>1</v>
      </c>
      <c r="BX206" s="2">
        <f t="shared" ref="BX206" si="305">SUM(AU206,AV206,AW206,AX206,AY206,AZ206,BA206,BB206,BC206,BD206,BE206,BF206,BG206,BH206,BI206,BJ206,BQ206,BR206,BM206)</f>
        <v>10</v>
      </c>
      <c r="BY206" s="2">
        <f t="shared" ref="BY206" si="306">SUM(BP206, BN206)</f>
        <v>0</v>
      </c>
      <c r="BZ206" s="2">
        <f t="shared" ref="BZ206" si="307">SUM(AQ206)</f>
        <v>0</v>
      </c>
      <c r="CA206" s="2">
        <f t="shared" ref="CA206" si="308">SUM(AR206)</f>
        <v>1</v>
      </c>
      <c r="CB206" s="2">
        <f t="shared" ref="CB206" si="309">SUM(AT206)</f>
        <v>1</v>
      </c>
    </row>
    <row r="207" spans="1:80" s="33" customFormat="1" ht="16" x14ac:dyDescent="0.2">
      <c r="A207" s="21" t="s">
        <v>115</v>
      </c>
      <c r="B207" s="30">
        <v>250</v>
      </c>
      <c r="C207" s="31">
        <v>1</v>
      </c>
      <c r="D207" s="30">
        <v>1</v>
      </c>
      <c r="E207" s="31">
        <v>0</v>
      </c>
      <c r="F207" s="30">
        <v>1966</v>
      </c>
      <c r="G207" s="30">
        <v>2024</v>
      </c>
      <c r="H207" s="22" t="s">
        <v>82</v>
      </c>
      <c r="I207" s="55" t="s">
        <v>57</v>
      </c>
      <c r="J207" s="23">
        <v>1</v>
      </c>
      <c r="K207" s="23" t="s">
        <v>63</v>
      </c>
      <c r="L207" s="23" t="s">
        <v>64</v>
      </c>
      <c r="M207" s="23" t="s">
        <v>119</v>
      </c>
      <c r="N207" s="23">
        <v>0</v>
      </c>
      <c r="O207" s="23">
        <v>0</v>
      </c>
      <c r="P207" s="23">
        <v>0</v>
      </c>
      <c r="Q207" s="23" t="s">
        <v>120</v>
      </c>
      <c r="R207" s="25">
        <v>0.1</v>
      </c>
      <c r="S207" s="23">
        <v>0</v>
      </c>
      <c r="T207" s="23">
        <v>0</v>
      </c>
      <c r="U207" s="23">
        <v>1</v>
      </c>
      <c r="V207" s="23">
        <v>1</v>
      </c>
      <c r="W207" s="23">
        <v>1</v>
      </c>
      <c r="X207" s="23">
        <v>0</v>
      </c>
      <c r="Y207" s="23">
        <v>0</v>
      </c>
      <c r="Z207" s="23">
        <v>1</v>
      </c>
      <c r="AA207" s="8" t="s">
        <v>658</v>
      </c>
      <c r="AB207" s="23">
        <v>1</v>
      </c>
      <c r="AC207" s="23">
        <v>0</v>
      </c>
      <c r="AD207" s="23">
        <v>0</v>
      </c>
      <c r="AE207" s="23">
        <v>0</v>
      </c>
      <c r="AF207" s="23">
        <v>1</v>
      </c>
      <c r="AG207" s="23">
        <v>1</v>
      </c>
      <c r="AH207" s="23">
        <v>0</v>
      </c>
      <c r="AI207" s="23">
        <v>1</v>
      </c>
      <c r="AJ207" s="23">
        <v>1</v>
      </c>
      <c r="AK207" s="23">
        <v>1</v>
      </c>
      <c r="AL207" s="23">
        <v>1</v>
      </c>
      <c r="AM207" s="23">
        <v>1</v>
      </c>
      <c r="AN207" s="23">
        <v>1</v>
      </c>
      <c r="AO207" s="23">
        <v>0</v>
      </c>
      <c r="AP207" s="23">
        <v>1</v>
      </c>
      <c r="AQ207" s="23">
        <v>0</v>
      </c>
      <c r="AR207" s="23">
        <v>1</v>
      </c>
      <c r="AS207" s="23">
        <v>0</v>
      </c>
      <c r="AT207" s="23">
        <v>1</v>
      </c>
      <c r="AU207" s="23">
        <v>1</v>
      </c>
      <c r="AV207" s="23">
        <v>1</v>
      </c>
      <c r="AW207" s="23">
        <v>1</v>
      </c>
      <c r="AX207" s="23">
        <v>0</v>
      </c>
      <c r="AY207" s="23">
        <v>1</v>
      </c>
      <c r="AZ207" s="23">
        <v>0</v>
      </c>
      <c r="BA207" s="23">
        <v>0</v>
      </c>
      <c r="BB207" s="23">
        <v>1</v>
      </c>
      <c r="BC207" s="23">
        <v>0</v>
      </c>
      <c r="BD207" s="23">
        <v>1</v>
      </c>
      <c r="BE207" s="23">
        <v>1</v>
      </c>
      <c r="BF207" s="23">
        <v>0</v>
      </c>
      <c r="BG207" s="23">
        <v>0</v>
      </c>
      <c r="BH207" s="23">
        <v>0</v>
      </c>
      <c r="BI207" s="23">
        <v>1</v>
      </c>
      <c r="BJ207" s="23">
        <v>1</v>
      </c>
      <c r="BK207" s="23">
        <v>1</v>
      </c>
      <c r="BL207" s="23">
        <v>1</v>
      </c>
      <c r="BM207" s="23">
        <v>0</v>
      </c>
      <c r="BN207" s="23">
        <v>0</v>
      </c>
      <c r="BO207" s="23">
        <v>1</v>
      </c>
      <c r="BP207" s="23">
        <v>0</v>
      </c>
      <c r="BQ207" s="23">
        <v>1</v>
      </c>
      <c r="BR207" s="23">
        <v>0</v>
      </c>
      <c r="BS207" s="23">
        <f t="shared" ref="BS207" si="310">SUM(AI207:BR207)</f>
        <v>22</v>
      </c>
      <c r="BT207" s="23"/>
      <c r="BU207" s="32">
        <f t="shared" ref="BU207" si="311">SUM(AI207,BK207)</f>
        <v>2</v>
      </c>
      <c r="BV207" s="32">
        <f t="shared" ref="BV207" si="312">SUM(AK207, AL207, AM207,AJ207,BL207,BO207, AP207)</f>
        <v>7</v>
      </c>
      <c r="BW207" s="32">
        <f t="shared" ref="BW207" si="313">SUM(AN207, AO207, AS207)</f>
        <v>1</v>
      </c>
      <c r="BX207" s="32">
        <f t="shared" ref="BX207" si="314">SUM(AU207,AV207,AW207,AX207,AY207,AZ207,BA207,BB207,BC207,BD207,BE207,BF207,BG207,BH207,BI207,BJ207,BQ207,BR207,BM207)</f>
        <v>10</v>
      </c>
      <c r="BY207" s="32">
        <f t="shared" ref="BY207" si="315">SUM(BP207, BN207)</f>
        <v>0</v>
      </c>
      <c r="BZ207" s="32">
        <f t="shared" ref="BZ207" si="316">SUM(AQ207)</f>
        <v>0</v>
      </c>
      <c r="CA207" s="32">
        <f t="shared" ref="CA207" si="317">SUM(AR207)</f>
        <v>1</v>
      </c>
      <c r="CB207" s="32">
        <f t="shared" ref="CB207" si="318">SUM(AT207)</f>
        <v>1</v>
      </c>
    </row>
    <row r="208" spans="1:80" ht="16" x14ac:dyDescent="0.2">
      <c r="A208" s="3" t="s">
        <v>122</v>
      </c>
      <c r="B208" s="10">
        <v>276</v>
      </c>
      <c r="C208" s="5">
        <v>1</v>
      </c>
      <c r="D208" s="10">
        <v>1</v>
      </c>
      <c r="E208" s="5">
        <v>0</v>
      </c>
      <c r="F208" s="10">
        <v>2004</v>
      </c>
      <c r="G208" s="10" t="s">
        <v>86</v>
      </c>
      <c r="H208" s="7" t="str">
        <f t="shared" si="0"/>
        <v>Yes</v>
      </c>
      <c r="I208" s="54" t="s">
        <v>56</v>
      </c>
      <c r="J208" s="8">
        <v>1</v>
      </c>
      <c r="K208" s="8" t="s">
        <v>63</v>
      </c>
      <c r="L208" s="8" t="s">
        <v>64</v>
      </c>
      <c r="M208" s="8" t="s">
        <v>123</v>
      </c>
      <c r="N208" s="8">
        <v>1</v>
      </c>
      <c r="O208" s="8">
        <v>0</v>
      </c>
      <c r="P208" s="8">
        <v>0</v>
      </c>
      <c r="Q208" s="8" t="s">
        <v>58</v>
      </c>
      <c r="R208" s="9">
        <v>0.25</v>
      </c>
      <c r="S208" s="8">
        <v>0</v>
      </c>
      <c r="T208" s="8">
        <v>0</v>
      </c>
      <c r="U208" s="8">
        <v>1</v>
      </c>
      <c r="V208" s="8">
        <v>1</v>
      </c>
      <c r="W208" s="8">
        <v>1</v>
      </c>
      <c r="X208" s="8">
        <v>0</v>
      </c>
      <c r="Y208" s="8">
        <v>0</v>
      </c>
      <c r="Z208" s="8">
        <v>0</v>
      </c>
      <c r="AA208" s="8" t="s">
        <v>124</v>
      </c>
      <c r="AB208" s="8">
        <v>0</v>
      </c>
      <c r="AC208" s="8">
        <v>0</v>
      </c>
      <c r="AD208" s="8">
        <v>0</v>
      </c>
      <c r="AE208" s="8">
        <v>0</v>
      </c>
      <c r="AF208" s="8">
        <v>1</v>
      </c>
      <c r="AG208" s="8">
        <v>0</v>
      </c>
      <c r="AH208" s="8">
        <v>0</v>
      </c>
      <c r="AI208" s="8">
        <v>1</v>
      </c>
      <c r="AJ208" s="8">
        <v>0</v>
      </c>
      <c r="AK208" s="8">
        <v>0</v>
      </c>
      <c r="AL208" s="8">
        <v>0</v>
      </c>
      <c r="AM208" s="8">
        <v>0</v>
      </c>
      <c r="AN208" s="8">
        <v>0</v>
      </c>
      <c r="AO208" s="8">
        <v>0</v>
      </c>
      <c r="AP208" s="8">
        <v>0</v>
      </c>
      <c r="AQ208" s="8">
        <v>0</v>
      </c>
      <c r="AR208" s="8">
        <v>0</v>
      </c>
      <c r="AS208" s="8">
        <v>0</v>
      </c>
      <c r="AT208" s="8">
        <v>0</v>
      </c>
      <c r="AU208" s="8">
        <v>0</v>
      </c>
      <c r="AV208" s="8">
        <v>0</v>
      </c>
      <c r="AW208" s="8">
        <v>0</v>
      </c>
      <c r="AX208" s="8">
        <v>0</v>
      </c>
      <c r="AY208" s="8">
        <v>0</v>
      </c>
      <c r="AZ208" s="8">
        <v>0</v>
      </c>
      <c r="BA208" s="8">
        <v>0</v>
      </c>
      <c r="BB208" s="8">
        <v>0</v>
      </c>
      <c r="BC208" s="8">
        <v>0</v>
      </c>
      <c r="BD208" s="8">
        <v>0</v>
      </c>
      <c r="BE208" s="8">
        <v>0</v>
      </c>
      <c r="BF208" s="8">
        <v>0</v>
      </c>
      <c r="BG208" s="8">
        <v>0</v>
      </c>
      <c r="BH208" s="8">
        <v>0</v>
      </c>
      <c r="BI208" s="8">
        <v>1</v>
      </c>
      <c r="BJ208" s="8">
        <v>0</v>
      </c>
      <c r="BK208" s="8">
        <v>1</v>
      </c>
      <c r="BL208" s="8">
        <v>0</v>
      </c>
      <c r="BM208" s="8">
        <v>0</v>
      </c>
      <c r="BN208" s="8">
        <v>0</v>
      </c>
      <c r="BO208" s="8">
        <v>0</v>
      </c>
      <c r="BP208" s="8">
        <v>0</v>
      </c>
      <c r="BQ208" s="8">
        <v>1</v>
      </c>
      <c r="BR208" s="8">
        <v>0</v>
      </c>
      <c r="BS208" s="8">
        <f t="shared" si="257"/>
        <v>4</v>
      </c>
      <c r="BT208" s="8"/>
      <c r="BU208" s="2">
        <f t="shared" si="2"/>
        <v>2</v>
      </c>
      <c r="BV208" s="2">
        <f t="shared" si="3"/>
        <v>0</v>
      </c>
      <c r="BW208" s="2">
        <f t="shared" si="4"/>
        <v>0</v>
      </c>
      <c r="BX208" s="2">
        <f t="shared" si="5"/>
        <v>2</v>
      </c>
      <c r="BY208" s="2">
        <f t="shared" si="6"/>
        <v>0</v>
      </c>
      <c r="BZ208" s="2">
        <f t="shared" ref="BZ208:CA208" si="319">SUM(AQ208)</f>
        <v>0</v>
      </c>
      <c r="CA208" s="2">
        <f t="shared" si="319"/>
        <v>0</v>
      </c>
      <c r="CB208" s="2">
        <f t="shared" si="8"/>
        <v>0</v>
      </c>
    </row>
    <row r="209" spans="1:80" ht="16" x14ac:dyDescent="0.2">
      <c r="A209" s="3" t="s">
        <v>122</v>
      </c>
      <c r="B209" s="10">
        <v>276</v>
      </c>
      <c r="C209" s="5">
        <v>1</v>
      </c>
      <c r="D209" s="10">
        <v>1</v>
      </c>
      <c r="E209" s="5">
        <v>0</v>
      </c>
      <c r="F209" s="10">
        <v>2004</v>
      </c>
      <c r="G209" s="10" t="s">
        <v>90</v>
      </c>
      <c r="H209" s="7" t="str">
        <f t="shared" si="0"/>
        <v>No</v>
      </c>
      <c r="I209" s="54" t="s">
        <v>55</v>
      </c>
      <c r="J209" s="8">
        <v>1</v>
      </c>
      <c r="K209" s="8" t="s">
        <v>63</v>
      </c>
      <c r="L209" s="8" t="s">
        <v>64</v>
      </c>
      <c r="M209" s="8" t="s">
        <v>123</v>
      </c>
      <c r="N209" s="8">
        <v>1</v>
      </c>
      <c r="O209" s="8">
        <v>0</v>
      </c>
      <c r="P209" s="8">
        <v>0</v>
      </c>
      <c r="Q209" s="8" t="s">
        <v>58</v>
      </c>
      <c r="R209" s="9">
        <v>0.25</v>
      </c>
      <c r="S209" s="8">
        <v>0</v>
      </c>
      <c r="T209" s="8">
        <v>0</v>
      </c>
      <c r="U209" s="8">
        <v>1</v>
      </c>
      <c r="V209" s="8">
        <v>1</v>
      </c>
      <c r="W209" s="8">
        <v>1</v>
      </c>
      <c r="X209" s="8">
        <v>0</v>
      </c>
      <c r="Y209" s="8">
        <v>0</v>
      </c>
      <c r="Z209" s="8">
        <v>0</v>
      </c>
      <c r="AA209" s="8" t="s">
        <v>124</v>
      </c>
      <c r="AB209" s="8">
        <v>0</v>
      </c>
      <c r="AC209" s="8">
        <v>0</v>
      </c>
      <c r="AD209" s="8">
        <v>0</v>
      </c>
      <c r="AE209" s="8">
        <v>0</v>
      </c>
      <c r="AF209" s="8">
        <v>1</v>
      </c>
      <c r="AG209" s="8">
        <v>0</v>
      </c>
      <c r="AH209" s="8">
        <v>0</v>
      </c>
      <c r="AI209" s="8">
        <v>1</v>
      </c>
      <c r="AJ209" s="8">
        <v>0</v>
      </c>
      <c r="AK209" s="8">
        <v>0</v>
      </c>
      <c r="AL209" s="8">
        <v>0</v>
      </c>
      <c r="AM209" s="8">
        <v>0</v>
      </c>
      <c r="AN209" s="8">
        <v>0</v>
      </c>
      <c r="AO209" s="8">
        <v>0</v>
      </c>
      <c r="AP209" s="8">
        <v>0</v>
      </c>
      <c r="AQ209" s="8">
        <v>0</v>
      </c>
      <c r="AR209" s="8">
        <v>0</v>
      </c>
      <c r="AS209" s="8">
        <v>0</v>
      </c>
      <c r="AT209" s="8">
        <v>0</v>
      </c>
      <c r="AU209" s="8">
        <v>0</v>
      </c>
      <c r="AV209" s="8">
        <v>0</v>
      </c>
      <c r="AW209" s="8">
        <v>0</v>
      </c>
      <c r="AX209" s="8">
        <v>0</v>
      </c>
      <c r="AY209" s="8">
        <v>0</v>
      </c>
      <c r="AZ209" s="8">
        <v>0</v>
      </c>
      <c r="BA209" s="8">
        <v>0</v>
      </c>
      <c r="BB209" s="8">
        <v>0</v>
      </c>
      <c r="BC209" s="8">
        <v>0</v>
      </c>
      <c r="BD209" s="8">
        <v>0</v>
      </c>
      <c r="BE209" s="8">
        <v>0</v>
      </c>
      <c r="BF209" s="8">
        <v>0</v>
      </c>
      <c r="BG209" s="8">
        <v>0</v>
      </c>
      <c r="BH209" s="8">
        <v>0</v>
      </c>
      <c r="BI209" s="8">
        <v>1</v>
      </c>
      <c r="BJ209" s="8">
        <v>0</v>
      </c>
      <c r="BK209" s="8">
        <v>1</v>
      </c>
      <c r="BL209" s="8">
        <v>0</v>
      </c>
      <c r="BM209" s="8">
        <v>0</v>
      </c>
      <c r="BN209" s="8">
        <v>0</v>
      </c>
      <c r="BO209" s="8">
        <v>0</v>
      </c>
      <c r="BP209" s="8">
        <v>0</v>
      </c>
      <c r="BQ209" s="8">
        <v>1</v>
      </c>
      <c r="BR209" s="8">
        <v>0</v>
      </c>
      <c r="BS209" s="8">
        <f t="shared" si="257"/>
        <v>4</v>
      </c>
      <c r="BT209" s="8"/>
      <c r="BU209" s="2">
        <f t="shared" si="2"/>
        <v>2</v>
      </c>
      <c r="BV209" s="2">
        <f t="shared" si="3"/>
        <v>0</v>
      </c>
      <c r="BW209" s="2">
        <f t="shared" si="4"/>
        <v>0</v>
      </c>
      <c r="BX209" s="2">
        <f t="shared" si="5"/>
        <v>2</v>
      </c>
      <c r="BY209" s="2">
        <f t="shared" si="6"/>
        <v>0</v>
      </c>
      <c r="BZ209" s="2">
        <f t="shared" ref="BZ209:CA209" si="320">SUM(AQ209)</f>
        <v>0</v>
      </c>
      <c r="CA209" s="2">
        <f t="shared" si="320"/>
        <v>0</v>
      </c>
      <c r="CB209" s="2">
        <f t="shared" si="8"/>
        <v>0</v>
      </c>
    </row>
    <row r="210" spans="1:80" ht="16" x14ac:dyDescent="0.2">
      <c r="A210" s="3" t="s">
        <v>122</v>
      </c>
      <c r="B210" s="10">
        <v>276</v>
      </c>
      <c r="C210" s="5">
        <v>1</v>
      </c>
      <c r="D210" s="10">
        <v>1</v>
      </c>
      <c r="E210" s="5">
        <v>0</v>
      </c>
      <c r="F210" s="10">
        <v>2004</v>
      </c>
      <c r="G210" s="10" t="s">
        <v>91</v>
      </c>
      <c r="H210" s="7" t="str">
        <f t="shared" si="0"/>
        <v>Yes</v>
      </c>
      <c r="I210" s="54" t="s">
        <v>56</v>
      </c>
      <c r="J210" s="8">
        <v>2</v>
      </c>
      <c r="K210" s="8" t="s">
        <v>59</v>
      </c>
      <c r="L210" s="8" t="s">
        <v>52</v>
      </c>
      <c r="M210" s="8" t="s">
        <v>123</v>
      </c>
      <c r="N210" s="8">
        <v>1</v>
      </c>
      <c r="O210" s="8">
        <v>0</v>
      </c>
      <c r="P210" s="8">
        <v>0</v>
      </c>
      <c r="Q210" s="8" t="s">
        <v>65</v>
      </c>
      <c r="R210" s="9">
        <v>0.25</v>
      </c>
      <c r="S210" s="8">
        <v>1</v>
      </c>
      <c r="T210" s="8">
        <v>0</v>
      </c>
      <c r="U210" s="8">
        <v>1</v>
      </c>
      <c r="V210" s="8">
        <v>1</v>
      </c>
      <c r="W210" s="8">
        <v>1</v>
      </c>
      <c r="X210" s="8">
        <v>0</v>
      </c>
      <c r="Y210" s="8">
        <v>0</v>
      </c>
      <c r="Z210" s="8">
        <v>0</v>
      </c>
      <c r="AA210" s="8" t="s">
        <v>125</v>
      </c>
      <c r="AB210" s="8">
        <v>0</v>
      </c>
      <c r="AC210" s="8">
        <v>0</v>
      </c>
      <c r="AD210" s="8">
        <v>0</v>
      </c>
      <c r="AE210" s="8">
        <v>0</v>
      </c>
      <c r="AF210" s="8">
        <v>1</v>
      </c>
      <c r="AG210" s="8">
        <v>0.5</v>
      </c>
      <c r="AH210" s="8">
        <v>0</v>
      </c>
      <c r="AI210" s="8">
        <v>1</v>
      </c>
      <c r="AJ210" s="8">
        <v>1</v>
      </c>
      <c r="AK210" s="8">
        <v>1</v>
      </c>
      <c r="AL210" s="8">
        <v>1</v>
      </c>
      <c r="AM210" s="8">
        <v>1</v>
      </c>
      <c r="AN210" s="8">
        <v>0</v>
      </c>
      <c r="AO210" s="8">
        <v>0</v>
      </c>
      <c r="AP210" s="8">
        <v>0</v>
      </c>
      <c r="AQ210" s="8">
        <v>0</v>
      </c>
      <c r="AR210" s="8">
        <v>0</v>
      </c>
      <c r="AS210" s="8">
        <v>0</v>
      </c>
      <c r="AT210" s="8">
        <v>0</v>
      </c>
      <c r="AU210" s="8">
        <v>0</v>
      </c>
      <c r="AV210" s="8">
        <v>0</v>
      </c>
      <c r="AW210" s="8">
        <v>0</v>
      </c>
      <c r="AX210" s="8">
        <v>0</v>
      </c>
      <c r="AY210" s="8">
        <v>0</v>
      </c>
      <c r="AZ210" s="8">
        <v>0</v>
      </c>
      <c r="BA210" s="8">
        <v>0</v>
      </c>
      <c r="BB210" s="8">
        <v>0</v>
      </c>
      <c r="BC210" s="8">
        <v>0</v>
      </c>
      <c r="BD210" s="8">
        <v>0</v>
      </c>
      <c r="BE210" s="8">
        <v>0</v>
      </c>
      <c r="BF210" s="8">
        <v>0</v>
      </c>
      <c r="BG210" s="8">
        <v>0</v>
      </c>
      <c r="BH210" s="8">
        <v>0</v>
      </c>
      <c r="BI210" s="8">
        <v>1</v>
      </c>
      <c r="BJ210" s="8">
        <v>0</v>
      </c>
      <c r="BK210" s="8">
        <v>0</v>
      </c>
      <c r="BL210" s="8">
        <v>0</v>
      </c>
      <c r="BM210" s="8">
        <v>0</v>
      </c>
      <c r="BN210" s="8">
        <v>0</v>
      </c>
      <c r="BO210" s="8">
        <v>0</v>
      </c>
      <c r="BP210" s="8">
        <v>0</v>
      </c>
      <c r="BQ210" s="8">
        <v>1</v>
      </c>
      <c r="BR210" s="8">
        <v>0</v>
      </c>
      <c r="BS210" s="8">
        <f t="shared" si="257"/>
        <v>7</v>
      </c>
      <c r="BT210" s="8"/>
      <c r="BU210" s="2">
        <f t="shared" si="2"/>
        <v>1</v>
      </c>
      <c r="BV210" s="2">
        <f t="shared" si="3"/>
        <v>4</v>
      </c>
      <c r="BW210" s="2">
        <f t="shared" si="4"/>
        <v>0</v>
      </c>
      <c r="BX210" s="2">
        <f t="shared" si="5"/>
        <v>2</v>
      </c>
      <c r="BY210" s="2">
        <f t="shared" si="6"/>
        <v>0</v>
      </c>
      <c r="BZ210" s="2">
        <f t="shared" ref="BZ210:CA210" si="321">SUM(AQ210)</f>
        <v>0</v>
      </c>
      <c r="CA210" s="2">
        <f t="shared" si="321"/>
        <v>0</v>
      </c>
      <c r="CB210" s="2">
        <f t="shared" si="8"/>
        <v>0</v>
      </c>
    </row>
    <row r="211" spans="1:80" ht="16" x14ac:dyDescent="0.2">
      <c r="A211" s="3" t="s">
        <v>122</v>
      </c>
      <c r="B211" s="10">
        <v>276</v>
      </c>
      <c r="C211" s="5">
        <v>1</v>
      </c>
      <c r="D211" s="10">
        <v>1</v>
      </c>
      <c r="E211" s="5">
        <v>0</v>
      </c>
      <c r="F211" s="10">
        <v>2004</v>
      </c>
      <c r="G211" s="10" t="s">
        <v>93</v>
      </c>
      <c r="H211" s="7" t="str">
        <f t="shared" si="0"/>
        <v>No</v>
      </c>
      <c r="I211" s="54" t="s">
        <v>55</v>
      </c>
      <c r="J211" s="8">
        <v>2</v>
      </c>
      <c r="K211" s="8" t="s">
        <v>59</v>
      </c>
      <c r="L211" s="8" t="s">
        <v>52</v>
      </c>
      <c r="M211" s="8" t="s">
        <v>123</v>
      </c>
      <c r="N211" s="8">
        <v>1</v>
      </c>
      <c r="O211" s="8">
        <v>0</v>
      </c>
      <c r="P211" s="8">
        <v>0</v>
      </c>
      <c r="Q211" s="8" t="s">
        <v>65</v>
      </c>
      <c r="R211" s="9">
        <v>0.25</v>
      </c>
      <c r="S211" s="8">
        <v>1</v>
      </c>
      <c r="T211" s="8">
        <v>0</v>
      </c>
      <c r="U211" s="8">
        <v>1</v>
      </c>
      <c r="V211" s="8">
        <v>1</v>
      </c>
      <c r="W211" s="8">
        <v>1</v>
      </c>
      <c r="X211" s="8">
        <v>0</v>
      </c>
      <c r="Y211" s="8">
        <v>0</v>
      </c>
      <c r="Z211" s="8">
        <v>0</v>
      </c>
      <c r="AA211" s="8" t="s">
        <v>125</v>
      </c>
      <c r="AB211" s="8">
        <v>0</v>
      </c>
      <c r="AC211" s="8">
        <v>0</v>
      </c>
      <c r="AD211" s="8">
        <v>0</v>
      </c>
      <c r="AE211" s="8">
        <v>0</v>
      </c>
      <c r="AF211" s="8">
        <v>1</v>
      </c>
      <c r="AG211" s="8">
        <v>0.5</v>
      </c>
      <c r="AH211" s="8">
        <v>0</v>
      </c>
      <c r="AI211" s="8">
        <v>1</v>
      </c>
      <c r="AJ211" s="8">
        <v>1</v>
      </c>
      <c r="AK211" s="8">
        <v>1</v>
      </c>
      <c r="AL211" s="8">
        <v>1</v>
      </c>
      <c r="AM211" s="8">
        <v>1</v>
      </c>
      <c r="AN211" s="8">
        <v>0</v>
      </c>
      <c r="AO211" s="8">
        <v>0</v>
      </c>
      <c r="AP211" s="8">
        <v>0</v>
      </c>
      <c r="AQ211" s="8">
        <v>0</v>
      </c>
      <c r="AR211" s="8">
        <v>0</v>
      </c>
      <c r="AS211" s="8">
        <v>0</v>
      </c>
      <c r="AT211" s="8">
        <v>0</v>
      </c>
      <c r="AU211" s="8">
        <v>0</v>
      </c>
      <c r="AV211" s="8">
        <v>0</v>
      </c>
      <c r="AW211" s="8">
        <v>0</v>
      </c>
      <c r="AX211" s="8">
        <v>0</v>
      </c>
      <c r="AY211" s="8">
        <v>0</v>
      </c>
      <c r="AZ211" s="8">
        <v>0</v>
      </c>
      <c r="BA211" s="8">
        <v>0</v>
      </c>
      <c r="BB211" s="8">
        <v>0</v>
      </c>
      <c r="BC211" s="8">
        <v>0</v>
      </c>
      <c r="BD211" s="8">
        <v>0</v>
      </c>
      <c r="BE211" s="8">
        <v>0</v>
      </c>
      <c r="BF211" s="8">
        <v>0</v>
      </c>
      <c r="BG211" s="8">
        <v>0</v>
      </c>
      <c r="BH211" s="8">
        <v>0</v>
      </c>
      <c r="BI211" s="8">
        <v>1</v>
      </c>
      <c r="BJ211" s="8">
        <v>0</v>
      </c>
      <c r="BK211" s="8">
        <v>0</v>
      </c>
      <c r="BL211" s="8">
        <v>0</v>
      </c>
      <c r="BM211" s="8">
        <v>0</v>
      </c>
      <c r="BN211" s="8">
        <v>0</v>
      </c>
      <c r="BO211" s="8">
        <v>0</v>
      </c>
      <c r="BP211" s="8">
        <v>0</v>
      </c>
      <c r="BQ211" s="8">
        <v>1</v>
      </c>
      <c r="BR211" s="8">
        <v>0</v>
      </c>
      <c r="BS211" s="8">
        <f t="shared" si="257"/>
        <v>7</v>
      </c>
      <c r="BT211" s="8"/>
      <c r="BU211" s="2">
        <f t="shared" si="2"/>
        <v>1</v>
      </c>
      <c r="BV211" s="2">
        <f t="shared" si="3"/>
        <v>4</v>
      </c>
      <c r="BW211" s="2">
        <f t="shared" si="4"/>
        <v>0</v>
      </c>
      <c r="BX211" s="2">
        <f t="shared" si="5"/>
        <v>2</v>
      </c>
      <c r="BY211" s="2">
        <f t="shared" si="6"/>
        <v>0</v>
      </c>
      <c r="BZ211" s="2">
        <f t="shared" ref="BZ211:CA211" si="322">SUM(AQ211)</f>
        <v>0</v>
      </c>
      <c r="CA211" s="2">
        <f t="shared" si="322"/>
        <v>0</v>
      </c>
      <c r="CB211" s="2">
        <f t="shared" si="8"/>
        <v>0</v>
      </c>
    </row>
    <row r="212" spans="1:80" ht="16" x14ac:dyDescent="0.2">
      <c r="A212" s="3" t="s">
        <v>122</v>
      </c>
      <c r="B212" s="10">
        <v>276</v>
      </c>
      <c r="C212" s="5">
        <v>1</v>
      </c>
      <c r="D212" s="10">
        <v>1</v>
      </c>
      <c r="E212" s="5">
        <v>0</v>
      </c>
      <c r="F212" s="10">
        <v>2004</v>
      </c>
      <c r="G212" s="10" t="s">
        <v>70</v>
      </c>
      <c r="H212" s="7" t="str">
        <f t="shared" si="0"/>
        <v>No</v>
      </c>
      <c r="I212" s="54" t="s">
        <v>55</v>
      </c>
      <c r="J212" s="8">
        <v>2</v>
      </c>
      <c r="K212" s="8" t="s">
        <v>59</v>
      </c>
      <c r="L212" s="8" t="s">
        <v>52</v>
      </c>
      <c r="M212" s="8" t="s">
        <v>123</v>
      </c>
      <c r="N212" s="8">
        <v>1</v>
      </c>
      <c r="O212" s="8">
        <v>0</v>
      </c>
      <c r="P212" s="8">
        <v>0</v>
      </c>
      <c r="Q212" s="8" t="s">
        <v>65</v>
      </c>
      <c r="R212" s="9">
        <v>0.25</v>
      </c>
      <c r="S212" s="8">
        <v>1</v>
      </c>
      <c r="T212" s="8">
        <v>0</v>
      </c>
      <c r="U212" s="8">
        <v>1</v>
      </c>
      <c r="V212" s="8">
        <v>1</v>
      </c>
      <c r="W212" s="8">
        <v>1</v>
      </c>
      <c r="X212" s="8">
        <v>0</v>
      </c>
      <c r="Y212" s="8">
        <v>0</v>
      </c>
      <c r="Z212" s="8">
        <v>0</v>
      </c>
      <c r="AA212" s="8" t="s">
        <v>125</v>
      </c>
      <c r="AB212" s="8">
        <v>0</v>
      </c>
      <c r="AC212" s="8">
        <v>0</v>
      </c>
      <c r="AD212" s="8">
        <v>0</v>
      </c>
      <c r="AE212" s="8">
        <v>0</v>
      </c>
      <c r="AF212" s="8">
        <v>1</v>
      </c>
      <c r="AG212" s="8">
        <v>0.5</v>
      </c>
      <c r="AH212" s="8">
        <v>0</v>
      </c>
      <c r="AI212" s="8">
        <v>1</v>
      </c>
      <c r="AJ212" s="8">
        <v>1</v>
      </c>
      <c r="AK212" s="8">
        <v>1</v>
      </c>
      <c r="AL212" s="8">
        <v>1</v>
      </c>
      <c r="AM212" s="8">
        <v>1</v>
      </c>
      <c r="AN212" s="8">
        <v>0</v>
      </c>
      <c r="AO212" s="8">
        <v>0</v>
      </c>
      <c r="AP212" s="8">
        <v>0</v>
      </c>
      <c r="AQ212" s="8">
        <v>0</v>
      </c>
      <c r="AR212" s="8">
        <v>0</v>
      </c>
      <c r="AS212" s="8">
        <v>0</v>
      </c>
      <c r="AT212" s="8">
        <v>0</v>
      </c>
      <c r="AU212" s="8">
        <v>0</v>
      </c>
      <c r="AV212" s="8">
        <v>0</v>
      </c>
      <c r="AW212" s="8">
        <v>0</v>
      </c>
      <c r="AX212" s="8">
        <v>0</v>
      </c>
      <c r="AY212" s="8">
        <v>0</v>
      </c>
      <c r="AZ212" s="8">
        <v>0</v>
      </c>
      <c r="BA212" s="8">
        <v>0</v>
      </c>
      <c r="BB212" s="8">
        <v>0</v>
      </c>
      <c r="BC212" s="8">
        <v>0</v>
      </c>
      <c r="BD212" s="8">
        <v>0</v>
      </c>
      <c r="BE212" s="8">
        <v>0</v>
      </c>
      <c r="BF212" s="8">
        <v>0</v>
      </c>
      <c r="BG212" s="8">
        <v>0</v>
      </c>
      <c r="BH212" s="8">
        <v>0</v>
      </c>
      <c r="BI212" s="8">
        <v>1</v>
      </c>
      <c r="BJ212" s="8">
        <v>0</v>
      </c>
      <c r="BK212" s="8">
        <v>0</v>
      </c>
      <c r="BL212" s="8">
        <v>0</v>
      </c>
      <c r="BM212" s="8">
        <v>0</v>
      </c>
      <c r="BN212" s="8">
        <v>0</v>
      </c>
      <c r="BO212" s="8">
        <v>0</v>
      </c>
      <c r="BP212" s="8">
        <v>0</v>
      </c>
      <c r="BQ212" s="8">
        <v>1</v>
      </c>
      <c r="BR212" s="8">
        <v>0</v>
      </c>
      <c r="BS212" s="8">
        <f t="shared" si="257"/>
        <v>7</v>
      </c>
      <c r="BT212" s="8"/>
      <c r="BU212" s="2">
        <f t="shared" si="2"/>
        <v>1</v>
      </c>
      <c r="BV212" s="2">
        <f t="shared" si="3"/>
        <v>4</v>
      </c>
      <c r="BW212" s="2">
        <f t="shared" si="4"/>
        <v>0</v>
      </c>
      <c r="BX212" s="2">
        <f t="shared" si="5"/>
        <v>2</v>
      </c>
      <c r="BY212" s="2">
        <f t="shared" si="6"/>
        <v>0</v>
      </c>
      <c r="BZ212" s="2">
        <f t="shared" ref="BZ212:CA212" si="323">SUM(AQ212)</f>
        <v>0</v>
      </c>
      <c r="CA212" s="2">
        <f t="shared" si="323"/>
        <v>0</v>
      </c>
      <c r="CB212" s="2">
        <f t="shared" si="8"/>
        <v>0</v>
      </c>
    </row>
    <row r="213" spans="1:80" ht="16" x14ac:dyDescent="0.2">
      <c r="A213" s="3" t="s">
        <v>122</v>
      </c>
      <c r="B213" s="10">
        <v>276</v>
      </c>
      <c r="C213" s="5">
        <v>1</v>
      </c>
      <c r="D213" s="10">
        <v>1</v>
      </c>
      <c r="E213" s="5">
        <v>0</v>
      </c>
      <c r="F213" s="10">
        <v>2004</v>
      </c>
      <c r="G213" s="10" t="s">
        <v>71</v>
      </c>
      <c r="H213" s="7" t="str">
        <f t="shared" si="0"/>
        <v>No</v>
      </c>
      <c r="I213" s="54" t="s">
        <v>55</v>
      </c>
      <c r="J213" s="8">
        <v>2</v>
      </c>
      <c r="K213" s="8" t="s">
        <v>59</v>
      </c>
      <c r="L213" s="8" t="s">
        <v>52</v>
      </c>
      <c r="M213" s="8" t="s">
        <v>123</v>
      </c>
      <c r="N213" s="8">
        <v>1</v>
      </c>
      <c r="O213" s="8">
        <v>0</v>
      </c>
      <c r="P213" s="8">
        <v>0</v>
      </c>
      <c r="Q213" s="8" t="s">
        <v>65</v>
      </c>
      <c r="R213" s="9">
        <v>0.25</v>
      </c>
      <c r="S213" s="8">
        <v>1</v>
      </c>
      <c r="T213" s="8">
        <v>0</v>
      </c>
      <c r="U213" s="8">
        <v>1</v>
      </c>
      <c r="V213" s="8">
        <v>1</v>
      </c>
      <c r="W213" s="8">
        <v>1</v>
      </c>
      <c r="X213" s="8">
        <v>0</v>
      </c>
      <c r="Y213" s="8">
        <v>0</v>
      </c>
      <c r="Z213" s="8">
        <v>0</v>
      </c>
      <c r="AA213" s="8" t="s">
        <v>125</v>
      </c>
      <c r="AB213" s="8">
        <v>0</v>
      </c>
      <c r="AC213" s="8">
        <v>0</v>
      </c>
      <c r="AD213" s="8">
        <v>0</v>
      </c>
      <c r="AE213" s="8">
        <v>0</v>
      </c>
      <c r="AF213" s="8">
        <v>1</v>
      </c>
      <c r="AG213" s="8">
        <v>0.5</v>
      </c>
      <c r="AH213" s="8">
        <v>0</v>
      </c>
      <c r="AI213" s="8">
        <v>1</v>
      </c>
      <c r="AJ213" s="8">
        <v>1</v>
      </c>
      <c r="AK213" s="8">
        <v>1</v>
      </c>
      <c r="AL213" s="8">
        <v>1</v>
      </c>
      <c r="AM213" s="8">
        <v>1</v>
      </c>
      <c r="AN213" s="8">
        <v>0</v>
      </c>
      <c r="AO213" s="8">
        <v>0</v>
      </c>
      <c r="AP213" s="8">
        <v>0</v>
      </c>
      <c r="AQ213" s="8">
        <v>0</v>
      </c>
      <c r="AR213" s="8">
        <v>0</v>
      </c>
      <c r="AS213" s="8">
        <v>0</v>
      </c>
      <c r="AT213" s="8">
        <v>0</v>
      </c>
      <c r="AU213" s="8">
        <v>0</v>
      </c>
      <c r="AV213" s="8">
        <v>0</v>
      </c>
      <c r="AW213" s="8">
        <v>0</v>
      </c>
      <c r="AX213" s="8">
        <v>0</v>
      </c>
      <c r="AY213" s="8">
        <v>0</v>
      </c>
      <c r="AZ213" s="8">
        <v>0</v>
      </c>
      <c r="BA213" s="8">
        <v>0</v>
      </c>
      <c r="BB213" s="8">
        <v>0</v>
      </c>
      <c r="BC213" s="8">
        <v>0</v>
      </c>
      <c r="BD213" s="8">
        <v>0</v>
      </c>
      <c r="BE213" s="8">
        <v>0</v>
      </c>
      <c r="BF213" s="8">
        <v>0</v>
      </c>
      <c r="BG213" s="8">
        <v>0</v>
      </c>
      <c r="BH213" s="8">
        <v>0</v>
      </c>
      <c r="BI213" s="8">
        <v>1</v>
      </c>
      <c r="BJ213" s="8">
        <v>0</v>
      </c>
      <c r="BK213" s="8">
        <v>0</v>
      </c>
      <c r="BL213" s="8">
        <v>0</v>
      </c>
      <c r="BM213" s="8">
        <v>0</v>
      </c>
      <c r="BN213" s="8">
        <v>0</v>
      </c>
      <c r="BO213" s="8">
        <v>0</v>
      </c>
      <c r="BP213" s="8">
        <v>0</v>
      </c>
      <c r="BQ213" s="8">
        <v>1</v>
      </c>
      <c r="BR213" s="8">
        <v>0</v>
      </c>
      <c r="BS213" s="8">
        <f t="shared" si="257"/>
        <v>7</v>
      </c>
      <c r="BT213" s="8"/>
      <c r="BU213" s="2">
        <f t="shared" si="2"/>
        <v>1</v>
      </c>
      <c r="BV213" s="2">
        <f t="shared" si="3"/>
        <v>4</v>
      </c>
      <c r="BW213" s="2">
        <f t="shared" si="4"/>
        <v>0</v>
      </c>
      <c r="BX213" s="2">
        <f t="shared" si="5"/>
        <v>2</v>
      </c>
      <c r="BY213" s="2">
        <f t="shared" si="6"/>
        <v>0</v>
      </c>
      <c r="BZ213" s="2">
        <f t="shared" ref="BZ213:CA213" si="324">SUM(AQ213)</f>
        <v>0</v>
      </c>
      <c r="CA213" s="2">
        <f t="shared" si="324"/>
        <v>0</v>
      </c>
      <c r="CB213" s="2">
        <f t="shared" si="8"/>
        <v>0</v>
      </c>
    </row>
    <row r="214" spans="1:80" ht="16" x14ac:dyDescent="0.2">
      <c r="A214" s="3" t="s">
        <v>122</v>
      </c>
      <c r="B214" s="10">
        <v>276</v>
      </c>
      <c r="C214" s="5">
        <v>1</v>
      </c>
      <c r="D214" s="10">
        <v>1</v>
      </c>
      <c r="E214" s="5">
        <v>0</v>
      </c>
      <c r="F214" s="10">
        <v>2004</v>
      </c>
      <c r="G214" s="10" t="s">
        <v>72</v>
      </c>
      <c r="H214" s="7" t="str">
        <f t="shared" si="0"/>
        <v>Yes</v>
      </c>
      <c r="I214" s="54" t="s">
        <v>56</v>
      </c>
      <c r="J214" s="8">
        <v>2</v>
      </c>
      <c r="K214" s="8" t="s">
        <v>59</v>
      </c>
      <c r="L214" s="8" t="s">
        <v>52</v>
      </c>
      <c r="M214" s="8" t="s">
        <v>123</v>
      </c>
      <c r="N214" s="8">
        <v>1</v>
      </c>
      <c r="O214" s="8">
        <v>0</v>
      </c>
      <c r="P214" s="8">
        <v>0</v>
      </c>
      <c r="Q214" s="8" t="s">
        <v>101</v>
      </c>
      <c r="R214" s="9">
        <v>0.1</v>
      </c>
      <c r="S214" s="8">
        <v>1</v>
      </c>
      <c r="T214" s="8">
        <v>0</v>
      </c>
      <c r="U214" s="8">
        <v>1</v>
      </c>
      <c r="V214" s="8">
        <v>1</v>
      </c>
      <c r="W214" s="8">
        <v>1</v>
      </c>
      <c r="X214" s="8">
        <v>0</v>
      </c>
      <c r="Y214" s="8">
        <v>0</v>
      </c>
      <c r="Z214" s="8">
        <v>0</v>
      </c>
      <c r="AA214" s="8" t="s">
        <v>124</v>
      </c>
      <c r="AB214" s="8">
        <v>0</v>
      </c>
      <c r="AC214" s="8">
        <v>0</v>
      </c>
      <c r="AD214" s="8">
        <v>0</v>
      </c>
      <c r="AE214" s="8">
        <v>0</v>
      </c>
      <c r="AF214" s="8">
        <v>1</v>
      </c>
      <c r="AG214" s="8">
        <v>0.5</v>
      </c>
      <c r="AH214" s="8">
        <v>0</v>
      </c>
      <c r="AI214" s="8">
        <v>1</v>
      </c>
      <c r="AJ214" s="8">
        <v>1</v>
      </c>
      <c r="AK214" s="8">
        <v>1</v>
      </c>
      <c r="AL214" s="8">
        <v>1</v>
      </c>
      <c r="AM214" s="8">
        <v>1</v>
      </c>
      <c r="AN214" s="8">
        <v>1</v>
      </c>
      <c r="AO214" s="8">
        <v>0</v>
      </c>
      <c r="AP214" s="8">
        <v>1</v>
      </c>
      <c r="AQ214" s="8">
        <v>1</v>
      </c>
      <c r="AR214" s="8">
        <v>1</v>
      </c>
      <c r="AS214" s="8">
        <v>0</v>
      </c>
      <c r="AT214" s="8">
        <v>0</v>
      </c>
      <c r="AU214" s="8">
        <v>0</v>
      </c>
      <c r="AV214" s="8">
        <v>0</v>
      </c>
      <c r="AW214" s="8">
        <v>0</v>
      </c>
      <c r="AX214" s="8">
        <v>0</v>
      </c>
      <c r="AY214" s="8">
        <v>0</v>
      </c>
      <c r="AZ214" s="8">
        <v>0</v>
      </c>
      <c r="BA214" s="8">
        <v>0</v>
      </c>
      <c r="BB214" s="8">
        <v>0</v>
      </c>
      <c r="BC214" s="8">
        <v>0</v>
      </c>
      <c r="BD214" s="8">
        <v>0</v>
      </c>
      <c r="BE214" s="8">
        <v>0</v>
      </c>
      <c r="BF214" s="8">
        <v>0</v>
      </c>
      <c r="BG214" s="8">
        <v>0</v>
      </c>
      <c r="BH214" s="8">
        <v>0</v>
      </c>
      <c r="BI214" s="8">
        <v>1</v>
      </c>
      <c r="BJ214" s="8">
        <v>0</v>
      </c>
      <c r="BK214" s="8">
        <v>1</v>
      </c>
      <c r="BL214" s="8">
        <v>1</v>
      </c>
      <c r="BM214" s="8">
        <v>0</v>
      </c>
      <c r="BN214" s="8">
        <v>0</v>
      </c>
      <c r="BO214" s="8">
        <v>0</v>
      </c>
      <c r="BP214" s="8">
        <v>0</v>
      </c>
      <c r="BQ214" s="8">
        <v>1</v>
      </c>
      <c r="BR214" s="8">
        <v>0</v>
      </c>
      <c r="BS214" s="8">
        <f t="shared" si="257"/>
        <v>13</v>
      </c>
      <c r="BT214" s="8"/>
      <c r="BU214" s="2">
        <f t="shared" si="2"/>
        <v>2</v>
      </c>
      <c r="BV214" s="2">
        <f t="shared" si="3"/>
        <v>6</v>
      </c>
      <c r="BW214" s="2">
        <f t="shared" si="4"/>
        <v>1</v>
      </c>
      <c r="BX214" s="2">
        <f t="shared" si="5"/>
        <v>2</v>
      </c>
      <c r="BY214" s="2">
        <f t="shared" si="6"/>
        <v>0</v>
      </c>
      <c r="BZ214" s="2">
        <f t="shared" ref="BZ214:CA214" si="325">SUM(AQ214)</f>
        <v>1</v>
      </c>
      <c r="CA214" s="2">
        <f t="shared" si="325"/>
        <v>1</v>
      </c>
      <c r="CB214" s="2">
        <f t="shared" si="8"/>
        <v>0</v>
      </c>
    </row>
    <row r="215" spans="1:80" ht="16" x14ac:dyDescent="0.2">
      <c r="A215" s="3" t="s">
        <v>122</v>
      </c>
      <c r="B215" s="10">
        <v>276</v>
      </c>
      <c r="C215" s="5">
        <v>1</v>
      </c>
      <c r="D215" s="10">
        <v>1</v>
      </c>
      <c r="E215" s="5">
        <v>0</v>
      </c>
      <c r="F215" s="10">
        <v>2004</v>
      </c>
      <c r="G215" s="10" t="s">
        <v>73</v>
      </c>
      <c r="H215" s="7" t="str">
        <f t="shared" si="0"/>
        <v>No</v>
      </c>
      <c r="I215" s="54" t="s">
        <v>55</v>
      </c>
      <c r="J215" s="8">
        <v>2</v>
      </c>
      <c r="K215" s="8" t="s">
        <v>59</v>
      </c>
      <c r="L215" s="8" t="s">
        <v>52</v>
      </c>
      <c r="M215" s="8" t="s">
        <v>123</v>
      </c>
      <c r="N215" s="8">
        <v>1</v>
      </c>
      <c r="O215" s="8">
        <v>0</v>
      </c>
      <c r="P215" s="8">
        <v>0</v>
      </c>
      <c r="Q215" s="8" t="s">
        <v>101</v>
      </c>
      <c r="R215" s="9">
        <v>0.1</v>
      </c>
      <c r="S215" s="8">
        <v>1</v>
      </c>
      <c r="T215" s="8">
        <v>0</v>
      </c>
      <c r="U215" s="8">
        <v>1</v>
      </c>
      <c r="V215" s="8">
        <v>1</v>
      </c>
      <c r="W215" s="8">
        <v>1</v>
      </c>
      <c r="X215" s="8">
        <v>0</v>
      </c>
      <c r="Y215" s="8">
        <v>0</v>
      </c>
      <c r="Z215" s="8">
        <v>0</v>
      </c>
      <c r="AA215" s="8" t="s">
        <v>124</v>
      </c>
      <c r="AB215" s="8">
        <v>0</v>
      </c>
      <c r="AC215" s="8">
        <v>0</v>
      </c>
      <c r="AD215" s="8">
        <v>0</v>
      </c>
      <c r="AE215" s="8">
        <v>0</v>
      </c>
      <c r="AF215" s="8">
        <v>1</v>
      </c>
      <c r="AG215" s="8">
        <v>0.5</v>
      </c>
      <c r="AH215" s="8">
        <v>0</v>
      </c>
      <c r="AI215" s="8">
        <v>1</v>
      </c>
      <c r="AJ215" s="8">
        <v>1</v>
      </c>
      <c r="AK215" s="8">
        <v>1</v>
      </c>
      <c r="AL215" s="8">
        <v>1</v>
      </c>
      <c r="AM215" s="8">
        <v>1</v>
      </c>
      <c r="AN215" s="8">
        <v>1</v>
      </c>
      <c r="AO215" s="8">
        <v>0</v>
      </c>
      <c r="AP215" s="8">
        <v>1</v>
      </c>
      <c r="AQ215" s="8">
        <v>1</v>
      </c>
      <c r="AR215" s="8">
        <v>1</v>
      </c>
      <c r="AS215" s="8">
        <v>0</v>
      </c>
      <c r="AT215" s="8">
        <v>0</v>
      </c>
      <c r="AU215" s="8">
        <v>0</v>
      </c>
      <c r="AV215" s="8">
        <v>0</v>
      </c>
      <c r="AW215" s="8">
        <v>0</v>
      </c>
      <c r="AX215" s="8">
        <v>0</v>
      </c>
      <c r="AY215" s="8">
        <v>0</v>
      </c>
      <c r="AZ215" s="8">
        <v>0</v>
      </c>
      <c r="BA215" s="8">
        <v>0</v>
      </c>
      <c r="BB215" s="8">
        <v>0</v>
      </c>
      <c r="BC215" s="8">
        <v>0</v>
      </c>
      <c r="BD215" s="8">
        <v>0</v>
      </c>
      <c r="BE215" s="8">
        <v>0</v>
      </c>
      <c r="BF215" s="8">
        <v>0</v>
      </c>
      <c r="BG215" s="8">
        <v>0</v>
      </c>
      <c r="BH215" s="8">
        <v>0</v>
      </c>
      <c r="BI215" s="8">
        <v>1</v>
      </c>
      <c r="BJ215" s="8">
        <v>0</v>
      </c>
      <c r="BK215" s="8">
        <v>1</v>
      </c>
      <c r="BL215" s="8">
        <v>1</v>
      </c>
      <c r="BM215" s="8">
        <v>0</v>
      </c>
      <c r="BN215" s="8">
        <v>0</v>
      </c>
      <c r="BO215" s="8">
        <v>0</v>
      </c>
      <c r="BP215" s="8">
        <v>0</v>
      </c>
      <c r="BQ215" s="8">
        <v>1</v>
      </c>
      <c r="BR215" s="8">
        <v>0</v>
      </c>
      <c r="BS215" s="8">
        <f t="shared" si="257"/>
        <v>13</v>
      </c>
      <c r="BT215" s="8"/>
      <c r="BU215" s="2">
        <f t="shared" si="2"/>
        <v>2</v>
      </c>
      <c r="BV215" s="2">
        <f t="shared" si="3"/>
        <v>6</v>
      </c>
      <c r="BW215" s="2">
        <f t="shared" si="4"/>
        <v>1</v>
      </c>
      <c r="BX215" s="2">
        <f t="shared" si="5"/>
        <v>2</v>
      </c>
      <c r="BY215" s="2">
        <f t="shared" si="6"/>
        <v>0</v>
      </c>
      <c r="BZ215" s="2">
        <f t="shared" ref="BZ215:CA215" si="326">SUM(AQ215)</f>
        <v>1</v>
      </c>
      <c r="CA215" s="2">
        <f t="shared" si="326"/>
        <v>1</v>
      </c>
      <c r="CB215" s="2">
        <f t="shared" si="8"/>
        <v>0</v>
      </c>
    </row>
    <row r="216" spans="1:80" ht="16" x14ac:dyDescent="0.2">
      <c r="A216" s="3" t="s">
        <v>122</v>
      </c>
      <c r="B216" s="10">
        <v>276</v>
      </c>
      <c r="C216" s="5">
        <v>1</v>
      </c>
      <c r="D216" s="10">
        <v>1</v>
      </c>
      <c r="E216" s="5">
        <v>0</v>
      </c>
      <c r="F216" s="10">
        <v>2004</v>
      </c>
      <c r="G216" s="10" t="s">
        <v>74</v>
      </c>
      <c r="H216" s="7" t="str">
        <f t="shared" si="0"/>
        <v>No</v>
      </c>
      <c r="I216" s="54" t="s">
        <v>55</v>
      </c>
      <c r="J216" s="8">
        <v>2</v>
      </c>
      <c r="K216" s="8" t="s">
        <v>59</v>
      </c>
      <c r="L216" s="8" t="s">
        <v>52</v>
      </c>
      <c r="M216" s="8" t="s">
        <v>123</v>
      </c>
      <c r="N216" s="8">
        <v>1</v>
      </c>
      <c r="O216" s="8">
        <v>0</v>
      </c>
      <c r="P216" s="8">
        <v>0</v>
      </c>
      <c r="Q216" s="8" t="s">
        <v>101</v>
      </c>
      <c r="R216" s="9">
        <v>0.1</v>
      </c>
      <c r="S216" s="8">
        <v>1</v>
      </c>
      <c r="T216" s="8">
        <v>0</v>
      </c>
      <c r="U216" s="8">
        <v>1</v>
      </c>
      <c r="V216" s="8">
        <v>1</v>
      </c>
      <c r="W216" s="8">
        <v>1</v>
      </c>
      <c r="X216" s="8">
        <v>0</v>
      </c>
      <c r="Y216" s="8">
        <v>0</v>
      </c>
      <c r="Z216" s="8">
        <v>0</v>
      </c>
      <c r="AA216" s="8" t="s">
        <v>124</v>
      </c>
      <c r="AB216" s="8">
        <v>0</v>
      </c>
      <c r="AC216" s="8">
        <v>0</v>
      </c>
      <c r="AD216" s="8">
        <v>0</v>
      </c>
      <c r="AE216" s="8">
        <v>0</v>
      </c>
      <c r="AF216" s="8">
        <v>1</v>
      </c>
      <c r="AG216" s="8">
        <v>0.5</v>
      </c>
      <c r="AH216" s="8">
        <v>0</v>
      </c>
      <c r="AI216" s="8">
        <v>1</v>
      </c>
      <c r="AJ216" s="8">
        <v>1</v>
      </c>
      <c r="AK216" s="8">
        <v>1</v>
      </c>
      <c r="AL216" s="8">
        <v>1</v>
      </c>
      <c r="AM216" s="8">
        <v>1</v>
      </c>
      <c r="AN216" s="8">
        <v>1</v>
      </c>
      <c r="AO216" s="8">
        <v>0</v>
      </c>
      <c r="AP216" s="8">
        <v>1</v>
      </c>
      <c r="AQ216" s="8">
        <v>1</v>
      </c>
      <c r="AR216" s="8">
        <v>1</v>
      </c>
      <c r="AS216" s="8">
        <v>0</v>
      </c>
      <c r="AT216" s="8">
        <v>0</v>
      </c>
      <c r="AU216" s="8">
        <v>0</v>
      </c>
      <c r="AV216" s="8">
        <v>0</v>
      </c>
      <c r="AW216" s="8">
        <v>0</v>
      </c>
      <c r="AX216" s="8">
        <v>0</v>
      </c>
      <c r="AY216" s="8">
        <v>0</v>
      </c>
      <c r="AZ216" s="8">
        <v>0</v>
      </c>
      <c r="BA216" s="8">
        <v>0</v>
      </c>
      <c r="BB216" s="8">
        <v>0</v>
      </c>
      <c r="BC216" s="8">
        <v>0</v>
      </c>
      <c r="BD216" s="8">
        <v>0</v>
      </c>
      <c r="BE216" s="8">
        <v>0</v>
      </c>
      <c r="BF216" s="8">
        <v>0</v>
      </c>
      <c r="BG216" s="8">
        <v>0</v>
      </c>
      <c r="BH216" s="8">
        <v>0</v>
      </c>
      <c r="BI216" s="8">
        <v>1</v>
      </c>
      <c r="BJ216" s="8">
        <v>0</v>
      </c>
      <c r="BK216" s="8">
        <v>1</v>
      </c>
      <c r="BL216" s="8">
        <v>1</v>
      </c>
      <c r="BM216" s="8">
        <v>0</v>
      </c>
      <c r="BN216" s="8">
        <v>0</v>
      </c>
      <c r="BO216" s="8">
        <v>0</v>
      </c>
      <c r="BP216" s="8">
        <v>0</v>
      </c>
      <c r="BQ216" s="8">
        <v>1</v>
      </c>
      <c r="BR216" s="8">
        <v>0</v>
      </c>
      <c r="BS216" s="8">
        <f t="shared" si="257"/>
        <v>13</v>
      </c>
      <c r="BT216" s="8"/>
      <c r="BU216" s="2">
        <f t="shared" si="2"/>
        <v>2</v>
      </c>
      <c r="BV216" s="2">
        <f t="shared" si="3"/>
        <v>6</v>
      </c>
      <c r="BW216" s="2">
        <f t="shared" si="4"/>
        <v>1</v>
      </c>
      <c r="BX216" s="2">
        <f t="shared" si="5"/>
        <v>2</v>
      </c>
      <c r="BY216" s="2">
        <f t="shared" si="6"/>
        <v>0</v>
      </c>
      <c r="BZ216" s="2">
        <f t="shared" ref="BZ216:CA216" si="327">SUM(AQ216)</f>
        <v>1</v>
      </c>
      <c r="CA216" s="2">
        <f t="shared" si="327"/>
        <v>1</v>
      </c>
      <c r="CB216" s="2">
        <f t="shared" si="8"/>
        <v>0</v>
      </c>
    </row>
    <row r="217" spans="1:80" ht="15" customHeight="1" x14ac:dyDescent="0.2">
      <c r="A217" s="3" t="s">
        <v>122</v>
      </c>
      <c r="B217" s="10">
        <v>276</v>
      </c>
      <c r="C217" s="5">
        <v>1</v>
      </c>
      <c r="D217" s="10">
        <v>1</v>
      </c>
      <c r="E217" s="5">
        <v>0</v>
      </c>
      <c r="F217" s="10">
        <v>2004</v>
      </c>
      <c r="G217" s="10" t="s">
        <v>75</v>
      </c>
      <c r="H217" s="7" t="str">
        <f t="shared" si="0"/>
        <v>No</v>
      </c>
      <c r="I217" s="54" t="s">
        <v>55</v>
      </c>
      <c r="J217" s="8">
        <v>2</v>
      </c>
      <c r="K217" s="8" t="s">
        <v>59</v>
      </c>
      <c r="L217" s="8" t="s">
        <v>52</v>
      </c>
      <c r="M217" s="8" t="s">
        <v>123</v>
      </c>
      <c r="N217" s="8">
        <v>1</v>
      </c>
      <c r="O217" s="8">
        <v>0</v>
      </c>
      <c r="P217" s="8">
        <v>0</v>
      </c>
      <c r="Q217" s="8" t="s">
        <v>101</v>
      </c>
      <c r="R217" s="9">
        <v>0.1</v>
      </c>
      <c r="S217" s="8">
        <v>1</v>
      </c>
      <c r="T217" s="8">
        <v>0</v>
      </c>
      <c r="U217" s="8">
        <v>1</v>
      </c>
      <c r="V217" s="8">
        <v>1</v>
      </c>
      <c r="W217" s="8">
        <v>1</v>
      </c>
      <c r="X217" s="8">
        <v>0</v>
      </c>
      <c r="Y217" s="8">
        <v>0</v>
      </c>
      <c r="Z217" s="8">
        <v>0</v>
      </c>
      <c r="AA217" s="8" t="s">
        <v>124</v>
      </c>
      <c r="AB217" s="8">
        <v>0</v>
      </c>
      <c r="AC217" s="8">
        <v>0</v>
      </c>
      <c r="AD217" s="8">
        <v>0</v>
      </c>
      <c r="AE217" s="8">
        <v>0</v>
      </c>
      <c r="AF217" s="8">
        <v>1</v>
      </c>
      <c r="AG217" s="8">
        <v>0.5</v>
      </c>
      <c r="AH217" s="8">
        <v>0</v>
      </c>
      <c r="AI217" s="8">
        <v>1</v>
      </c>
      <c r="AJ217" s="8">
        <v>1</v>
      </c>
      <c r="AK217" s="8">
        <v>1</v>
      </c>
      <c r="AL217" s="8">
        <v>1</v>
      </c>
      <c r="AM217" s="8">
        <v>1</v>
      </c>
      <c r="AN217" s="8">
        <v>1</v>
      </c>
      <c r="AO217" s="8">
        <v>0</v>
      </c>
      <c r="AP217" s="8">
        <v>1</v>
      </c>
      <c r="AQ217" s="8">
        <v>1</v>
      </c>
      <c r="AR217" s="8">
        <v>1</v>
      </c>
      <c r="AS217" s="8">
        <v>0</v>
      </c>
      <c r="AT217" s="8">
        <v>0</v>
      </c>
      <c r="AU217" s="8">
        <v>0</v>
      </c>
      <c r="AV217" s="8">
        <v>0</v>
      </c>
      <c r="AW217" s="8">
        <v>0</v>
      </c>
      <c r="AX217" s="8">
        <v>0</v>
      </c>
      <c r="AY217" s="8">
        <v>0</v>
      </c>
      <c r="AZ217" s="8">
        <v>0</v>
      </c>
      <c r="BA217" s="8">
        <v>0</v>
      </c>
      <c r="BB217" s="8">
        <v>0</v>
      </c>
      <c r="BC217" s="8">
        <v>0</v>
      </c>
      <c r="BD217" s="8">
        <v>0</v>
      </c>
      <c r="BE217" s="8">
        <v>0</v>
      </c>
      <c r="BF217" s="8">
        <v>0</v>
      </c>
      <c r="BG217" s="8">
        <v>0</v>
      </c>
      <c r="BH217" s="8">
        <v>0</v>
      </c>
      <c r="BI217" s="8">
        <v>1</v>
      </c>
      <c r="BJ217" s="8">
        <v>0</v>
      </c>
      <c r="BK217" s="8">
        <v>1</v>
      </c>
      <c r="BL217" s="8">
        <v>1</v>
      </c>
      <c r="BM217" s="8">
        <v>0</v>
      </c>
      <c r="BN217" s="8">
        <v>0</v>
      </c>
      <c r="BO217" s="8">
        <v>0</v>
      </c>
      <c r="BP217" s="8">
        <v>0</v>
      </c>
      <c r="BQ217" s="8">
        <v>1</v>
      </c>
      <c r="BR217" s="8">
        <v>0</v>
      </c>
      <c r="BS217" s="8">
        <f t="shared" si="257"/>
        <v>13</v>
      </c>
      <c r="BT217" s="8"/>
      <c r="BU217" s="2">
        <f t="shared" si="2"/>
        <v>2</v>
      </c>
      <c r="BV217" s="2">
        <f t="shared" si="3"/>
        <v>6</v>
      </c>
      <c r="BW217" s="2">
        <f t="shared" si="4"/>
        <v>1</v>
      </c>
      <c r="BX217" s="2">
        <f t="shared" si="5"/>
        <v>2</v>
      </c>
      <c r="BY217" s="2">
        <f t="shared" si="6"/>
        <v>0</v>
      </c>
      <c r="BZ217" s="2">
        <f t="shared" ref="BZ217:CA217" si="328">SUM(AQ217)</f>
        <v>1</v>
      </c>
      <c r="CA217" s="2">
        <f t="shared" si="328"/>
        <v>1</v>
      </c>
      <c r="CB217" s="2">
        <f t="shared" si="8"/>
        <v>0</v>
      </c>
    </row>
    <row r="218" spans="1:80" ht="15" customHeight="1" x14ac:dyDescent="0.2">
      <c r="A218" s="3" t="s">
        <v>122</v>
      </c>
      <c r="B218" s="10">
        <v>276</v>
      </c>
      <c r="C218" s="5">
        <v>1</v>
      </c>
      <c r="D218" s="10">
        <v>1</v>
      </c>
      <c r="E218" s="5">
        <v>0</v>
      </c>
      <c r="F218" s="10">
        <v>2004</v>
      </c>
      <c r="G218" s="10" t="s">
        <v>76</v>
      </c>
      <c r="H218" s="7" t="str">
        <f t="shared" si="0"/>
        <v>Yes</v>
      </c>
      <c r="I218" s="54" t="s">
        <v>56</v>
      </c>
      <c r="J218" s="8">
        <v>2</v>
      </c>
      <c r="K218" s="8" t="s">
        <v>59</v>
      </c>
      <c r="L218" s="8" t="s">
        <v>52</v>
      </c>
      <c r="M218" s="8" t="s">
        <v>52</v>
      </c>
      <c r="N218" s="8">
        <v>1</v>
      </c>
      <c r="O218" s="8">
        <v>0</v>
      </c>
      <c r="P218" s="8">
        <v>0</v>
      </c>
      <c r="Q218" s="8" t="s">
        <v>101</v>
      </c>
      <c r="R218" s="9">
        <v>0.25</v>
      </c>
      <c r="S218" s="8">
        <v>1</v>
      </c>
      <c r="T218" s="8">
        <v>0</v>
      </c>
      <c r="U218" s="8">
        <v>1</v>
      </c>
      <c r="V218" s="8">
        <v>1</v>
      </c>
      <c r="W218" s="8">
        <v>1</v>
      </c>
      <c r="X218" s="8">
        <v>0</v>
      </c>
      <c r="Y218" s="8">
        <v>0</v>
      </c>
      <c r="Z218" s="8">
        <v>0</v>
      </c>
      <c r="AA218" s="8" t="s">
        <v>124</v>
      </c>
      <c r="AB218" s="8">
        <v>0</v>
      </c>
      <c r="AC218" s="8">
        <v>0</v>
      </c>
      <c r="AD218" s="8">
        <v>0</v>
      </c>
      <c r="AE218" s="8">
        <v>0</v>
      </c>
      <c r="AF218" s="8">
        <v>1</v>
      </c>
      <c r="AG218" s="8">
        <v>0.5</v>
      </c>
      <c r="AH218" s="8">
        <v>0</v>
      </c>
      <c r="AI218" s="8">
        <v>1</v>
      </c>
      <c r="AJ218" s="8">
        <v>1</v>
      </c>
      <c r="AK218" s="8">
        <v>1</v>
      </c>
      <c r="AL218" s="8">
        <v>1</v>
      </c>
      <c r="AM218" s="8">
        <v>1</v>
      </c>
      <c r="AN218" s="8">
        <v>1</v>
      </c>
      <c r="AO218" s="8">
        <v>0</v>
      </c>
      <c r="AP218" s="8">
        <v>1</v>
      </c>
      <c r="AQ218" s="8">
        <v>1</v>
      </c>
      <c r="AR218" s="8">
        <v>1</v>
      </c>
      <c r="AS218" s="8">
        <v>0</v>
      </c>
      <c r="AT218" s="8">
        <v>0</v>
      </c>
      <c r="AU218" s="8">
        <v>0</v>
      </c>
      <c r="AV218" s="8">
        <v>0</v>
      </c>
      <c r="AW218" s="8">
        <v>0</v>
      </c>
      <c r="AX218" s="8">
        <v>0</v>
      </c>
      <c r="AY218" s="8">
        <v>0</v>
      </c>
      <c r="AZ218" s="8">
        <v>0</v>
      </c>
      <c r="BA218" s="8">
        <v>0</v>
      </c>
      <c r="BB218" s="8">
        <v>0</v>
      </c>
      <c r="BC218" s="8">
        <v>1</v>
      </c>
      <c r="BD218" s="8">
        <v>0</v>
      </c>
      <c r="BE218" s="8">
        <v>0</v>
      </c>
      <c r="BF218" s="8">
        <v>0</v>
      </c>
      <c r="BG218" s="8">
        <v>0</v>
      </c>
      <c r="BH218" s="8">
        <v>0</v>
      </c>
      <c r="BI218" s="8">
        <v>1</v>
      </c>
      <c r="BJ218" s="8">
        <v>0</v>
      </c>
      <c r="BK218" s="8">
        <v>1</v>
      </c>
      <c r="BL218" s="8">
        <v>0</v>
      </c>
      <c r="BM218" s="8">
        <v>1</v>
      </c>
      <c r="BN218" s="8">
        <v>0</v>
      </c>
      <c r="BO218" s="8">
        <v>0</v>
      </c>
      <c r="BP218" s="8">
        <v>0</v>
      </c>
      <c r="BQ218" s="8">
        <v>1</v>
      </c>
      <c r="BR218" s="8">
        <v>0</v>
      </c>
      <c r="BS218" s="8">
        <f t="shared" si="257"/>
        <v>14</v>
      </c>
      <c r="BT218" s="8"/>
      <c r="BU218" s="2">
        <f t="shared" si="2"/>
        <v>2</v>
      </c>
      <c r="BV218" s="2">
        <f t="shared" si="3"/>
        <v>5</v>
      </c>
      <c r="BW218" s="2">
        <f t="shared" si="4"/>
        <v>1</v>
      </c>
      <c r="BX218" s="2">
        <f t="shared" si="5"/>
        <v>4</v>
      </c>
      <c r="BY218" s="2">
        <f t="shared" si="6"/>
        <v>0</v>
      </c>
      <c r="BZ218" s="2">
        <f t="shared" ref="BZ218:CA218" si="329">SUM(AQ218)</f>
        <v>1</v>
      </c>
      <c r="CA218" s="2">
        <f t="shared" si="329"/>
        <v>1</v>
      </c>
      <c r="CB218" s="2">
        <f t="shared" si="8"/>
        <v>0</v>
      </c>
    </row>
    <row r="219" spans="1:80" ht="15" customHeight="1" x14ac:dyDescent="0.2">
      <c r="A219" s="3" t="s">
        <v>122</v>
      </c>
      <c r="B219" s="10">
        <v>276</v>
      </c>
      <c r="C219" s="5">
        <v>1</v>
      </c>
      <c r="D219" s="10">
        <v>1</v>
      </c>
      <c r="E219" s="5">
        <v>0</v>
      </c>
      <c r="F219" s="10">
        <v>2004</v>
      </c>
      <c r="G219" s="10" t="s">
        <v>77</v>
      </c>
      <c r="H219" s="7" t="str">
        <f t="shared" si="0"/>
        <v>Yes</v>
      </c>
      <c r="I219" s="54" t="s">
        <v>56</v>
      </c>
      <c r="J219" s="6">
        <v>2</v>
      </c>
      <c r="K219" s="8" t="s">
        <v>59</v>
      </c>
      <c r="L219" s="8" t="s">
        <v>52</v>
      </c>
      <c r="M219" s="8" t="s">
        <v>52</v>
      </c>
      <c r="N219" s="8">
        <v>1</v>
      </c>
      <c r="O219" s="8">
        <v>0</v>
      </c>
      <c r="P219" s="8">
        <v>0</v>
      </c>
      <c r="Q219" s="8" t="s">
        <v>101</v>
      </c>
      <c r="R219" s="9">
        <v>0.1</v>
      </c>
      <c r="S219" s="8">
        <v>1</v>
      </c>
      <c r="T219" s="8">
        <v>0</v>
      </c>
      <c r="U219" s="8">
        <v>1</v>
      </c>
      <c r="V219" s="8">
        <v>1</v>
      </c>
      <c r="W219" s="8">
        <v>1</v>
      </c>
      <c r="X219" s="8">
        <v>0</v>
      </c>
      <c r="Y219" s="8">
        <v>0</v>
      </c>
      <c r="Z219" s="8">
        <v>0</v>
      </c>
      <c r="AA219" s="8" t="s">
        <v>124</v>
      </c>
      <c r="AB219" s="8">
        <v>0</v>
      </c>
      <c r="AC219" s="8">
        <v>0</v>
      </c>
      <c r="AD219" s="8">
        <v>0</v>
      </c>
      <c r="AE219" s="8">
        <v>0</v>
      </c>
      <c r="AF219" s="8">
        <v>1</v>
      </c>
      <c r="AG219" s="8">
        <v>0.5</v>
      </c>
      <c r="AH219" s="8">
        <v>0</v>
      </c>
      <c r="AI219" s="8">
        <v>1</v>
      </c>
      <c r="AJ219" s="8">
        <v>1</v>
      </c>
      <c r="AK219" s="8">
        <v>1</v>
      </c>
      <c r="AL219" s="8">
        <v>1</v>
      </c>
      <c r="AM219" s="8">
        <v>1</v>
      </c>
      <c r="AN219" s="8">
        <v>1</v>
      </c>
      <c r="AO219" s="8">
        <v>0</v>
      </c>
      <c r="AP219" s="8">
        <v>1</v>
      </c>
      <c r="AQ219" s="8">
        <v>1</v>
      </c>
      <c r="AR219" s="8">
        <v>1</v>
      </c>
      <c r="AS219" s="8">
        <v>0</v>
      </c>
      <c r="AT219" s="8">
        <v>0</v>
      </c>
      <c r="AU219" s="8">
        <v>0</v>
      </c>
      <c r="AV219" s="8">
        <v>0</v>
      </c>
      <c r="AW219" s="8">
        <v>0</v>
      </c>
      <c r="AX219" s="8">
        <v>0</v>
      </c>
      <c r="AY219" s="8">
        <v>0</v>
      </c>
      <c r="AZ219" s="8">
        <v>0</v>
      </c>
      <c r="BA219" s="8">
        <v>0</v>
      </c>
      <c r="BB219" s="8">
        <v>0</v>
      </c>
      <c r="BC219" s="8">
        <v>1</v>
      </c>
      <c r="BD219" s="8">
        <v>0</v>
      </c>
      <c r="BE219" s="8">
        <v>0</v>
      </c>
      <c r="BF219" s="8">
        <v>0</v>
      </c>
      <c r="BG219" s="8">
        <v>0</v>
      </c>
      <c r="BH219" s="8">
        <v>0</v>
      </c>
      <c r="BI219" s="8">
        <v>1</v>
      </c>
      <c r="BJ219" s="8">
        <v>0</v>
      </c>
      <c r="BK219" s="8">
        <v>1</v>
      </c>
      <c r="BL219" s="8">
        <v>1</v>
      </c>
      <c r="BM219" s="8">
        <v>1</v>
      </c>
      <c r="BN219" s="8">
        <v>0</v>
      </c>
      <c r="BO219" s="8">
        <v>0</v>
      </c>
      <c r="BP219" s="8">
        <v>0</v>
      </c>
      <c r="BQ219" s="8">
        <v>1</v>
      </c>
      <c r="BR219" s="8">
        <v>0</v>
      </c>
      <c r="BS219" s="8">
        <f t="shared" si="257"/>
        <v>15</v>
      </c>
      <c r="BT219" s="8"/>
      <c r="BU219" s="2">
        <f t="shared" si="2"/>
        <v>2</v>
      </c>
      <c r="BV219" s="2">
        <f t="shared" si="3"/>
        <v>6</v>
      </c>
      <c r="BW219" s="2">
        <f t="shared" si="4"/>
        <v>1</v>
      </c>
      <c r="BX219" s="2">
        <f t="shared" si="5"/>
        <v>4</v>
      </c>
      <c r="BY219" s="2">
        <f t="shared" si="6"/>
        <v>0</v>
      </c>
      <c r="BZ219" s="2">
        <f t="shared" ref="BZ219:CA219" si="330">SUM(AQ219)</f>
        <v>1</v>
      </c>
      <c r="CA219" s="2">
        <f t="shared" si="330"/>
        <v>1</v>
      </c>
      <c r="CB219" s="2">
        <f t="shared" si="8"/>
        <v>0</v>
      </c>
    </row>
    <row r="220" spans="1:80" ht="15" customHeight="1" x14ac:dyDescent="0.2">
      <c r="A220" s="3" t="s">
        <v>122</v>
      </c>
      <c r="B220" s="10">
        <v>276</v>
      </c>
      <c r="C220" s="5">
        <v>1</v>
      </c>
      <c r="D220" s="10">
        <v>1</v>
      </c>
      <c r="E220" s="5">
        <v>0</v>
      </c>
      <c r="F220" s="10">
        <v>2004</v>
      </c>
      <c r="G220" s="10" t="s">
        <v>78</v>
      </c>
      <c r="H220" s="7" t="str">
        <f t="shared" si="0"/>
        <v>No</v>
      </c>
      <c r="I220" s="54" t="s">
        <v>55</v>
      </c>
      <c r="J220" s="6">
        <v>2</v>
      </c>
      <c r="K220" s="8" t="s">
        <v>59</v>
      </c>
      <c r="L220" s="8" t="s">
        <v>52</v>
      </c>
      <c r="M220" s="8" t="s">
        <v>52</v>
      </c>
      <c r="N220" s="8">
        <v>1</v>
      </c>
      <c r="O220" s="8">
        <v>0</v>
      </c>
      <c r="P220" s="8">
        <v>0</v>
      </c>
      <c r="Q220" s="8" t="s">
        <v>101</v>
      </c>
      <c r="R220" s="9">
        <v>0.1</v>
      </c>
      <c r="S220" s="8">
        <v>1</v>
      </c>
      <c r="T220" s="8">
        <v>0</v>
      </c>
      <c r="U220" s="8">
        <v>1</v>
      </c>
      <c r="V220" s="8">
        <v>1</v>
      </c>
      <c r="W220" s="8">
        <v>1</v>
      </c>
      <c r="X220" s="8">
        <v>0</v>
      </c>
      <c r="Y220" s="8">
        <v>0</v>
      </c>
      <c r="Z220" s="8">
        <v>0</v>
      </c>
      <c r="AA220" s="8" t="s">
        <v>124</v>
      </c>
      <c r="AB220" s="8">
        <v>0</v>
      </c>
      <c r="AC220" s="8">
        <v>0</v>
      </c>
      <c r="AD220" s="8">
        <v>0</v>
      </c>
      <c r="AE220" s="8">
        <v>0</v>
      </c>
      <c r="AF220" s="8">
        <v>1</v>
      </c>
      <c r="AG220" s="8">
        <v>0.5</v>
      </c>
      <c r="AH220" s="8">
        <v>0</v>
      </c>
      <c r="AI220" s="8">
        <v>1</v>
      </c>
      <c r="AJ220" s="8">
        <v>1</v>
      </c>
      <c r="AK220" s="8">
        <v>1</v>
      </c>
      <c r="AL220" s="8">
        <v>1</v>
      </c>
      <c r="AM220" s="8">
        <v>1</v>
      </c>
      <c r="AN220" s="8">
        <v>1</v>
      </c>
      <c r="AO220" s="8">
        <v>0</v>
      </c>
      <c r="AP220" s="8">
        <v>1</v>
      </c>
      <c r="AQ220" s="8">
        <v>1</v>
      </c>
      <c r="AR220" s="8">
        <v>1</v>
      </c>
      <c r="AS220" s="8">
        <v>0</v>
      </c>
      <c r="AT220" s="8">
        <v>0</v>
      </c>
      <c r="AU220" s="8">
        <v>0</v>
      </c>
      <c r="AV220" s="8">
        <v>0</v>
      </c>
      <c r="AW220" s="8">
        <v>0</v>
      </c>
      <c r="AX220" s="8">
        <v>0</v>
      </c>
      <c r="AY220" s="8">
        <v>0</v>
      </c>
      <c r="AZ220" s="8">
        <v>0</v>
      </c>
      <c r="BA220" s="8">
        <v>0</v>
      </c>
      <c r="BB220" s="8">
        <v>0</v>
      </c>
      <c r="BC220" s="8">
        <v>1</v>
      </c>
      <c r="BD220" s="8">
        <v>0</v>
      </c>
      <c r="BE220" s="8">
        <v>0</v>
      </c>
      <c r="BF220" s="8">
        <v>0</v>
      </c>
      <c r="BG220" s="8">
        <v>0</v>
      </c>
      <c r="BH220" s="8">
        <v>0</v>
      </c>
      <c r="BI220" s="8">
        <v>1</v>
      </c>
      <c r="BJ220" s="8">
        <v>0</v>
      </c>
      <c r="BK220" s="8">
        <v>1</v>
      </c>
      <c r="BL220" s="8">
        <v>1</v>
      </c>
      <c r="BM220" s="8">
        <v>1</v>
      </c>
      <c r="BN220" s="8">
        <v>0</v>
      </c>
      <c r="BO220" s="8">
        <v>0</v>
      </c>
      <c r="BP220" s="8">
        <v>0</v>
      </c>
      <c r="BQ220" s="8">
        <v>1</v>
      </c>
      <c r="BR220" s="8">
        <v>0</v>
      </c>
      <c r="BS220" s="8">
        <f t="shared" si="257"/>
        <v>15</v>
      </c>
      <c r="BT220" s="8"/>
      <c r="BU220" s="2">
        <f t="shared" si="2"/>
        <v>2</v>
      </c>
      <c r="BV220" s="2">
        <f t="shared" si="3"/>
        <v>6</v>
      </c>
      <c r="BW220" s="2">
        <f t="shared" si="4"/>
        <v>1</v>
      </c>
      <c r="BX220" s="2">
        <f t="shared" si="5"/>
        <v>4</v>
      </c>
      <c r="BY220" s="2">
        <f t="shared" si="6"/>
        <v>0</v>
      </c>
      <c r="BZ220" s="2">
        <f t="shared" ref="BZ220:CA220" si="331">SUM(AQ220)</f>
        <v>1</v>
      </c>
      <c r="CA220" s="2">
        <f t="shared" si="331"/>
        <v>1</v>
      </c>
      <c r="CB220" s="2">
        <f t="shared" si="8"/>
        <v>0</v>
      </c>
    </row>
    <row r="221" spans="1:80" ht="15" customHeight="1" x14ac:dyDescent="0.2">
      <c r="A221" s="3" t="s">
        <v>122</v>
      </c>
      <c r="B221" s="10">
        <v>276</v>
      </c>
      <c r="C221" s="5">
        <v>1</v>
      </c>
      <c r="D221" s="10">
        <v>1</v>
      </c>
      <c r="E221" s="5">
        <v>0</v>
      </c>
      <c r="F221" s="10">
        <v>2004</v>
      </c>
      <c r="G221" s="10" t="s">
        <v>79</v>
      </c>
      <c r="H221" s="7" t="str">
        <f t="shared" si="0"/>
        <v>Yes</v>
      </c>
      <c r="I221" s="54" t="s">
        <v>56</v>
      </c>
      <c r="J221" s="8">
        <v>2</v>
      </c>
      <c r="K221" s="8" t="s">
        <v>59</v>
      </c>
      <c r="L221" s="8" t="s">
        <v>52</v>
      </c>
      <c r="M221" s="8" t="s">
        <v>52</v>
      </c>
      <c r="N221" s="8">
        <v>1</v>
      </c>
      <c r="O221" s="8">
        <v>0</v>
      </c>
      <c r="P221" s="8">
        <v>0</v>
      </c>
      <c r="Q221" s="8" t="s">
        <v>101</v>
      </c>
      <c r="R221" s="9">
        <v>0.1</v>
      </c>
      <c r="S221" s="8">
        <v>1</v>
      </c>
      <c r="T221" s="8">
        <v>0</v>
      </c>
      <c r="U221" s="8">
        <v>1</v>
      </c>
      <c r="V221" s="8">
        <v>1</v>
      </c>
      <c r="W221" s="8">
        <v>1</v>
      </c>
      <c r="X221" s="8">
        <v>0</v>
      </c>
      <c r="Y221" s="8">
        <v>0</v>
      </c>
      <c r="Z221" s="8">
        <v>0</v>
      </c>
      <c r="AA221" s="8" t="s">
        <v>124</v>
      </c>
      <c r="AB221" s="8">
        <v>0</v>
      </c>
      <c r="AC221" s="8">
        <v>0</v>
      </c>
      <c r="AD221" s="8">
        <v>0</v>
      </c>
      <c r="AE221" s="8">
        <v>0</v>
      </c>
      <c r="AF221" s="8">
        <v>1</v>
      </c>
      <c r="AG221" s="8">
        <v>0.5</v>
      </c>
      <c r="AH221" s="8">
        <v>0</v>
      </c>
      <c r="AI221" s="8">
        <v>1</v>
      </c>
      <c r="AJ221" s="8">
        <v>1</v>
      </c>
      <c r="AK221" s="8">
        <v>1</v>
      </c>
      <c r="AL221" s="8">
        <v>1</v>
      </c>
      <c r="AM221" s="8">
        <v>1</v>
      </c>
      <c r="AN221" s="8">
        <v>1</v>
      </c>
      <c r="AO221" s="8">
        <v>0</v>
      </c>
      <c r="AP221" s="8">
        <v>1</v>
      </c>
      <c r="AQ221" s="8">
        <v>1</v>
      </c>
      <c r="AR221" s="8">
        <v>1</v>
      </c>
      <c r="AS221" s="8">
        <v>0</v>
      </c>
      <c r="AT221" s="8">
        <v>0</v>
      </c>
      <c r="AU221" s="8">
        <v>0</v>
      </c>
      <c r="AV221" s="8">
        <v>1</v>
      </c>
      <c r="AW221" s="8">
        <v>1</v>
      </c>
      <c r="AX221" s="8">
        <v>1</v>
      </c>
      <c r="AY221" s="8">
        <v>1</v>
      </c>
      <c r="AZ221" s="8">
        <v>1</v>
      </c>
      <c r="BA221" s="8">
        <v>1</v>
      </c>
      <c r="BB221" s="8">
        <v>1</v>
      </c>
      <c r="BC221" s="8">
        <v>1</v>
      </c>
      <c r="BD221" s="8">
        <v>1</v>
      </c>
      <c r="BE221" s="8">
        <v>1</v>
      </c>
      <c r="BF221" s="8">
        <v>0</v>
      </c>
      <c r="BG221" s="8">
        <v>1</v>
      </c>
      <c r="BH221" s="8">
        <v>0</v>
      </c>
      <c r="BI221" s="8">
        <v>1</v>
      </c>
      <c r="BJ221" s="8">
        <v>1</v>
      </c>
      <c r="BK221" s="8">
        <v>1</v>
      </c>
      <c r="BL221" s="8">
        <v>1</v>
      </c>
      <c r="BM221" s="8">
        <v>1</v>
      </c>
      <c r="BN221" s="8">
        <v>0</v>
      </c>
      <c r="BO221" s="8">
        <v>1</v>
      </c>
      <c r="BP221" s="8">
        <v>0</v>
      </c>
      <c r="BQ221" s="8">
        <v>1</v>
      </c>
      <c r="BR221" s="8">
        <v>0</v>
      </c>
      <c r="BS221" s="8">
        <f t="shared" si="257"/>
        <v>27</v>
      </c>
      <c r="BT221" s="8"/>
      <c r="BU221" s="2">
        <f t="shared" si="2"/>
        <v>2</v>
      </c>
      <c r="BV221" s="2">
        <f t="shared" si="3"/>
        <v>7</v>
      </c>
      <c r="BW221" s="2">
        <f t="shared" si="4"/>
        <v>1</v>
      </c>
      <c r="BX221" s="2">
        <f t="shared" si="5"/>
        <v>15</v>
      </c>
      <c r="BY221" s="2">
        <f t="shared" si="6"/>
        <v>0</v>
      </c>
      <c r="BZ221" s="2">
        <f t="shared" ref="BZ221:CA221" si="332">SUM(AQ221)</f>
        <v>1</v>
      </c>
      <c r="CA221" s="2">
        <f t="shared" si="332"/>
        <v>1</v>
      </c>
      <c r="CB221" s="2">
        <f t="shared" si="8"/>
        <v>0</v>
      </c>
    </row>
    <row r="222" spans="1:80" ht="15" customHeight="1" x14ac:dyDescent="0.2">
      <c r="A222" s="3" t="s">
        <v>122</v>
      </c>
      <c r="B222" s="10">
        <v>276</v>
      </c>
      <c r="C222" s="5">
        <v>1</v>
      </c>
      <c r="D222" s="10">
        <v>1</v>
      </c>
      <c r="E222" s="5">
        <v>0</v>
      </c>
      <c r="F222" s="10">
        <v>2004</v>
      </c>
      <c r="G222" s="10" t="s">
        <v>80</v>
      </c>
      <c r="H222" s="7" t="str">
        <f t="shared" si="0"/>
        <v>No</v>
      </c>
      <c r="I222" s="54" t="s">
        <v>55</v>
      </c>
      <c r="J222" s="8">
        <v>2</v>
      </c>
      <c r="K222" s="8" t="s">
        <v>59</v>
      </c>
      <c r="L222" s="8" t="s">
        <v>52</v>
      </c>
      <c r="M222" s="8" t="s">
        <v>52</v>
      </c>
      <c r="N222" s="8">
        <v>1</v>
      </c>
      <c r="O222" s="8">
        <v>0</v>
      </c>
      <c r="P222" s="8">
        <v>0</v>
      </c>
      <c r="Q222" s="8" t="s">
        <v>101</v>
      </c>
      <c r="R222" s="9">
        <v>0.1</v>
      </c>
      <c r="S222" s="8">
        <v>1</v>
      </c>
      <c r="T222" s="8">
        <v>0</v>
      </c>
      <c r="U222" s="8">
        <v>1</v>
      </c>
      <c r="V222" s="8">
        <v>1</v>
      </c>
      <c r="W222" s="8">
        <v>1</v>
      </c>
      <c r="X222" s="8">
        <v>0</v>
      </c>
      <c r="Y222" s="8">
        <v>0</v>
      </c>
      <c r="Z222" s="8">
        <v>0</v>
      </c>
      <c r="AA222" s="8" t="s">
        <v>124</v>
      </c>
      <c r="AB222" s="8">
        <v>0</v>
      </c>
      <c r="AC222" s="8">
        <v>0</v>
      </c>
      <c r="AD222" s="8">
        <v>0</v>
      </c>
      <c r="AE222" s="8">
        <v>0</v>
      </c>
      <c r="AF222" s="8">
        <v>1</v>
      </c>
      <c r="AG222" s="8">
        <v>0.5</v>
      </c>
      <c r="AH222" s="8">
        <v>0</v>
      </c>
      <c r="AI222" s="8">
        <v>1</v>
      </c>
      <c r="AJ222" s="8">
        <v>1</v>
      </c>
      <c r="AK222" s="8">
        <v>1</v>
      </c>
      <c r="AL222" s="8">
        <v>1</v>
      </c>
      <c r="AM222" s="8">
        <v>1</v>
      </c>
      <c r="AN222" s="8">
        <v>1</v>
      </c>
      <c r="AO222" s="8">
        <v>0</v>
      </c>
      <c r="AP222" s="8">
        <v>1</v>
      </c>
      <c r="AQ222" s="8">
        <v>1</v>
      </c>
      <c r="AR222" s="8">
        <v>1</v>
      </c>
      <c r="AS222" s="8">
        <v>0</v>
      </c>
      <c r="AT222" s="8">
        <v>0</v>
      </c>
      <c r="AU222" s="8">
        <v>0</v>
      </c>
      <c r="AV222" s="8">
        <v>1</v>
      </c>
      <c r="AW222" s="8">
        <v>1</v>
      </c>
      <c r="AX222" s="8">
        <v>1</v>
      </c>
      <c r="AY222" s="8">
        <v>1</v>
      </c>
      <c r="AZ222" s="8">
        <v>1</v>
      </c>
      <c r="BA222" s="8">
        <v>1</v>
      </c>
      <c r="BB222" s="8">
        <v>1</v>
      </c>
      <c r="BC222" s="8">
        <v>1</v>
      </c>
      <c r="BD222" s="8">
        <v>1</v>
      </c>
      <c r="BE222" s="8">
        <v>1</v>
      </c>
      <c r="BF222" s="8">
        <v>0</v>
      </c>
      <c r="BG222" s="8">
        <v>1</v>
      </c>
      <c r="BH222" s="8">
        <v>0</v>
      </c>
      <c r="BI222" s="8">
        <v>1</v>
      </c>
      <c r="BJ222" s="8">
        <v>1</v>
      </c>
      <c r="BK222" s="8">
        <v>1</v>
      </c>
      <c r="BL222" s="8">
        <v>1</v>
      </c>
      <c r="BM222" s="8">
        <v>1</v>
      </c>
      <c r="BN222" s="8">
        <v>0</v>
      </c>
      <c r="BO222" s="8">
        <v>1</v>
      </c>
      <c r="BP222" s="8">
        <v>0</v>
      </c>
      <c r="BQ222" s="8">
        <v>1</v>
      </c>
      <c r="BR222" s="8">
        <v>0</v>
      </c>
      <c r="BS222" s="8">
        <f t="shared" si="257"/>
        <v>27</v>
      </c>
      <c r="BT222" s="8"/>
      <c r="BU222" s="2">
        <f t="shared" si="2"/>
        <v>2</v>
      </c>
      <c r="BV222" s="2">
        <f t="shared" si="3"/>
        <v>7</v>
      </c>
      <c r="BW222" s="2">
        <f t="shared" si="4"/>
        <v>1</v>
      </c>
      <c r="BX222" s="2">
        <f t="shared" si="5"/>
        <v>15</v>
      </c>
      <c r="BY222" s="2">
        <f t="shared" si="6"/>
        <v>0</v>
      </c>
      <c r="BZ222" s="2">
        <f t="shared" ref="BZ222:CA222" si="333">SUM(AQ222)</f>
        <v>1</v>
      </c>
      <c r="CA222" s="2">
        <f t="shared" si="333"/>
        <v>1</v>
      </c>
      <c r="CB222" s="2">
        <f t="shared" si="8"/>
        <v>0</v>
      </c>
    </row>
    <row r="223" spans="1:80" ht="16" x14ac:dyDescent="0.2">
      <c r="A223" s="3" t="s">
        <v>122</v>
      </c>
      <c r="B223" s="10">
        <v>276</v>
      </c>
      <c r="C223" s="5">
        <v>1</v>
      </c>
      <c r="D223" s="10">
        <v>1</v>
      </c>
      <c r="E223" s="5">
        <v>0</v>
      </c>
      <c r="F223" s="10">
        <v>2004</v>
      </c>
      <c r="G223" s="10">
        <v>2022</v>
      </c>
      <c r="H223" s="7" t="str">
        <f t="shared" si="0"/>
        <v>No</v>
      </c>
      <c r="I223" s="54" t="s">
        <v>55</v>
      </c>
      <c r="J223" s="8">
        <v>2</v>
      </c>
      <c r="K223" s="8" t="s">
        <v>59</v>
      </c>
      <c r="L223" s="8" t="s">
        <v>52</v>
      </c>
      <c r="M223" s="8" t="s">
        <v>52</v>
      </c>
      <c r="N223" s="8">
        <v>1</v>
      </c>
      <c r="O223" s="8">
        <v>0</v>
      </c>
      <c r="P223" s="8">
        <v>0</v>
      </c>
      <c r="Q223" s="8" t="s">
        <v>101</v>
      </c>
      <c r="R223" s="9">
        <v>0.1</v>
      </c>
      <c r="S223" s="8">
        <v>1</v>
      </c>
      <c r="T223" s="8">
        <v>0</v>
      </c>
      <c r="U223" s="8">
        <v>1</v>
      </c>
      <c r="V223" s="8">
        <v>1</v>
      </c>
      <c r="W223" s="8">
        <v>1</v>
      </c>
      <c r="X223" s="8">
        <v>0</v>
      </c>
      <c r="Y223" s="8">
        <v>0</v>
      </c>
      <c r="Z223" s="8">
        <v>0</v>
      </c>
      <c r="AA223" s="8" t="s">
        <v>124</v>
      </c>
      <c r="AB223" s="8">
        <v>0</v>
      </c>
      <c r="AC223" s="8">
        <v>0</v>
      </c>
      <c r="AD223" s="8">
        <v>0</v>
      </c>
      <c r="AE223" s="8">
        <v>0</v>
      </c>
      <c r="AF223" s="8">
        <v>1</v>
      </c>
      <c r="AG223" s="8">
        <v>0.5</v>
      </c>
      <c r="AH223" s="8">
        <v>0</v>
      </c>
      <c r="AI223" s="8">
        <v>1</v>
      </c>
      <c r="AJ223" s="8">
        <v>1</v>
      </c>
      <c r="AK223" s="8">
        <v>1</v>
      </c>
      <c r="AL223" s="8">
        <v>1</v>
      </c>
      <c r="AM223" s="8">
        <v>1</v>
      </c>
      <c r="AN223" s="8">
        <v>1</v>
      </c>
      <c r="AO223" s="8">
        <v>0</v>
      </c>
      <c r="AP223" s="8">
        <v>1</v>
      </c>
      <c r="AQ223" s="8">
        <v>1</v>
      </c>
      <c r="AR223" s="8">
        <v>1</v>
      </c>
      <c r="AS223" s="8">
        <v>0</v>
      </c>
      <c r="AT223" s="8">
        <v>0</v>
      </c>
      <c r="AU223" s="8">
        <v>0</v>
      </c>
      <c r="AV223" s="8">
        <v>1</v>
      </c>
      <c r="AW223" s="8">
        <v>1</v>
      </c>
      <c r="AX223" s="8">
        <v>1</v>
      </c>
      <c r="AY223" s="8">
        <v>1</v>
      </c>
      <c r="AZ223" s="8">
        <v>1</v>
      </c>
      <c r="BA223" s="8">
        <v>1</v>
      </c>
      <c r="BB223" s="8">
        <v>1</v>
      </c>
      <c r="BC223" s="8">
        <v>1</v>
      </c>
      <c r="BD223" s="8">
        <v>1</v>
      </c>
      <c r="BE223" s="8">
        <v>1</v>
      </c>
      <c r="BF223" s="8">
        <v>0</v>
      </c>
      <c r="BG223" s="8">
        <v>1</v>
      </c>
      <c r="BH223" s="8">
        <v>0</v>
      </c>
      <c r="BI223" s="8">
        <v>1</v>
      </c>
      <c r="BJ223" s="8">
        <v>1</v>
      </c>
      <c r="BK223" s="8">
        <v>1</v>
      </c>
      <c r="BL223" s="8">
        <v>1</v>
      </c>
      <c r="BM223" s="8">
        <v>1</v>
      </c>
      <c r="BN223" s="8">
        <v>0</v>
      </c>
      <c r="BO223" s="8">
        <v>1</v>
      </c>
      <c r="BP223" s="8">
        <v>0</v>
      </c>
      <c r="BQ223" s="8">
        <v>1</v>
      </c>
      <c r="BR223" s="8">
        <v>0</v>
      </c>
      <c r="BS223" s="8">
        <f t="shared" si="257"/>
        <v>27</v>
      </c>
      <c r="BT223" s="8"/>
      <c r="BU223" s="2">
        <f t="shared" si="2"/>
        <v>2</v>
      </c>
      <c r="BV223" s="2">
        <f t="shared" si="3"/>
        <v>7</v>
      </c>
      <c r="BW223" s="2">
        <f t="shared" si="4"/>
        <v>1</v>
      </c>
      <c r="BX223" s="2">
        <f t="shared" si="5"/>
        <v>15</v>
      </c>
      <c r="BY223" s="2">
        <f t="shared" si="6"/>
        <v>0</v>
      </c>
      <c r="BZ223" s="2">
        <f t="shared" ref="BZ223:CA223" si="334">SUM(AQ223)</f>
        <v>1</v>
      </c>
      <c r="CA223" s="2">
        <f t="shared" si="334"/>
        <v>1</v>
      </c>
      <c r="CB223" s="2">
        <f t="shared" si="8"/>
        <v>0</v>
      </c>
    </row>
    <row r="224" spans="1:80" ht="16" x14ac:dyDescent="0.2">
      <c r="A224" s="3" t="s">
        <v>122</v>
      </c>
      <c r="B224" s="10">
        <v>276</v>
      </c>
      <c r="C224" s="5">
        <v>1</v>
      </c>
      <c r="D224" s="10">
        <v>1</v>
      </c>
      <c r="E224" s="5">
        <v>0</v>
      </c>
      <c r="F224" s="10">
        <v>2004</v>
      </c>
      <c r="G224" s="10">
        <v>2023</v>
      </c>
      <c r="H224" s="7" t="str">
        <f t="shared" ref="H224" si="335">IF($I224="1", "Yes", "No")</f>
        <v>No</v>
      </c>
      <c r="I224" s="54" t="s">
        <v>55</v>
      </c>
      <c r="J224" s="8">
        <v>2</v>
      </c>
      <c r="K224" s="8" t="s">
        <v>59</v>
      </c>
      <c r="L224" s="8" t="s">
        <v>52</v>
      </c>
      <c r="M224" s="8" t="s">
        <v>52</v>
      </c>
      <c r="N224" s="8">
        <v>1</v>
      </c>
      <c r="O224" s="8">
        <v>0</v>
      </c>
      <c r="P224" s="8">
        <v>0</v>
      </c>
      <c r="Q224" s="8" t="s">
        <v>101</v>
      </c>
      <c r="R224" s="9">
        <v>0.1</v>
      </c>
      <c r="S224" s="8">
        <v>1</v>
      </c>
      <c r="T224" s="8">
        <v>0</v>
      </c>
      <c r="U224" s="8">
        <v>1</v>
      </c>
      <c r="V224" s="8">
        <v>1</v>
      </c>
      <c r="W224" s="8">
        <v>1</v>
      </c>
      <c r="X224" s="8">
        <v>0</v>
      </c>
      <c r="Y224" s="8">
        <v>0</v>
      </c>
      <c r="Z224" s="8">
        <v>0</v>
      </c>
      <c r="AA224" s="8" t="s">
        <v>124</v>
      </c>
      <c r="AB224" s="8">
        <v>0</v>
      </c>
      <c r="AC224" s="8">
        <v>0</v>
      </c>
      <c r="AD224" s="8">
        <v>0</v>
      </c>
      <c r="AE224" s="8">
        <v>0</v>
      </c>
      <c r="AF224" s="8">
        <v>1</v>
      </c>
      <c r="AG224" s="8">
        <v>0.5</v>
      </c>
      <c r="AH224" s="8">
        <v>0</v>
      </c>
      <c r="AI224" s="8">
        <v>1</v>
      </c>
      <c r="AJ224" s="8">
        <v>1</v>
      </c>
      <c r="AK224" s="8">
        <v>1</v>
      </c>
      <c r="AL224" s="8">
        <v>1</v>
      </c>
      <c r="AM224" s="8">
        <v>1</v>
      </c>
      <c r="AN224" s="8">
        <v>1</v>
      </c>
      <c r="AO224" s="8">
        <v>0</v>
      </c>
      <c r="AP224" s="8">
        <v>1</v>
      </c>
      <c r="AQ224" s="8">
        <v>1</v>
      </c>
      <c r="AR224" s="8">
        <v>1</v>
      </c>
      <c r="AS224" s="8">
        <v>0</v>
      </c>
      <c r="AT224" s="8">
        <v>0</v>
      </c>
      <c r="AU224" s="8">
        <v>0</v>
      </c>
      <c r="AV224" s="8">
        <v>1</v>
      </c>
      <c r="AW224" s="8">
        <v>1</v>
      </c>
      <c r="AX224" s="8">
        <v>1</v>
      </c>
      <c r="AY224" s="8">
        <v>1</v>
      </c>
      <c r="AZ224" s="8">
        <v>1</v>
      </c>
      <c r="BA224" s="8">
        <v>1</v>
      </c>
      <c r="BB224" s="8">
        <v>1</v>
      </c>
      <c r="BC224" s="8">
        <v>1</v>
      </c>
      <c r="BD224" s="8">
        <v>1</v>
      </c>
      <c r="BE224" s="8">
        <v>1</v>
      </c>
      <c r="BF224" s="8">
        <v>0</v>
      </c>
      <c r="BG224" s="8">
        <v>1</v>
      </c>
      <c r="BH224" s="8">
        <v>0</v>
      </c>
      <c r="BI224" s="8">
        <v>1</v>
      </c>
      <c r="BJ224" s="8">
        <v>1</v>
      </c>
      <c r="BK224" s="8">
        <v>1</v>
      </c>
      <c r="BL224" s="8">
        <v>1</v>
      </c>
      <c r="BM224" s="8">
        <v>1</v>
      </c>
      <c r="BN224" s="8">
        <v>0</v>
      </c>
      <c r="BO224" s="8">
        <v>1</v>
      </c>
      <c r="BP224" s="8">
        <v>0</v>
      </c>
      <c r="BQ224" s="8">
        <v>1</v>
      </c>
      <c r="BR224" s="8">
        <v>0</v>
      </c>
      <c r="BS224" s="8">
        <f t="shared" ref="BS224" si="336">SUM(AI224:BR224)</f>
        <v>27</v>
      </c>
      <c r="BT224" s="8"/>
      <c r="BU224" s="2">
        <f t="shared" ref="BU224" si="337">SUM(AI224,BK224)</f>
        <v>2</v>
      </c>
      <c r="BV224" s="2">
        <f t="shared" ref="BV224" si="338">SUM(AK224, AL224, AM224,AJ224,BL224,BO224, AP224)</f>
        <v>7</v>
      </c>
      <c r="BW224" s="2">
        <f t="shared" ref="BW224" si="339">SUM(AN224, AO224, AS224)</f>
        <v>1</v>
      </c>
      <c r="BX224" s="2">
        <f t="shared" ref="BX224" si="340">SUM(AU224,AV224,AW224,AX224,AY224,AZ224,BA224,BB224,BC224,BD224,BE224,BF224,BG224,BH224,BI224,BJ224,BQ224,BR224,BM224)</f>
        <v>15</v>
      </c>
      <c r="BY224" s="2">
        <f t="shared" ref="BY224" si="341">SUM(BP224, BN224)</f>
        <v>0</v>
      </c>
      <c r="BZ224" s="2">
        <f t="shared" ref="BZ224" si="342">SUM(AQ224)</f>
        <v>1</v>
      </c>
      <c r="CA224" s="2">
        <f t="shared" ref="CA224" si="343">SUM(AR224)</f>
        <v>1</v>
      </c>
      <c r="CB224" s="2">
        <f t="shared" ref="CB224" si="344">SUM(AT224)</f>
        <v>0</v>
      </c>
    </row>
    <row r="225" spans="1:80" ht="16" x14ac:dyDescent="0.2">
      <c r="A225" s="3" t="s">
        <v>126</v>
      </c>
      <c r="B225" s="10">
        <v>300</v>
      </c>
      <c r="C225" s="5">
        <v>1</v>
      </c>
      <c r="D225" s="10">
        <v>1</v>
      </c>
      <c r="E225" s="5">
        <v>0</v>
      </c>
      <c r="F225" s="10"/>
      <c r="G225" s="10" t="s">
        <v>86</v>
      </c>
      <c r="H225" s="7" t="str">
        <f t="shared" si="0"/>
        <v>No</v>
      </c>
      <c r="I225" s="54" t="s">
        <v>55</v>
      </c>
      <c r="J225" s="8">
        <v>0</v>
      </c>
      <c r="K225" s="8"/>
      <c r="L225" s="8"/>
      <c r="M225" s="8"/>
      <c r="N225" s="8"/>
      <c r="O225" s="8"/>
      <c r="P225" s="8"/>
      <c r="Q225" s="8"/>
      <c r="R225" s="6"/>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v>0</v>
      </c>
      <c r="BT225" s="8"/>
      <c r="BU225" s="2">
        <f t="shared" si="2"/>
        <v>0</v>
      </c>
      <c r="BV225" s="2">
        <f t="shared" si="3"/>
        <v>0</v>
      </c>
      <c r="BW225" s="2">
        <f t="shared" si="4"/>
        <v>0</v>
      </c>
      <c r="BX225" s="2">
        <f t="shared" si="5"/>
        <v>0</v>
      </c>
      <c r="BY225" s="2">
        <f t="shared" si="6"/>
        <v>0</v>
      </c>
      <c r="BZ225" s="2">
        <f t="shared" ref="BZ225:CA225" si="345">SUM(AQ225)</f>
        <v>0</v>
      </c>
      <c r="CA225" s="2">
        <f t="shared" si="345"/>
        <v>0</v>
      </c>
      <c r="CB225" s="2">
        <f t="shared" si="8"/>
        <v>0</v>
      </c>
    </row>
    <row r="226" spans="1:80" ht="16" x14ac:dyDescent="0.2">
      <c r="A226" s="3" t="s">
        <v>126</v>
      </c>
      <c r="B226" s="10">
        <v>300</v>
      </c>
      <c r="C226" s="5">
        <v>1</v>
      </c>
      <c r="D226" s="10">
        <v>1</v>
      </c>
      <c r="E226" s="5">
        <v>0</v>
      </c>
      <c r="F226" s="10"/>
      <c r="G226" s="10" t="s">
        <v>90</v>
      </c>
      <c r="H226" s="7" t="str">
        <f t="shared" si="0"/>
        <v>No</v>
      </c>
      <c r="I226" s="54" t="s">
        <v>55</v>
      </c>
      <c r="J226" s="8">
        <v>0</v>
      </c>
      <c r="K226" s="8"/>
      <c r="L226" s="8"/>
      <c r="M226" s="8"/>
      <c r="N226" s="8"/>
      <c r="O226" s="8"/>
      <c r="P226" s="8"/>
      <c r="Q226" s="8"/>
      <c r="R226" s="6"/>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v>0</v>
      </c>
      <c r="BT226" s="8"/>
      <c r="BU226" s="2">
        <f t="shared" si="2"/>
        <v>0</v>
      </c>
      <c r="BV226" s="2">
        <f t="shared" si="3"/>
        <v>0</v>
      </c>
      <c r="BW226" s="2">
        <f t="shared" si="4"/>
        <v>0</v>
      </c>
      <c r="BX226" s="2">
        <f t="shared" si="5"/>
        <v>0</v>
      </c>
      <c r="BY226" s="2">
        <f t="shared" si="6"/>
        <v>0</v>
      </c>
      <c r="BZ226" s="2">
        <f t="shared" ref="BZ226:CA226" si="346">SUM(AQ226)</f>
        <v>0</v>
      </c>
      <c r="CA226" s="2">
        <f t="shared" si="346"/>
        <v>0</v>
      </c>
      <c r="CB226" s="2">
        <f t="shared" si="8"/>
        <v>0</v>
      </c>
    </row>
    <row r="227" spans="1:80" ht="16" x14ac:dyDescent="0.2">
      <c r="A227" s="3" t="s">
        <v>126</v>
      </c>
      <c r="B227" s="10">
        <v>300</v>
      </c>
      <c r="C227" s="5">
        <v>1</v>
      </c>
      <c r="D227" s="10">
        <v>1</v>
      </c>
      <c r="E227" s="5">
        <v>0</v>
      </c>
      <c r="F227" s="10"/>
      <c r="G227" s="10" t="s">
        <v>91</v>
      </c>
      <c r="H227" s="7" t="str">
        <f t="shared" si="0"/>
        <v>No</v>
      </c>
      <c r="I227" s="54" t="s">
        <v>55</v>
      </c>
      <c r="J227" s="8">
        <v>0</v>
      </c>
      <c r="K227" s="8"/>
      <c r="L227" s="8"/>
      <c r="M227" s="8"/>
      <c r="N227" s="8"/>
      <c r="O227" s="8"/>
      <c r="P227" s="8"/>
      <c r="Q227" s="8"/>
      <c r="R227" s="6"/>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v>0</v>
      </c>
      <c r="BT227" s="8"/>
      <c r="BU227" s="2">
        <f t="shared" si="2"/>
        <v>0</v>
      </c>
      <c r="BV227" s="2">
        <f t="shared" si="3"/>
        <v>0</v>
      </c>
      <c r="BW227" s="2">
        <f t="shared" si="4"/>
        <v>0</v>
      </c>
      <c r="BX227" s="2">
        <f t="shared" si="5"/>
        <v>0</v>
      </c>
      <c r="BY227" s="2">
        <f t="shared" si="6"/>
        <v>0</v>
      </c>
      <c r="BZ227" s="2">
        <f t="shared" ref="BZ227:CA227" si="347">SUM(AQ227)</f>
        <v>0</v>
      </c>
      <c r="CA227" s="2">
        <f t="shared" si="347"/>
        <v>0</v>
      </c>
      <c r="CB227" s="2">
        <f t="shared" si="8"/>
        <v>0</v>
      </c>
    </row>
    <row r="228" spans="1:80" ht="16" x14ac:dyDescent="0.2">
      <c r="A228" s="3" t="s">
        <v>126</v>
      </c>
      <c r="B228" s="10">
        <v>300</v>
      </c>
      <c r="C228" s="5">
        <v>1</v>
      </c>
      <c r="D228" s="10">
        <v>1</v>
      </c>
      <c r="E228" s="5">
        <v>0</v>
      </c>
      <c r="F228" s="10"/>
      <c r="G228" s="10" t="s">
        <v>93</v>
      </c>
      <c r="H228" s="7" t="str">
        <f t="shared" si="0"/>
        <v>No</v>
      </c>
      <c r="I228" s="54" t="s">
        <v>55</v>
      </c>
      <c r="J228" s="8">
        <v>0</v>
      </c>
      <c r="K228" s="8"/>
      <c r="L228" s="8"/>
      <c r="M228" s="8"/>
      <c r="N228" s="8"/>
      <c r="O228" s="8"/>
      <c r="P228" s="8"/>
      <c r="Q228" s="8"/>
      <c r="R228" s="6"/>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v>0</v>
      </c>
      <c r="BT228" s="8"/>
      <c r="BU228" s="2">
        <f t="shared" si="2"/>
        <v>0</v>
      </c>
      <c r="BV228" s="2">
        <f t="shared" si="3"/>
        <v>0</v>
      </c>
      <c r="BW228" s="2">
        <f t="shared" si="4"/>
        <v>0</v>
      </c>
      <c r="BX228" s="2">
        <f t="shared" si="5"/>
        <v>0</v>
      </c>
      <c r="BY228" s="2">
        <f t="shared" si="6"/>
        <v>0</v>
      </c>
      <c r="BZ228" s="2">
        <f t="shared" ref="BZ228:CA228" si="348">SUM(AQ228)</f>
        <v>0</v>
      </c>
      <c r="CA228" s="2">
        <f t="shared" si="348"/>
        <v>0</v>
      </c>
      <c r="CB228" s="2">
        <f t="shared" si="8"/>
        <v>0</v>
      </c>
    </row>
    <row r="229" spans="1:80" ht="16" x14ac:dyDescent="0.2">
      <c r="A229" s="3" t="s">
        <v>126</v>
      </c>
      <c r="B229" s="10">
        <v>300</v>
      </c>
      <c r="C229" s="5">
        <v>1</v>
      </c>
      <c r="D229" s="10">
        <v>1</v>
      </c>
      <c r="E229" s="5">
        <v>0</v>
      </c>
      <c r="F229" s="10"/>
      <c r="G229" s="10" t="s">
        <v>70</v>
      </c>
      <c r="H229" s="7" t="str">
        <f t="shared" si="0"/>
        <v>No</v>
      </c>
      <c r="I229" s="54" t="s">
        <v>55</v>
      </c>
      <c r="J229" s="8">
        <v>0</v>
      </c>
      <c r="K229" s="8"/>
      <c r="L229" s="8"/>
      <c r="M229" s="8"/>
      <c r="N229" s="8"/>
      <c r="O229" s="8"/>
      <c r="P229" s="8"/>
      <c r="Q229" s="8"/>
      <c r="R229" s="6"/>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v>0</v>
      </c>
      <c r="BT229" s="8"/>
      <c r="BU229" s="2">
        <f t="shared" si="2"/>
        <v>0</v>
      </c>
      <c r="BV229" s="2">
        <f t="shared" si="3"/>
        <v>0</v>
      </c>
      <c r="BW229" s="2">
        <f t="shared" si="4"/>
        <v>0</v>
      </c>
      <c r="BX229" s="2">
        <f t="shared" si="5"/>
        <v>0</v>
      </c>
      <c r="BY229" s="2">
        <f t="shared" si="6"/>
        <v>0</v>
      </c>
      <c r="BZ229" s="2">
        <f t="shared" ref="BZ229:CA229" si="349">SUM(AQ229)</f>
        <v>0</v>
      </c>
      <c r="CA229" s="2">
        <f t="shared" si="349"/>
        <v>0</v>
      </c>
      <c r="CB229" s="2">
        <f t="shared" si="8"/>
        <v>0</v>
      </c>
    </row>
    <row r="230" spans="1:80" ht="16" x14ac:dyDescent="0.2">
      <c r="A230" s="3" t="s">
        <v>126</v>
      </c>
      <c r="B230" s="10">
        <v>300</v>
      </c>
      <c r="C230" s="5">
        <v>1</v>
      </c>
      <c r="D230" s="10">
        <v>1</v>
      </c>
      <c r="E230" s="5">
        <v>0</v>
      </c>
      <c r="F230" s="10"/>
      <c r="G230" s="10" t="s">
        <v>71</v>
      </c>
      <c r="H230" s="7" t="str">
        <f t="shared" si="0"/>
        <v>No</v>
      </c>
      <c r="I230" s="54" t="s">
        <v>55</v>
      </c>
      <c r="J230" s="8">
        <v>0</v>
      </c>
      <c r="K230" s="8"/>
      <c r="L230" s="8"/>
      <c r="M230" s="8"/>
      <c r="N230" s="8"/>
      <c r="O230" s="8"/>
      <c r="P230" s="8"/>
      <c r="Q230" s="8"/>
      <c r="R230" s="6"/>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v>0</v>
      </c>
      <c r="BT230" s="8"/>
      <c r="BU230" s="2">
        <f t="shared" si="2"/>
        <v>0</v>
      </c>
      <c r="BV230" s="2">
        <f t="shared" si="3"/>
        <v>0</v>
      </c>
      <c r="BW230" s="2">
        <f t="shared" si="4"/>
        <v>0</v>
      </c>
      <c r="BX230" s="2">
        <f t="shared" si="5"/>
        <v>0</v>
      </c>
      <c r="BY230" s="2">
        <f t="shared" si="6"/>
        <v>0</v>
      </c>
      <c r="BZ230" s="2">
        <f t="shared" ref="BZ230:CA230" si="350">SUM(AQ230)</f>
        <v>0</v>
      </c>
      <c r="CA230" s="2">
        <f t="shared" si="350"/>
        <v>0</v>
      </c>
      <c r="CB230" s="2">
        <f t="shared" si="8"/>
        <v>0</v>
      </c>
    </row>
    <row r="231" spans="1:80" ht="16" x14ac:dyDescent="0.2">
      <c r="A231" s="3" t="s">
        <v>126</v>
      </c>
      <c r="B231" s="10">
        <v>300</v>
      </c>
      <c r="C231" s="5">
        <v>1</v>
      </c>
      <c r="D231" s="10">
        <v>1</v>
      </c>
      <c r="E231" s="5">
        <v>0</v>
      </c>
      <c r="F231" s="10"/>
      <c r="G231" s="10" t="s">
        <v>72</v>
      </c>
      <c r="H231" s="7" t="str">
        <f t="shared" si="0"/>
        <v>No</v>
      </c>
      <c r="I231" s="54" t="s">
        <v>55</v>
      </c>
      <c r="J231" s="8">
        <v>0</v>
      </c>
      <c r="K231" s="8"/>
      <c r="L231" s="8"/>
      <c r="M231" s="8"/>
      <c r="N231" s="8"/>
      <c r="O231" s="8"/>
      <c r="P231" s="8"/>
      <c r="Q231" s="8"/>
      <c r="R231" s="6"/>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v>0</v>
      </c>
      <c r="BT231" s="8"/>
      <c r="BU231" s="2">
        <f t="shared" si="2"/>
        <v>0</v>
      </c>
      <c r="BV231" s="2">
        <f t="shared" si="3"/>
        <v>0</v>
      </c>
      <c r="BW231" s="2">
        <f t="shared" si="4"/>
        <v>0</v>
      </c>
      <c r="BX231" s="2">
        <f t="shared" si="5"/>
        <v>0</v>
      </c>
      <c r="BY231" s="2">
        <f t="shared" si="6"/>
        <v>0</v>
      </c>
      <c r="BZ231" s="2">
        <f t="shared" ref="BZ231:CA231" si="351">SUM(AQ231)</f>
        <v>0</v>
      </c>
      <c r="CA231" s="2">
        <f t="shared" si="351"/>
        <v>0</v>
      </c>
      <c r="CB231" s="2">
        <f t="shared" si="8"/>
        <v>0</v>
      </c>
    </row>
    <row r="232" spans="1:80" ht="16" x14ac:dyDescent="0.2">
      <c r="A232" s="3" t="s">
        <v>126</v>
      </c>
      <c r="B232" s="10">
        <v>300</v>
      </c>
      <c r="C232" s="5">
        <v>1</v>
      </c>
      <c r="D232" s="10">
        <v>1</v>
      </c>
      <c r="E232" s="5">
        <v>0</v>
      </c>
      <c r="F232" s="10"/>
      <c r="G232" s="10" t="s">
        <v>73</v>
      </c>
      <c r="H232" s="7" t="str">
        <f t="shared" si="0"/>
        <v>No</v>
      </c>
      <c r="I232" s="54" t="s">
        <v>55</v>
      </c>
      <c r="J232" s="8">
        <v>0</v>
      </c>
      <c r="K232" s="8"/>
      <c r="L232" s="8"/>
      <c r="M232" s="8"/>
      <c r="N232" s="8"/>
      <c r="O232" s="8"/>
      <c r="P232" s="8"/>
      <c r="Q232" s="8"/>
      <c r="R232" s="6"/>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v>0</v>
      </c>
      <c r="BT232" s="8"/>
      <c r="BU232" s="2">
        <f t="shared" si="2"/>
        <v>0</v>
      </c>
      <c r="BV232" s="2">
        <f t="shared" si="3"/>
        <v>0</v>
      </c>
      <c r="BW232" s="2">
        <f t="shared" si="4"/>
        <v>0</v>
      </c>
      <c r="BX232" s="2">
        <f t="shared" si="5"/>
        <v>0</v>
      </c>
      <c r="BY232" s="2">
        <f t="shared" si="6"/>
        <v>0</v>
      </c>
      <c r="BZ232" s="2">
        <f t="shared" ref="BZ232:CA232" si="352">SUM(AQ232)</f>
        <v>0</v>
      </c>
      <c r="CA232" s="2">
        <f t="shared" si="352"/>
        <v>0</v>
      </c>
      <c r="CB232" s="2">
        <f t="shared" si="8"/>
        <v>0</v>
      </c>
    </row>
    <row r="233" spans="1:80" ht="16" x14ac:dyDescent="0.2">
      <c r="A233" s="3" t="s">
        <v>126</v>
      </c>
      <c r="B233" s="10">
        <v>300</v>
      </c>
      <c r="C233" s="5">
        <v>1</v>
      </c>
      <c r="D233" s="10">
        <v>1</v>
      </c>
      <c r="E233" s="5">
        <v>0</v>
      </c>
      <c r="F233" s="10"/>
      <c r="G233" s="10" t="s">
        <v>74</v>
      </c>
      <c r="H233" s="7" t="str">
        <f t="shared" si="0"/>
        <v>No</v>
      </c>
      <c r="I233" s="54" t="s">
        <v>55</v>
      </c>
      <c r="J233" s="8">
        <v>0</v>
      </c>
      <c r="K233" s="8"/>
      <c r="L233" s="8"/>
      <c r="M233" s="8"/>
      <c r="N233" s="8"/>
      <c r="O233" s="8"/>
      <c r="P233" s="8"/>
      <c r="Q233" s="8"/>
      <c r="R233" s="6"/>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v>0</v>
      </c>
      <c r="BT233" s="8"/>
      <c r="BU233" s="2">
        <f t="shared" si="2"/>
        <v>0</v>
      </c>
      <c r="BV233" s="2">
        <f t="shared" si="3"/>
        <v>0</v>
      </c>
      <c r="BW233" s="2">
        <f t="shared" si="4"/>
        <v>0</v>
      </c>
      <c r="BX233" s="2">
        <f t="shared" si="5"/>
        <v>0</v>
      </c>
      <c r="BY233" s="2">
        <f t="shared" si="6"/>
        <v>0</v>
      </c>
      <c r="BZ233" s="2">
        <f t="shared" ref="BZ233:CA233" si="353">SUM(AQ233)</f>
        <v>0</v>
      </c>
      <c r="CA233" s="2">
        <f t="shared" si="353"/>
        <v>0</v>
      </c>
      <c r="CB233" s="2">
        <f t="shared" si="8"/>
        <v>0</v>
      </c>
    </row>
    <row r="234" spans="1:80" ht="16" x14ac:dyDescent="0.2">
      <c r="A234" s="3" t="s">
        <v>126</v>
      </c>
      <c r="B234" s="10">
        <v>300</v>
      </c>
      <c r="C234" s="5">
        <v>1</v>
      </c>
      <c r="D234" s="10">
        <v>1</v>
      </c>
      <c r="E234" s="5">
        <v>0</v>
      </c>
      <c r="F234" s="10"/>
      <c r="G234" s="10" t="s">
        <v>75</v>
      </c>
      <c r="H234" s="7" t="str">
        <f t="shared" si="0"/>
        <v>No</v>
      </c>
      <c r="I234" s="54" t="s">
        <v>55</v>
      </c>
      <c r="J234" s="8">
        <v>0</v>
      </c>
      <c r="K234" s="8"/>
      <c r="L234" s="8"/>
      <c r="M234" s="8"/>
      <c r="N234" s="8"/>
      <c r="O234" s="8"/>
      <c r="P234" s="8"/>
      <c r="Q234" s="8"/>
      <c r="R234" s="6"/>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v>0</v>
      </c>
      <c r="BT234" s="8"/>
      <c r="BU234" s="2">
        <f t="shared" si="2"/>
        <v>0</v>
      </c>
      <c r="BV234" s="2">
        <f t="shared" si="3"/>
        <v>0</v>
      </c>
      <c r="BW234" s="2">
        <f t="shared" si="4"/>
        <v>0</v>
      </c>
      <c r="BX234" s="2">
        <f t="shared" si="5"/>
        <v>0</v>
      </c>
      <c r="BY234" s="2">
        <f t="shared" si="6"/>
        <v>0</v>
      </c>
      <c r="BZ234" s="2">
        <f t="shared" ref="BZ234:CA234" si="354">SUM(AQ234)</f>
        <v>0</v>
      </c>
      <c r="CA234" s="2">
        <f t="shared" si="354"/>
        <v>0</v>
      </c>
      <c r="CB234" s="2">
        <f t="shared" si="8"/>
        <v>0</v>
      </c>
    </row>
    <row r="235" spans="1:80" ht="16" x14ac:dyDescent="0.2">
      <c r="A235" s="3" t="s">
        <v>126</v>
      </c>
      <c r="B235" s="10">
        <v>300</v>
      </c>
      <c r="C235" s="5">
        <v>1</v>
      </c>
      <c r="D235" s="10">
        <v>1</v>
      </c>
      <c r="E235" s="5">
        <v>0</v>
      </c>
      <c r="F235" s="10"/>
      <c r="G235" s="10" t="s">
        <v>76</v>
      </c>
      <c r="H235" s="7" t="str">
        <f t="shared" si="0"/>
        <v>No</v>
      </c>
      <c r="I235" s="54" t="s">
        <v>55</v>
      </c>
      <c r="J235" s="8">
        <v>0</v>
      </c>
      <c r="K235" s="8"/>
      <c r="L235" s="8"/>
      <c r="M235" s="8"/>
      <c r="N235" s="8"/>
      <c r="O235" s="8"/>
      <c r="P235" s="8"/>
      <c r="Q235" s="8"/>
      <c r="R235" s="6"/>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v>0</v>
      </c>
      <c r="BT235" s="8"/>
      <c r="BU235" s="2">
        <f t="shared" si="2"/>
        <v>0</v>
      </c>
      <c r="BV235" s="2">
        <f t="shared" si="3"/>
        <v>0</v>
      </c>
      <c r="BW235" s="2">
        <f t="shared" si="4"/>
        <v>0</v>
      </c>
      <c r="BX235" s="2">
        <f t="shared" si="5"/>
        <v>0</v>
      </c>
      <c r="BY235" s="2">
        <f t="shared" si="6"/>
        <v>0</v>
      </c>
      <c r="BZ235" s="2">
        <f t="shared" ref="BZ235:CA235" si="355">SUM(AQ235)</f>
        <v>0</v>
      </c>
      <c r="CA235" s="2">
        <f t="shared" si="355"/>
        <v>0</v>
      </c>
      <c r="CB235" s="2">
        <f t="shared" si="8"/>
        <v>0</v>
      </c>
    </row>
    <row r="236" spans="1:80" ht="16" x14ac:dyDescent="0.2">
      <c r="A236" s="3" t="s">
        <v>126</v>
      </c>
      <c r="B236" s="10">
        <v>300</v>
      </c>
      <c r="C236" s="5">
        <v>1</v>
      </c>
      <c r="D236" s="10">
        <v>1</v>
      </c>
      <c r="E236" s="5">
        <v>0</v>
      </c>
      <c r="F236" s="10"/>
      <c r="G236" s="10" t="s">
        <v>77</v>
      </c>
      <c r="H236" s="7" t="str">
        <f t="shared" si="0"/>
        <v>No</v>
      </c>
      <c r="I236" s="54" t="s">
        <v>55</v>
      </c>
      <c r="J236" s="8">
        <v>0</v>
      </c>
      <c r="K236" s="8"/>
      <c r="L236" s="8"/>
      <c r="M236" s="8"/>
      <c r="N236" s="8"/>
      <c r="O236" s="8"/>
      <c r="P236" s="8"/>
      <c r="Q236" s="8"/>
      <c r="R236" s="6"/>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v>0</v>
      </c>
      <c r="BT236" s="8"/>
      <c r="BU236" s="2">
        <f t="shared" si="2"/>
        <v>0</v>
      </c>
      <c r="BV236" s="2">
        <f t="shared" si="3"/>
        <v>0</v>
      </c>
      <c r="BW236" s="2">
        <f t="shared" si="4"/>
        <v>0</v>
      </c>
      <c r="BX236" s="2">
        <f t="shared" si="5"/>
        <v>0</v>
      </c>
      <c r="BY236" s="2">
        <f t="shared" si="6"/>
        <v>0</v>
      </c>
      <c r="BZ236" s="2">
        <f t="shared" ref="BZ236:CA236" si="356">SUM(AQ236)</f>
        <v>0</v>
      </c>
      <c r="CA236" s="2">
        <f t="shared" si="356"/>
        <v>0</v>
      </c>
      <c r="CB236" s="2">
        <f t="shared" si="8"/>
        <v>0</v>
      </c>
    </row>
    <row r="237" spans="1:80" ht="16" x14ac:dyDescent="0.2">
      <c r="A237" s="3" t="s">
        <v>126</v>
      </c>
      <c r="B237" s="10">
        <v>300</v>
      </c>
      <c r="C237" s="5">
        <v>1</v>
      </c>
      <c r="D237" s="10">
        <v>1</v>
      </c>
      <c r="E237" s="5">
        <v>0</v>
      </c>
      <c r="F237" s="10"/>
      <c r="G237" s="10" t="s">
        <v>78</v>
      </c>
      <c r="H237" s="7" t="str">
        <f t="shared" si="0"/>
        <v>No</v>
      </c>
      <c r="I237" s="54" t="s">
        <v>55</v>
      </c>
      <c r="J237" s="8">
        <v>0</v>
      </c>
      <c r="K237" s="8"/>
      <c r="L237" s="8"/>
      <c r="M237" s="8"/>
      <c r="N237" s="8"/>
      <c r="O237" s="8"/>
      <c r="P237" s="8"/>
      <c r="Q237" s="8"/>
      <c r="R237" s="6"/>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v>0</v>
      </c>
      <c r="BT237" s="8"/>
      <c r="BU237" s="2">
        <f t="shared" si="2"/>
        <v>0</v>
      </c>
      <c r="BV237" s="2">
        <f t="shared" si="3"/>
        <v>0</v>
      </c>
      <c r="BW237" s="2">
        <f t="shared" si="4"/>
        <v>0</v>
      </c>
      <c r="BX237" s="2">
        <f t="shared" si="5"/>
        <v>0</v>
      </c>
      <c r="BY237" s="2">
        <f t="shared" si="6"/>
        <v>0</v>
      </c>
      <c r="BZ237" s="2">
        <f t="shared" ref="BZ237:CA237" si="357">SUM(AQ237)</f>
        <v>0</v>
      </c>
      <c r="CA237" s="2">
        <f t="shared" si="357"/>
        <v>0</v>
      </c>
      <c r="CB237" s="2">
        <f t="shared" si="8"/>
        <v>0</v>
      </c>
    </row>
    <row r="238" spans="1:80" ht="15" customHeight="1" x14ac:dyDescent="0.2">
      <c r="A238" s="3" t="s">
        <v>126</v>
      </c>
      <c r="B238" s="10">
        <v>300</v>
      </c>
      <c r="C238" s="5">
        <v>1</v>
      </c>
      <c r="D238" s="10">
        <v>1</v>
      </c>
      <c r="E238" s="5">
        <v>0</v>
      </c>
      <c r="F238" s="10"/>
      <c r="G238" s="10" t="s">
        <v>79</v>
      </c>
      <c r="H238" s="7" t="str">
        <f t="shared" si="0"/>
        <v>No</v>
      </c>
      <c r="I238" s="54" t="s">
        <v>55</v>
      </c>
      <c r="J238" s="8">
        <v>0</v>
      </c>
      <c r="K238" s="8"/>
      <c r="L238" s="8"/>
      <c r="M238" s="8"/>
      <c r="N238" s="8"/>
      <c r="O238" s="8"/>
      <c r="P238" s="8"/>
      <c r="Q238" s="8"/>
      <c r="R238" s="6"/>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v>0</v>
      </c>
      <c r="BT238" s="8"/>
      <c r="BU238" s="2">
        <f t="shared" si="2"/>
        <v>0</v>
      </c>
      <c r="BV238" s="2">
        <f t="shared" si="3"/>
        <v>0</v>
      </c>
      <c r="BW238" s="2">
        <f t="shared" si="4"/>
        <v>0</v>
      </c>
      <c r="BX238" s="2">
        <f t="shared" si="5"/>
        <v>0</v>
      </c>
      <c r="BY238" s="2">
        <f t="shared" si="6"/>
        <v>0</v>
      </c>
      <c r="BZ238" s="2">
        <f t="shared" ref="BZ238:CA238" si="358">SUM(AQ238)</f>
        <v>0</v>
      </c>
      <c r="CA238" s="2">
        <f t="shared" si="358"/>
        <v>0</v>
      </c>
      <c r="CB238" s="2">
        <f t="shared" si="8"/>
        <v>0</v>
      </c>
    </row>
    <row r="239" spans="1:80" ht="15" customHeight="1" x14ac:dyDescent="0.2">
      <c r="A239" s="3" t="s">
        <v>126</v>
      </c>
      <c r="B239" s="10">
        <v>300</v>
      </c>
      <c r="C239" s="5">
        <v>1</v>
      </c>
      <c r="D239" s="10">
        <v>1</v>
      </c>
      <c r="E239" s="5">
        <v>0</v>
      </c>
      <c r="F239" s="10"/>
      <c r="G239" s="10" t="s">
        <v>80</v>
      </c>
      <c r="H239" s="7" t="str">
        <f t="shared" si="0"/>
        <v>No</v>
      </c>
      <c r="I239" s="54" t="s">
        <v>55</v>
      </c>
      <c r="J239" s="8">
        <v>0</v>
      </c>
      <c r="K239" s="8"/>
      <c r="L239" s="8"/>
      <c r="M239" s="8"/>
      <c r="N239" s="8"/>
      <c r="O239" s="8"/>
      <c r="P239" s="8"/>
      <c r="Q239" s="8"/>
      <c r="R239" s="6"/>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v>0</v>
      </c>
      <c r="BT239" s="8"/>
      <c r="BU239" s="2">
        <f t="shared" si="2"/>
        <v>0</v>
      </c>
      <c r="BV239" s="2">
        <f t="shared" si="3"/>
        <v>0</v>
      </c>
      <c r="BW239" s="2">
        <f t="shared" si="4"/>
        <v>0</v>
      </c>
      <c r="BX239" s="2">
        <f t="shared" si="5"/>
        <v>0</v>
      </c>
      <c r="BY239" s="2">
        <f t="shared" si="6"/>
        <v>0</v>
      </c>
      <c r="BZ239" s="2">
        <f t="shared" ref="BZ239:CA239" si="359">SUM(AQ239)</f>
        <v>0</v>
      </c>
      <c r="CA239" s="2">
        <f t="shared" si="359"/>
        <v>0</v>
      </c>
      <c r="CB239" s="2">
        <f t="shared" si="8"/>
        <v>0</v>
      </c>
    </row>
    <row r="240" spans="1:80" ht="15" customHeight="1" x14ac:dyDescent="0.2">
      <c r="A240" s="3" t="s">
        <v>126</v>
      </c>
      <c r="B240" s="10">
        <v>300</v>
      </c>
      <c r="C240" s="5">
        <v>1</v>
      </c>
      <c r="D240" s="10">
        <v>1</v>
      </c>
      <c r="E240" s="5">
        <v>0</v>
      </c>
      <c r="F240" s="10"/>
      <c r="G240" s="10">
        <v>2022</v>
      </c>
      <c r="H240" s="7" t="str">
        <f t="shared" si="0"/>
        <v>No</v>
      </c>
      <c r="I240" s="54" t="s">
        <v>55</v>
      </c>
      <c r="J240" s="8">
        <v>0</v>
      </c>
      <c r="K240" s="8"/>
      <c r="L240" s="8"/>
      <c r="M240" s="8"/>
      <c r="N240" s="8"/>
      <c r="O240" s="8"/>
      <c r="P240" s="8"/>
      <c r="Q240" s="8"/>
      <c r="R240" s="6"/>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v>0</v>
      </c>
      <c r="BT240" s="8"/>
      <c r="BU240" s="2">
        <f t="shared" si="2"/>
        <v>0</v>
      </c>
      <c r="BV240" s="2">
        <f t="shared" si="3"/>
        <v>0</v>
      </c>
      <c r="BW240" s="2">
        <f t="shared" si="4"/>
        <v>0</v>
      </c>
      <c r="BX240" s="2">
        <f t="shared" si="5"/>
        <v>0</v>
      </c>
      <c r="BY240" s="2">
        <f t="shared" si="6"/>
        <v>0</v>
      </c>
      <c r="BZ240" s="2">
        <f t="shared" ref="BZ240:CA240" si="360">SUM(AQ240)</f>
        <v>0</v>
      </c>
      <c r="CA240" s="2">
        <f t="shared" si="360"/>
        <v>0</v>
      </c>
      <c r="CB240" s="2">
        <f t="shared" si="8"/>
        <v>0</v>
      </c>
    </row>
    <row r="241" spans="1:80" ht="15" customHeight="1" x14ac:dyDescent="0.2">
      <c r="A241" s="3" t="s">
        <v>126</v>
      </c>
      <c r="B241" s="10">
        <v>300</v>
      </c>
      <c r="C241" s="5">
        <v>1</v>
      </c>
      <c r="D241" s="10">
        <v>1</v>
      </c>
      <c r="E241" s="5">
        <v>0</v>
      </c>
      <c r="F241" s="10"/>
      <c r="G241" s="10">
        <v>2023</v>
      </c>
      <c r="H241" s="7" t="str">
        <f t="shared" ref="H241" si="361">IF($I241="1", "Yes", "No")</f>
        <v>No</v>
      </c>
      <c r="I241" s="54" t="s">
        <v>55</v>
      </c>
      <c r="J241" s="8">
        <v>0</v>
      </c>
      <c r="K241" s="8"/>
      <c r="L241" s="8"/>
      <c r="M241" s="8"/>
      <c r="N241" s="8"/>
      <c r="O241" s="8"/>
      <c r="P241" s="8"/>
      <c r="Q241" s="8"/>
      <c r="R241" s="6"/>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v>0</v>
      </c>
      <c r="BT241" s="8"/>
      <c r="BU241" s="2">
        <f t="shared" ref="BU241" si="362">SUM(AI241,BK241)</f>
        <v>0</v>
      </c>
      <c r="BV241" s="2">
        <f t="shared" ref="BV241" si="363">SUM(AK241, AL241, AM241,AJ241,BL241,BO241, AP241)</f>
        <v>0</v>
      </c>
      <c r="BW241" s="2">
        <f t="shared" ref="BW241" si="364">SUM(AN241, AO241, AS241)</f>
        <v>0</v>
      </c>
      <c r="BX241" s="2">
        <f t="shared" ref="BX241" si="365">SUM(AU241,AV241,AW241,AX241,AY241,AZ241,BA241,BB241,BC241,BD241,BE241,BF241,BG241,BH241,BI241,BJ241,BQ241,BR241,BM241)</f>
        <v>0</v>
      </c>
      <c r="BY241" s="2">
        <f t="shared" ref="BY241" si="366">SUM(BP241, BN241)</f>
        <v>0</v>
      </c>
      <c r="BZ241" s="2">
        <f t="shared" ref="BZ241" si="367">SUM(AQ241)</f>
        <v>0</v>
      </c>
      <c r="CA241" s="2">
        <f t="shared" ref="CA241" si="368">SUM(AR241)</f>
        <v>0</v>
      </c>
      <c r="CB241" s="2">
        <f t="shared" ref="CB241" si="369">SUM(AT241)</f>
        <v>0</v>
      </c>
    </row>
    <row r="242" spans="1:80" ht="16" x14ac:dyDescent="0.2">
      <c r="A242" s="3" t="s">
        <v>127</v>
      </c>
      <c r="B242" s="10">
        <v>348</v>
      </c>
      <c r="C242" s="5">
        <v>1</v>
      </c>
      <c r="D242" s="10">
        <v>1</v>
      </c>
      <c r="E242" s="5">
        <v>0</v>
      </c>
      <c r="F242" s="10">
        <v>2019</v>
      </c>
      <c r="G242" s="10" t="s">
        <v>86</v>
      </c>
      <c r="H242" s="7" t="str">
        <f t="shared" si="0"/>
        <v>No</v>
      </c>
      <c r="I242" s="54" t="s">
        <v>55</v>
      </c>
      <c r="J242" s="8">
        <v>0</v>
      </c>
      <c r="K242" s="8"/>
      <c r="L242" s="8"/>
      <c r="M242" s="8"/>
      <c r="N242" s="8"/>
      <c r="O242" s="8"/>
      <c r="P242" s="8"/>
      <c r="Q242" s="8"/>
      <c r="R242" s="6"/>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v>0</v>
      </c>
      <c r="BT242" s="8"/>
      <c r="BU242" s="2">
        <f t="shared" si="2"/>
        <v>0</v>
      </c>
      <c r="BV242" s="2">
        <f t="shared" si="3"/>
        <v>0</v>
      </c>
      <c r="BW242" s="2">
        <f t="shared" si="4"/>
        <v>0</v>
      </c>
      <c r="BX242" s="2">
        <f t="shared" si="5"/>
        <v>0</v>
      </c>
      <c r="BY242" s="2">
        <f t="shared" si="6"/>
        <v>0</v>
      </c>
      <c r="BZ242" s="2">
        <f t="shared" ref="BZ242:CA242" si="370">SUM(AQ242)</f>
        <v>0</v>
      </c>
      <c r="CA242" s="2">
        <f t="shared" si="370"/>
        <v>0</v>
      </c>
      <c r="CB242" s="2">
        <f t="shared" si="8"/>
        <v>0</v>
      </c>
    </row>
    <row r="243" spans="1:80" ht="16" x14ac:dyDescent="0.2">
      <c r="A243" s="3" t="s">
        <v>127</v>
      </c>
      <c r="B243" s="10">
        <v>348</v>
      </c>
      <c r="C243" s="5">
        <v>1</v>
      </c>
      <c r="D243" s="10">
        <v>1</v>
      </c>
      <c r="E243" s="5">
        <v>0</v>
      </c>
      <c r="F243" s="10">
        <v>2019</v>
      </c>
      <c r="G243" s="10" t="s">
        <v>90</v>
      </c>
      <c r="H243" s="7" t="str">
        <f t="shared" si="0"/>
        <v>No</v>
      </c>
      <c r="I243" s="54" t="s">
        <v>55</v>
      </c>
      <c r="J243" s="8">
        <v>0</v>
      </c>
      <c r="K243" s="8"/>
      <c r="L243" s="8"/>
      <c r="M243" s="8"/>
      <c r="N243" s="8"/>
      <c r="O243" s="8"/>
      <c r="P243" s="8"/>
      <c r="Q243" s="8"/>
      <c r="R243" s="6"/>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v>0</v>
      </c>
      <c r="BT243" s="8"/>
      <c r="BU243" s="2">
        <f t="shared" si="2"/>
        <v>0</v>
      </c>
      <c r="BV243" s="2">
        <f t="shared" si="3"/>
        <v>0</v>
      </c>
      <c r="BW243" s="2">
        <f t="shared" si="4"/>
        <v>0</v>
      </c>
      <c r="BX243" s="2">
        <f t="shared" si="5"/>
        <v>0</v>
      </c>
      <c r="BY243" s="2">
        <f t="shared" si="6"/>
        <v>0</v>
      </c>
      <c r="BZ243" s="2">
        <f t="shared" ref="BZ243:CA243" si="371">SUM(AQ243)</f>
        <v>0</v>
      </c>
      <c r="CA243" s="2">
        <f t="shared" si="371"/>
        <v>0</v>
      </c>
      <c r="CB243" s="2">
        <f t="shared" si="8"/>
        <v>0</v>
      </c>
    </row>
    <row r="244" spans="1:80" ht="16" x14ac:dyDescent="0.2">
      <c r="A244" s="3" t="s">
        <v>127</v>
      </c>
      <c r="B244" s="10">
        <v>348</v>
      </c>
      <c r="C244" s="5">
        <v>1</v>
      </c>
      <c r="D244" s="10">
        <v>1</v>
      </c>
      <c r="E244" s="5">
        <v>0</v>
      </c>
      <c r="F244" s="10">
        <v>2019</v>
      </c>
      <c r="G244" s="10" t="s">
        <v>91</v>
      </c>
      <c r="H244" s="7" t="str">
        <f t="shared" si="0"/>
        <v>No</v>
      </c>
      <c r="I244" s="54" t="s">
        <v>55</v>
      </c>
      <c r="J244" s="8">
        <v>0</v>
      </c>
      <c r="K244" s="8"/>
      <c r="L244" s="8"/>
      <c r="M244" s="8"/>
      <c r="N244" s="8"/>
      <c r="O244" s="8"/>
      <c r="P244" s="8"/>
      <c r="Q244" s="8"/>
      <c r="R244" s="6"/>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v>0</v>
      </c>
      <c r="BT244" s="8"/>
      <c r="BU244" s="2">
        <f t="shared" si="2"/>
        <v>0</v>
      </c>
      <c r="BV244" s="2">
        <f t="shared" si="3"/>
        <v>0</v>
      </c>
      <c r="BW244" s="2">
        <f t="shared" si="4"/>
        <v>0</v>
      </c>
      <c r="BX244" s="2">
        <f t="shared" si="5"/>
        <v>0</v>
      </c>
      <c r="BY244" s="2">
        <f t="shared" si="6"/>
        <v>0</v>
      </c>
      <c r="BZ244" s="2">
        <f t="shared" ref="BZ244:CA244" si="372">SUM(AQ244)</f>
        <v>0</v>
      </c>
      <c r="CA244" s="2">
        <f t="shared" si="372"/>
        <v>0</v>
      </c>
      <c r="CB244" s="2">
        <f t="shared" si="8"/>
        <v>0</v>
      </c>
    </row>
    <row r="245" spans="1:80" ht="16" x14ac:dyDescent="0.2">
      <c r="A245" s="3" t="s">
        <v>127</v>
      </c>
      <c r="B245" s="10">
        <v>348</v>
      </c>
      <c r="C245" s="5">
        <v>1</v>
      </c>
      <c r="D245" s="10">
        <v>1</v>
      </c>
      <c r="E245" s="5">
        <v>0</v>
      </c>
      <c r="F245" s="10">
        <v>2019</v>
      </c>
      <c r="G245" s="10" t="s">
        <v>93</v>
      </c>
      <c r="H245" s="7" t="str">
        <f t="shared" si="0"/>
        <v>No</v>
      </c>
      <c r="I245" s="54" t="s">
        <v>55</v>
      </c>
      <c r="J245" s="8">
        <v>0</v>
      </c>
      <c r="K245" s="8"/>
      <c r="L245" s="8"/>
      <c r="M245" s="8"/>
      <c r="N245" s="8"/>
      <c r="O245" s="8"/>
      <c r="P245" s="8"/>
      <c r="Q245" s="8"/>
      <c r="R245" s="6"/>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v>0</v>
      </c>
      <c r="BT245" s="8"/>
      <c r="BU245" s="2">
        <f t="shared" si="2"/>
        <v>0</v>
      </c>
      <c r="BV245" s="2">
        <f t="shared" si="3"/>
        <v>0</v>
      </c>
      <c r="BW245" s="2">
        <f t="shared" si="4"/>
        <v>0</v>
      </c>
      <c r="BX245" s="2">
        <f t="shared" si="5"/>
        <v>0</v>
      </c>
      <c r="BY245" s="2">
        <f t="shared" si="6"/>
        <v>0</v>
      </c>
      <c r="BZ245" s="2">
        <f t="shared" ref="BZ245:CA245" si="373">SUM(AQ245)</f>
        <v>0</v>
      </c>
      <c r="CA245" s="2">
        <f t="shared" si="373"/>
        <v>0</v>
      </c>
      <c r="CB245" s="2">
        <f t="shared" si="8"/>
        <v>0</v>
      </c>
    </row>
    <row r="246" spans="1:80" ht="16" x14ac:dyDescent="0.2">
      <c r="A246" s="3" t="s">
        <v>127</v>
      </c>
      <c r="B246" s="10">
        <v>348</v>
      </c>
      <c r="C246" s="5">
        <v>1</v>
      </c>
      <c r="D246" s="10">
        <v>1</v>
      </c>
      <c r="E246" s="5">
        <v>0</v>
      </c>
      <c r="F246" s="10">
        <v>2019</v>
      </c>
      <c r="G246" s="10" t="s">
        <v>70</v>
      </c>
      <c r="H246" s="7" t="str">
        <f t="shared" si="0"/>
        <v>No</v>
      </c>
      <c r="I246" s="54" t="s">
        <v>55</v>
      </c>
      <c r="J246" s="8">
        <v>0</v>
      </c>
      <c r="K246" s="8"/>
      <c r="L246" s="8"/>
      <c r="M246" s="8"/>
      <c r="N246" s="8"/>
      <c r="O246" s="8"/>
      <c r="P246" s="8"/>
      <c r="Q246" s="8"/>
      <c r="R246" s="6"/>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v>0</v>
      </c>
      <c r="BT246" s="8"/>
      <c r="BU246" s="2">
        <f t="shared" si="2"/>
        <v>0</v>
      </c>
      <c r="BV246" s="2">
        <f t="shared" si="3"/>
        <v>0</v>
      </c>
      <c r="BW246" s="2">
        <f t="shared" si="4"/>
        <v>0</v>
      </c>
      <c r="BX246" s="2">
        <f t="shared" si="5"/>
        <v>0</v>
      </c>
      <c r="BY246" s="2">
        <f t="shared" si="6"/>
        <v>0</v>
      </c>
      <c r="BZ246" s="2">
        <f t="shared" ref="BZ246:CA246" si="374">SUM(AQ246)</f>
        <v>0</v>
      </c>
      <c r="CA246" s="2">
        <f t="shared" si="374"/>
        <v>0</v>
      </c>
      <c r="CB246" s="2">
        <f t="shared" si="8"/>
        <v>0</v>
      </c>
    </row>
    <row r="247" spans="1:80" ht="16" x14ac:dyDescent="0.2">
      <c r="A247" s="3" t="s">
        <v>127</v>
      </c>
      <c r="B247" s="10">
        <v>348</v>
      </c>
      <c r="C247" s="5">
        <v>1</v>
      </c>
      <c r="D247" s="10">
        <v>1</v>
      </c>
      <c r="E247" s="5">
        <v>0</v>
      </c>
      <c r="F247" s="10">
        <v>2019</v>
      </c>
      <c r="G247" s="10" t="s">
        <v>71</v>
      </c>
      <c r="H247" s="7" t="str">
        <f t="shared" si="0"/>
        <v>No</v>
      </c>
      <c r="I247" s="54" t="s">
        <v>55</v>
      </c>
      <c r="J247" s="8">
        <v>0</v>
      </c>
      <c r="K247" s="8"/>
      <c r="L247" s="8"/>
      <c r="M247" s="8"/>
      <c r="N247" s="8"/>
      <c r="O247" s="8"/>
      <c r="P247" s="8"/>
      <c r="Q247" s="8"/>
      <c r="R247" s="6"/>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v>0</v>
      </c>
      <c r="BT247" s="8"/>
      <c r="BU247" s="2">
        <f t="shared" si="2"/>
        <v>0</v>
      </c>
      <c r="BV247" s="2">
        <f t="shared" si="3"/>
        <v>0</v>
      </c>
      <c r="BW247" s="2">
        <f t="shared" si="4"/>
        <v>0</v>
      </c>
      <c r="BX247" s="2">
        <f t="shared" si="5"/>
        <v>0</v>
      </c>
      <c r="BY247" s="2">
        <f t="shared" si="6"/>
        <v>0</v>
      </c>
      <c r="BZ247" s="2">
        <f t="shared" ref="BZ247:CA247" si="375">SUM(AQ247)</f>
        <v>0</v>
      </c>
      <c r="CA247" s="2">
        <f t="shared" si="375"/>
        <v>0</v>
      </c>
      <c r="CB247" s="2">
        <f t="shared" si="8"/>
        <v>0</v>
      </c>
    </row>
    <row r="248" spans="1:80" ht="16" x14ac:dyDescent="0.2">
      <c r="A248" s="3" t="s">
        <v>127</v>
      </c>
      <c r="B248" s="10">
        <v>348</v>
      </c>
      <c r="C248" s="5">
        <v>1</v>
      </c>
      <c r="D248" s="10">
        <v>1</v>
      </c>
      <c r="E248" s="5">
        <v>0</v>
      </c>
      <c r="F248" s="10">
        <v>2019</v>
      </c>
      <c r="G248" s="10" t="s">
        <v>72</v>
      </c>
      <c r="H248" s="7" t="str">
        <f t="shared" si="0"/>
        <v>No</v>
      </c>
      <c r="I248" s="54" t="s">
        <v>55</v>
      </c>
      <c r="J248" s="8">
        <v>0</v>
      </c>
      <c r="K248" s="8"/>
      <c r="L248" s="8"/>
      <c r="M248" s="8"/>
      <c r="N248" s="8"/>
      <c r="O248" s="8"/>
      <c r="P248" s="8"/>
      <c r="Q248" s="8"/>
      <c r="R248" s="6"/>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v>0</v>
      </c>
      <c r="BT248" s="8"/>
      <c r="BU248" s="2">
        <f t="shared" si="2"/>
        <v>0</v>
      </c>
      <c r="BV248" s="2">
        <f t="shared" si="3"/>
        <v>0</v>
      </c>
      <c r="BW248" s="2">
        <f t="shared" si="4"/>
        <v>0</v>
      </c>
      <c r="BX248" s="2">
        <f t="shared" si="5"/>
        <v>0</v>
      </c>
      <c r="BY248" s="2">
        <f t="shared" si="6"/>
        <v>0</v>
      </c>
      <c r="BZ248" s="2">
        <f t="shared" ref="BZ248:CA248" si="376">SUM(AQ248)</f>
        <v>0</v>
      </c>
      <c r="CA248" s="2">
        <f t="shared" si="376"/>
        <v>0</v>
      </c>
      <c r="CB248" s="2">
        <f t="shared" si="8"/>
        <v>0</v>
      </c>
    </row>
    <row r="249" spans="1:80" ht="16" x14ac:dyDescent="0.2">
      <c r="A249" s="3" t="s">
        <v>127</v>
      </c>
      <c r="B249" s="10">
        <v>348</v>
      </c>
      <c r="C249" s="5">
        <v>1</v>
      </c>
      <c r="D249" s="10">
        <v>1</v>
      </c>
      <c r="E249" s="5">
        <v>0</v>
      </c>
      <c r="F249" s="10">
        <v>2019</v>
      </c>
      <c r="G249" s="10" t="s">
        <v>73</v>
      </c>
      <c r="H249" s="7" t="str">
        <f t="shared" si="0"/>
        <v>No</v>
      </c>
      <c r="I249" s="54" t="s">
        <v>55</v>
      </c>
      <c r="J249" s="8">
        <v>0</v>
      </c>
      <c r="K249" s="8"/>
      <c r="L249" s="8"/>
      <c r="M249" s="8"/>
      <c r="N249" s="8"/>
      <c r="O249" s="8"/>
      <c r="P249" s="8"/>
      <c r="Q249" s="8"/>
      <c r="R249" s="6"/>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v>0</v>
      </c>
      <c r="BT249" s="8"/>
      <c r="BU249" s="2">
        <f t="shared" si="2"/>
        <v>0</v>
      </c>
      <c r="BV249" s="2">
        <f t="shared" si="3"/>
        <v>0</v>
      </c>
      <c r="BW249" s="2">
        <f t="shared" si="4"/>
        <v>0</v>
      </c>
      <c r="BX249" s="2">
        <f t="shared" si="5"/>
        <v>0</v>
      </c>
      <c r="BY249" s="2">
        <f t="shared" si="6"/>
        <v>0</v>
      </c>
      <c r="BZ249" s="2">
        <f t="shared" ref="BZ249:CA249" si="377">SUM(AQ249)</f>
        <v>0</v>
      </c>
      <c r="CA249" s="2">
        <f t="shared" si="377"/>
        <v>0</v>
      </c>
      <c r="CB249" s="2">
        <f t="shared" si="8"/>
        <v>0</v>
      </c>
    </row>
    <row r="250" spans="1:80" ht="16" x14ac:dyDescent="0.2">
      <c r="A250" s="3" t="s">
        <v>127</v>
      </c>
      <c r="B250" s="10">
        <v>348</v>
      </c>
      <c r="C250" s="5">
        <v>1</v>
      </c>
      <c r="D250" s="10">
        <v>1</v>
      </c>
      <c r="E250" s="5">
        <v>0</v>
      </c>
      <c r="F250" s="10">
        <v>2019</v>
      </c>
      <c r="G250" s="10" t="s">
        <v>74</v>
      </c>
      <c r="H250" s="7" t="str">
        <f t="shared" si="0"/>
        <v>No</v>
      </c>
      <c r="I250" s="54" t="s">
        <v>55</v>
      </c>
      <c r="J250" s="8">
        <v>0</v>
      </c>
      <c r="K250" s="8"/>
      <c r="L250" s="8"/>
      <c r="M250" s="8"/>
      <c r="N250" s="8"/>
      <c r="O250" s="8"/>
      <c r="P250" s="8"/>
      <c r="Q250" s="8"/>
      <c r="R250" s="6"/>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v>0</v>
      </c>
      <c r="BT250" s="8"/>
      <c r="BU250" s="2">
        <f t="shared" si="2"/>
        <v>0</v>
      </c>
      <c r="BV250" s="2">
        <f t="shared" si="3"/>
        <v>0</v>
      </c>
      <c r="BW250" s="2">
        <f t="shared" si="4"/>
        <v>0</v>
      </c>
      <c r="BX250" s="2">
        <f t="shared" si="5"/>
        <v>0</v>
      </c>
      <c r="BY250" s="2">
        <f t="shared" si="6"/>
        <v>0</v>
      </c>
      <c r="BZ250" s="2">
        <f t="shared" ref="BZ250:CA250" si="378">SUM(AQ250)</f>
        <v>0</v>
      </c>
      <c r="CA250" s="2">
        <f t="shared" si="378"/>
        <v>0</v>
      </c>
      <c r="CB250" s="2">
        <f t="shared" si="8"/>
        <v>0</v>
      </c>
    </row>
    <row r="251" spans="1:80" ht="16" x14ac:dyDescent="0.2">
      <c r="A251" s="3" t="s">
        <v>127</v>
      </c>
      <c r="B251" s="10">
        <v>348</v>
      </c>
      <c r="C251" s="5">
        <v>1</v>
      </c>
      <c r="D251" s="10">
        <v>1</v>
      </c>
      <c r="E251" s="5">
        <v>0</v>
      </c>
      <c r="F251" s="10">
        <v>2019</v>
      </c>
      <c r="G251" s="10" t="s">
        <v>75</v>
      </c>
      <c r="H251" s="7" t="str">
        <f t="shared" si="0"/>
        <v>No</v>
      </c>
      <c r="I251" s="54" t="s">
        <v>55</v>
      </c>
      <c r="J251" s="8">
        <v>0</v>
      </c>
      <c r="K251" s="8"/>
      <c r="L251" s="8"/>
      <c r="M251" s="8"/>
      <c r="N251" s="8"/>
      <c r="O251" s="8"/>
      <c r="P251" s="8"/>
      <c r="Q251" s="8"/>
      <c r="R251" s="6"/>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v>0</v>
      </c>
      <c r="BT251" s="8"/>
      <c r="BU251" s="2">
        <f t="shared" si="2"/>
        <v>0</v>
      </c>
      <c r="BV251" s="2">
        <f t="shared" si="3"/>
        <v>0</v>
      </c>
      <c r="BW251" s="2">
        <f t="shared" si="4"/>
        <v>0</v>
      </c>
      <c r="BX251" s="2">
        <f t="shared" si="5"/>
        <v>0</v>
      </c>
      <c r="BY251" s="2">
        <f t="shared" si="6"/>
        <v>0</v>
      </c>
      <c r="BZ251" s="2">
        <f t="shared" ref="BZ251:CA251" si="379">SUM(AQ251)</f>
        <v>0</v>
      </c>
      <c r="CA251" s="2">
        <f t="shared" si="379"/>
        <v>0</v>
      </c>
      <c r="CB251" s="2">
        <f t="shared" si="8"/>
        <v>0</v>
      </c>
    </row>
    <row r="252" spans="1:80" ht="16" x14ac:dyDescent="0.2">
      <c r="A252" s="3" t="s">
        <v>127</v>
      </c>
      <c r="B252" s="10">
        <v>348</v>
      </c>
      <c r="C252" s="5">
        <v>1</v>
      </c>
      <c r="D252" s="10">
        <v>1</v>
      </c>
      <c r="E252" s="5">
        <v>0</v>
      </c>
      <c r="F252" s="10">
        <v>2019</v>
      </c>
      <c r="G252" s="10" t="s">
        <v>76</v>
      </c>
      <c r="H252" s="7" t="str">
        <f t="shared" si="0"/>
        <v>No</v>
      </c>
      <c r="I252" s="54" t="s">
        <v>55</v>
      </c>
      <c r="J252" s="8">
        <v>0</v>
      </c>
      <c r="K252" s="8"/>
      <c r="L252" s="8"/>
      <c r="M252" s="8"/>
      <c r="N252" s="8"/>
      <c r="O252" s="8"/>
      <c r="P252" s="8"/>
      <c r="Q252" s="8"/>
      <c r="R252" s="6"/>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v>0</v>
      </c>
      <c r="BT252" s="8"/>
      <c r="BU252" s="2">
        <f t="shared" si="2"/>
        <v>0</v>
      </c>
      <c r="BV252" s="2">
        <f t="shared" si="3"/>
        <v>0</v>
      </c>
      <c r="BW252" s="2">
        <f t="shared" si="4"/>
        <v>0</v>
      </c>
      <c r="BX252" s="2">
        <f t="shared" si="5"/>
        <v>0</v>
      </c>
      <c r="BY252" s="2">
        <f t="shared" si="6"/>
        <v>0</v>
      </c>
      <c r="BZ252" s="2">
        <f t="shared" ref="BZ252:CA252" si="380">SUM(AQ252)</f>
        <v>0</v>
      </c>
      <c r="CA252" s="2">
        <f t="shared" si="380"/>
        <v>0</v>
      </c>
      <c r="CB252" s="2">
        <f t="shared" si="8"/>
        <v>0</v>
      </c>
    </row>
    <row r="253" spans="1:80" ht="16" x14ac:dyDescent="0.2">
      <c r="A253" s="3" t="s">
        <v>127</v>
      </c>
      <c r="B253" s="10">
        <v>348</v>
      </c>
      <c r="C253" s="5">
        <v>1</v>
      </c>
      <c r="D253" s="10">
        <v>1</v>
      </c>
      <c r="E253" s="5">
        <v>0</v>
      </c>
      <c r="F253" s="10">
        <v>2019</v>
      </c>
      <c r="G253" s="10" t="s">
        <v>77</v>
      </c>
      <c r="H253" s="7" t="str">
        <f t="shared" si="0"/>
        <v>No</v>
      </c>
      <c r="I253" s="54" t="s">
        <v>55</v>
      </c>
      <c r="J253" s="8">
        <v>0</v>
      </c>
      <c r="K253" s="8"/>
      <c r="L253" s="8"/>
      <c r="M253" s="8"/>
      <c r="N253" s="8"/>
      <c r="O253" s="8"/>
      <c r="P253" s="8"/>
      <c r="Q253" s="8"/>
      <c r="R253" s="6"/>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v>0</v>
      </c>
      <c r="BT253" s="8"/>
      <c r="BU253" s="2">
        <f t="shared" si="2"/>
        <v>0</v>
      </c>
      <c r="BV253" s="2">
        <f t="shared" si="3"/>
        <v>0</v>
      </c>
      <c r="BW253" s="2">
        <f t="shared" si="4"/>
        <v>0</v>
      </c>
      <c r="BX253" s="2">
        <f t="shared" si="5"/>
        <v>0</v>
      </c>
      <c r="BY253" s="2">
        <f t="shared" si="6"/>
        <v>0</v>
      </c>
      <c r="BZ253" s="2">
        <f t="shared" ref="BZ253:CA253" si="381">SUM(AQ253)</f>
        <v>0</v>
      </c>
      <c r="CA253" s="2">
        <f t="shared" si="381"/>
        <v>0</v>
      </c>
      <c r="CB253" s="2">
        <f t="shared" si="8"/>
        <v>0</v>
      </c>
    </row>
    <row r="254" spans="1:80" ht="16" x14ac:dyDescent="0.2">
      <c r="A254" s="3" t="s">
        <v>127</v>
      </c>
      <c r="B254" s="10">
        <v>348</v>
      </c>
      <c r="C254" s="5">
        <v>1</v>
      </c>
      <c r="D254" s="10">
        <v>1</v>
      </c>
      <c r="E254" s="5">
        <v>0</v>
      </c>
      <c r="F254" s="10">
        <v>2019</v>
      </c>
      <c r="G254" s="10" t="s">
        <v>78</v>
      </c>
      <c r="H254" s="7" t="str">
        <f t="shared" si="0"/>
        <v>Yes</v>
      </c>
      <c r="I254" s="54" t="s">
        <v>56</v>
      </c>
      <c r="J254" s="8">
        <v>1</v>
      </c>
      <c r="K254" s="8" t="s">
        <v>63</v>
      </c>
      <c r="L254" s="8" t="s">
        <v>64</v>
      </c>
      <c r="M254" s="8" t="s">
        <v>64</v>
      </c>
      <c r="N254" s="8">
        <v>0</v>
      </c>
      <c r="O254" s="8">
        <v>1</v>
      </c>
      <c r="P254" s="8">
        <v>0</v>
      </c>
      <c r="Q254" s="8" t="s">
        <v>101</v>
      </c>
      <c r="R254" s="9">
        <v>0.1</v>
      </c>
      <c r="S254" s="8">
        <v>0</v>
      </c>
      <c r="T254" s="8">
        <v>0</v>
      </c>
      <c r="U254" s="8">
        <v>1</v>
      </c>
      <c r="V254" s="8">
        <v>1</v>
      </c>
      <c r="W254" s="8">
        <v>1</v>
      </c>
      <c r="X254" s="8">
        <v>0</v>
      </c>
      <c r="Y254" s="8">
        <v>0</v>
      </c>
      <c r="Z254" s="8">
        <v>0</v>
      </c>
      <c r="AA254" s="8" t="s">
        <v>128</v>
      </c>
      <c r="AB254" s="8">
        <v>0</v>
      </c>
      <c r="AC254" s="8">
        <v>0</v>
      </c>
      <c r="AD254" s="8">
        <v>0</v>
      </c>
      <c r="AE254" s="8">
        <v>0</v>
      </c>
      <c r="AF254" s="8">
        <v>1</v>
      </c>
      <c r="AG254" s="8">
        <v>0.5</v>
      </c>
      <c r="AH254" s="8">
        <v>0</v>
      </c>
      <c r="AI254" s="8">
        <v>1</v>
      </c>
      <c r="AJ254" s="8">
        <v>1</v>
      </c>
      <c r="AK254" s="8">
        <v>1</v>
      </c>
      <c r="AL254" s="8">
        <v>0</v>
      </c>
      <c r="AM254" s="8">
        <v>1</v>
      </c>
      <c r="AN254" s="8">
        <v>0</v>
      </c>
      <c r="AO254" s="8">
        <v>0</v>
      </c>
      <c r="AP254" s="8">
        <v>0</v>
      </c>
      <c r="AQ254" s="8">
        <v>1</v>
      </c>
      <c r="AR254" s="8">
        <v>0</v>
      </c>
      <c r="AS254" s="8">
        <v>0</v>
      </c>
      <c r="AT254" s="8">
        <v>0</v>
      </c>
      <c r="AU254" s="8">
        <v>1</v>
      </c>
      <c r="AV254" s="8">
        <v>0</v>
      </c>
      <c r="AW254" s="8">
        <v>0</v>
      </c>
      <c r="AX254" s="8">
        <v>0</v>
      </c>
      <c r="AY254" s="8">
        <v>0</v>
      </c>
      <c r="AZ254" s="8">
        <v>0</v>
      </c>
      <c r="BA254" s="8">
        <v>0</v>
      </c>
      <c r="BB254" s="8">
        <v>0</v>
      </c>
      <c r="BC254" s="8">
        <v>0</v>
      </c>
      <c r="BD254" s="8">
        <v>0</v>
      </c>
      <c r="BE254" s="8">
        <v>0</v>
      </c>
      <c r="BF254" s="8">
        <v>0</v>
      </c>
      <c r="BG254" s="8">
        <v>0</v>
      </c>
      <c r="BH254" s="8">
        <v>0</v>
      </c>
      <c r="BI254" s="8">
        <v>1</v>
      </c>
      <c r="BJ254" s="8">
        <v>0</v>
      </c>
      <c r="BK254" s="8">
        <v>0</v>
      </c>
      <c r="BL254" s="8">
        <v>0</v>
      </c>
      <c r="BM254" s="8">
        <v>0</v>
      </c>
      <c r="BN254" s="8">
        <v>0</v>
      </c>
      <c r="BO254" s="8">
        <v>0</v>
      </c>
      <c r="BP254" s="8">
        <v>0</v>
      </c>
      <c r="BQ254" s="8">
        <v>0</v>
      </c>
      <c r="BR254" s="8">
        <v>0</v>
      </c>
      <c r="BS254" s="8">
        <f t="shared" ref="BS254:BS257" si="382">SUM(AI254:BR254)</f>
        <v>7</v>
      </c>
      <c r="BT254" s="8"/>
      <c r="BU254" s="2">
        <f t="shared" si="2"/>
        <v>1</v>
      </c>
      <c r="BV254" s="2">
        <f t="shared" si="3"/>
        <v>3</v>
      </c>
      <c r="BW254" s="2">
        <f t="shared" si="4"/>
        <v>0</v>
      </c>
      <c r="BX254" s="2">
        <f t="shared" si="5"/>
        <v>2</v>
      </c>
      <c r="BY254" s="2">
        <f t="shared" si="6"/>
        <v>0</v>
      </c>
      <c r="BZ254" s="2">
        <f t="shared" ref="BZ254:CA254" si="383">SUM(AQ254)</f>
        <v>1</v>
      </c>
      <c r="CA254" s="2">
        <f t="shared" si="383"/>
        <v>0</v>
      </c>
      <c r="CB254" s="2">
        <f t="shared" si="8"/>
        <v>0</v>
      </c>
    </row>
    <row r="255" spans="1:80" ht="15" customHeight="1" x14ac:dyDescent="0.2">
      <c r="A255" s="3" t="s">
        <v>127</v>
      </c>
      <c r="B255" s="10">
        <v>348</v>
      </c>
      <c r="C255" s="5">
        <v>1</v>
      </c>
      <c r="D255" s="10">
        <v>1</v>
      </c>
      <c r="E255" s="5">
        <v>0</v>
      </c>
      <c r="F255" s="10">
        <v>2019</v>
      </c>
      <c r="G255" s="10" t="s">
        <v>79</v>
      </c>
      <c r="H255" s="7" t="str">
        <f t="shared" si="0"/>
        <v>Yes</v>
      </c>
      <c r="I255" s="54" t="s">
        <v>56</v>
      </c>
      <c r="J255" s="8">
        <v>2</v>
      </c>
      <c r="K255" s="8" t="s">
        <v>63</v>
      </c>
      <c r="L255" s="8" t="s">
        <v>64</v>
      </c>
      <c r="M255" s="8" t="s">
        <v>64</v>
      </c>
      <c r="N255" s="8">
        <v>0</v>
      </c>
      <c r="O255" s="8">
        <v>1</v>
      </c>
      <c r="P255" s="8">
        <v>0</v>
      </c>
      <c r="Q255" s="8" t="s">
        <v>65</v>
      </c>
      <c r="R255" s="9">
        <v>0.1</v>
      </c>
      <c r="S255" s="8">
        <v>1</v>
      </c>
      <c r="T255" s="8">
        <v>0</v>
      </c>
      <c r="U255" s="8">
        <v>0</v>
      </c>
      <c r="V255" s="8">
        <v>1</v>
      </c>
      <c r="W255" s="8">
        <v>1</v>
      </c>
      <c r="X255" s="8">
        <v>0</v>
      </c>
      <c r="Y255" s="8">
        <v>0</v>
      </c>
      <c r="Z255" s="8">
        <v>0</v>
      </c>
      <c r="AA255" s="8" t="s">
        <v>129</v>
      </c>
      <c r="AB255" s="8">
        <v>0</v>
      </c>
      <c r="AC255" s="8">
        <v>0</v>
      </c>
      <c r="AD255" s="8">
        <v>1</v>
      </c>
      <c r="AE255" s="8">
        <v>0</v>
      </c>
      <c r="AF255" s="8">
        <v>1</v>
      </c>
      <c r="AG255" s="8">
        <v>0.5</v>
      </c>
      <c r="AH255" s="8">
        <v>1</v>
      </c>
      <c r="AI255" s="8">
        <v>1</v>
      </c>
      <c r="AJ255" s="8">
        <v>1</v>
      </c>
      <c r="AK255" s="8">
        <v>1</v>
      </c>
      <c r="AL255" s="8">
        <v>1</v>
      </c>
      <c r="AM255" s="8">
        <v>1</v>
      </c>
      <c r="AN255" s="8">
        <v>1</v>
      </c>
      <c r="AO255" s="8">
        <v>0</v>
      </c>
      <c r="AP255" s="8">
        <v>1</v>
      </c>
      <c r="AQ255" s="8">
        <v>1</v>
      </c>
      <c r="AR255" s="8">
        <v>1</v>
      </c>
      <c r="AS255" s="8">
        <v>0</v>
      </c>
      <c r="AT255" s="8">
        <v>0</v>
      </c>
      <c r="AU255" s="8">
        <v>1</v>
      </c>
      <c r="AV255" s="8">
        <v>0</v>
      </c>
      <c r="AW255" s="8">
        <v>1</v>
      </c>
      <c r="AX255" s="8">
        <v>0</v>
      </c>
      <c r="AY255" s="8">
        <v>1</v>
      </c>
      <c r="AZ255" s="8">
        <v>0</v>
      </c>
      <c r="BA255" s="8">
        <v>0</v>
      </c>
      <c r="BB255" s="8">
        <v>1</v>
      </c>
      <c r="BC255" s="8">
        <v>0</v>
      </c>
      <c r="BD255" s="8">
        <v>0</v>
      </c>
      <c r="BE255" s="8">
        <v>1</v>
      </c>
      <c r="BF255" s="8">
        <v>0</v>
      </c>
      <c r="BG255" s="8">
        <v>0</v>
      </c>
      <c r="BH255" s="8">
        <v>0</v>
      </c>
      <c r="BI255" s="8">
        <v>0</v>
      </c>
      <c r="BJ255" s="8">
        <v>0</v>
      </c>
      <c r="BK255" s="8">
        <v>0</v>
      </c>
      <c r="BL255" s="8">
        <v>0</v>
      </c>
      <c r="BM255" s="8">
        <v>0</v>
      </c>
      <c r="BN255" s="8">
        <v>0</v>
      </c>
      <c r="BO255" s="8">
        <v>0</v>
      </c>
      <c r="BP255" s="8">
        <v>0</v>
      </c>
      <c r="BQ255" s="8">
        <v>0</v>
      </c>
      <c r="BR255" s="8">
        <v>0</v>
      </c>
      <c r="BS255" s="8">
        <f t="shared" si="382"/>
        <v>14</v>
      </c>
      <c r="BT255" s="8"/>
      <c r="BU255" s="2">
        <f t="shared" si="2"/>
        <v>1</v>
      </c>
      <c r="BV255" s="2">
        <f t="shared" si="3"/>
        <v>5</v>
      </c>
      <c r="BW255" s="2">
        <f t="shared" si="4"/>
        <v>1</v>
      </c>
      <c r="BX255" s="2">
        <f t="shared" si="5"/>
        <v>5</v>
      </c>
      <c r="BY255" s="2">
        <f t="shared" si="6"/>
        <v>0</v>
      </c>
      <c r="BZ255" s="2">
        <f t="shared" ref="BZ255:BZ302" si="384">SUM(AQ255)</f>
        <v>1</v>
      </c>
      <c r="CA255" s="2">
        <f t="shared" ref="CA255" si="385">SUM(AR255)</f>
        <v>1</v>
      </c>
      <c r="CB255" s="2">
        <f t="shared" si="8"/>
        <v>0</v>
      </c>
    </row>
    <row r="256" spans="1:80" ht="15" customHeight="1" x14ac:dyDescent="0.2">
      <c r="A256" s="3" t="s">
        <v>127</v>
      </c>
      <c r="B256" s="10">
        <v>348</v>
      </c>
      <c r="C256" s="5">
        <v>1</v>
      </c>
      <c r="D256" s="10">
        <v>1</v>
      </c>
      <c r="E256" s="5">
        <v>0</v>
      </c>
      <c r="F256" s="10">
        <v>2019</v>
      </c>
      <c r="G256" s="10" t="s">
        <v>80</v>
      </c>
      <c r="H256" s="7" t="str">
        <f t="shared" si="0"/>
        <v>No</v>
      </c>
      <c r="I256" s="54" t="s">
        <v>55</v>
      </c>
      <c r="J256" s="8">
        <v>2</v>
      </c>
      <c r="K256" s="8" t="s">
        <v>63</v>
      </c>
      <c r="L256" s="8" t="s">
        <v>64</v>
      </c>
      <c r="M256" s="8" t="s">
        <v>64</v>
      </c>
      <c r="N256" s="8">
        <v>0</v>
      </c>
      <c r="O256" s="8">
        <v>1</v>
      </c>
      <c r="P256" s="8">
        <v>0</v>
      </c>
      <c r="Q256" s="8" t="s">
        <v>65</v>
      </c>
      <c r="R256" s="9">
        <v>0.1</v>
      </c>
      <c r="S256" s="8">
        <v>1</v>
      </c>
      <c r="T256" s="8">
        <v>0</v>
      </c>
      <c r="U256" s="8">
        <v>0</v>
      </c>
      <c r="V256" s="8">
        <v>1</v>
      </c>
      <c r="W256" s="8">
        <v>1</v>
      </c>
      <c r="X256" s="8">
        <v>0</v>
      </c>
      <c r="Y256" s="8">
        <v>0</v>
      </c>
      <c r="Z256" s="8">
        <v>0</v>
      </c>
      <c r="AA256" s="8" t="s">
        <v>129</v>
      </c>
      <c r="AB256" s="8">
        <v>0</v>
      </c>
      <c r="AC256" s="8">
        <v>0</v>
      </c>
      <c r="AD256" s="8">
        <v>1</v>
      </c>
      <c r="AE256" s="8">
        <v>0</v>
      </c>
      <c r="AF256" s="8">
        <v>1</v>
      </c>
      <c r="AG256" s="8">
        <v>0.5</v>
      </c>
      <c r="AH256" s="8">
        <v>1</v>
      </c>
      <c r="AI256" s="8">
        <v>1</v>
      </c>
      <c r="AJ256" s="8">
        <v>1</v>
      </c>
      <c r="AK256" s="8">
        <v>1</v>
      </c>
      <c r="AL256" s="8">
        <v>1</v>
      </c>
      <c r="AM256" s="8">
        <v>1</v>
      </c>
      <c r="AN256" s="8">
        <v>1</v>
      </c>
      <c r="AO256" s="8">
        <v>0</v>
      </c>
      <c r="AP256" s="8">
        <v>1</v>
      </c>
      <c r="AQ256" s="8">
        <v>1</v>
      </c>
      <c r="AR256" s="8">
        <v>1</v>
      </c>
      <c r="AS256" s="8">
        <v>0</v>
      </c>
      <c r="AT256" s="8">
        <v>0</v>
      </c>
      <c r="AU256" s="8">
        <v>1</v>
      </c>
      <c r="AV256" s="8">
        <v>0</v>
      </c>
      <c r="AW256" s="8">
        <v>1</v>
      </c>
      <c r="AX256" s="8">
        <v>0</v>
      </c>
      <c r="AY256" s="8">
        <v>1</v>
      </c>
      <c r="AZ256" s="8">
        <v>0</v>
      </c>
      <c r="BA256" s="8">
        <v>0</v>
      </c>
      <c r="BB256" s="8">
        <v>1</v>
      </c>
      <c r="BC256" s="8">
        <v>0</v>
      </c>
      <c r="BD256" s="8">
        <v>0</v>
      </c>
      <c r="BE256" s="8">
        <v>1</v>
      </c>
      <c r="BF256" s="8">
        <v>0</v>
      </c>
      <c r="BG256" s="8">
        <v>0</v>
      </c>
      <c r="BH256" s="8">
        <v>0</v>
      </c>
      <c r="BI256" s="8">
        <v>0</v>
      </c>
      <c r="BJ256" s="8">
        <v>0</v>
      </c>
      <c r="BK256" s="8">
        <v>0</v>
      </c>
      <c r="BL256" s="8">
        <v>0</v>
      </c>
      <c r="BM256" s="8">
        <v>0</v>
      </c>
      <c r="BN256" s="8">
        <v>0</v>
      </c>
      <c r="BO256" s="8">
        <v>0</v>
      </c>
      <c r="BP256" s="8">
        <v>0</v>
      </c>
      <c r="BQ256" s="8">
        <v>0</v>
      </c>
      <c r="BR256" s="8">
        <v>0</v>
      </c>
      <c r="BS256" s="8">
        <f t="shared" si="382"/>
        <v>14</v>
      </c>
      <c r="BT256" s="8"/>
      <c r="BU256" s="2">
        <f t="shared" si="2"/>
        <v>1</v>
      </c>
      <c r="BV256" s="2">
        <f t="shared" si="3"/>
        <v>5</v>
      </c>
      <c r="BW256" s="2">
        <f t="shared" si="4"/>
        <v>1</v>
      </c>
      <c r="BX256" s="2">
        <f t="shared" si="5"/>
        <v>5</v>
      </c>
      <c r="BY256" s="2">
        <f t="shared" ref="BY256:BY298" si="386">SUM(BP256, BN256)</f>
        <v>0</v>
      </c>
      <c r="BZ256" s="2">
        <f t="shared" si="384"/>
        <v>1</v>
      </c>
      <c r="CA256" s="2">
        <f t="shared" ref="CA256:CA287" si="387">SUM(AR256)</f>
        <v>1</v>
      </c>
      <c r="CB256" s="2">
        <f t="shared" ref="CB256:CB287" si="388">SUM(AT256)</f>
        <v>0</v>
      </c>
    </row>
    <row r="257" spans="1:80" ht="16" x14ac:dyDescent="0.2">
      <c r="A257" s="3" t="s">
        <v>127</v>
      </c>
      <c r="B257" s="10">
        <v>348</v>
      </c>
      <c r="C257" s="5">
        <v>1</v>
      </c>
      <c r="D257" s="10">
        <v>1</v>
      </c>
      <c r="E257" s="5">
        <v>0</v>
      </c>
      <c r="F257" s="10">
        <v>2019</v>
      </c>
      <c r="G257" s="10">
        <v>2022</v>
      </c>
      <c r="H257" s="7" t="str">
        <f t="shared" si="0"/>
        <v>Yes</v>
      </c>
      <c r="I257" s="54" t="s">
        <v>56</v>
      </c>
      <c r="J257" s="8">
        <v>2</v>
      </c>
      <c r="K257" s="8" t="s">
        <v>63</v>
      </c>
      <c r="L257" s="8" t="s">
        <v>64</v>
      </c>
      <c r="M257" s="8" t="s">
        <v>64</v>
      </c>
      <c r="N257" s="8">
        <v>0</v>
      </c>
      <c r="O257" s="8">
        <v>1</v>
      </c>
      <c r="P257" s="8">
        <v>0</v>
      </c>
      <c r="Q257" s="8" t="s">
        <v>65</v>
      </c>
      <c r="R257" s="9">
        <v>0.1</v>
      </c>
      <c r="S257" s="8">
        <v>1</v>
      </c>
      <c r="T257" s="8">
        <v>0</v>
      </c>
      <c r="U257" s="8">
        <v>0</v>
      </c>
      <c r="V257" s="8">
        <v>1</v>
      </c>
      <c r="W257" s="8">
        <v>1</v>
      </c>
      <c r="X257" s="8">
        <v>0</v>
      </c>
      <c r="Y257" s="8">
        <v>0</v>
      </c>
      <c r="Z257" s="8">
        <v>0</v>
      </c>
      <c r="AA257" s="8" t="s">
        <v>130</v>
      </c>
      <c r="AB257" s="8">
        <v>0</v>
      </c>
      <c r="AC257" s="8">
        <v>0</v>
      </c>
      <c r="AD257" s="8">
        <v>1</v>
      </c>
      <c r="AE257" s="8">
        <v>0</v>
      </c>
      <c r="AF257" s="8">
        <v>1</v>
      </c>
      <c r="AG257" s="8">
        <v>0.5</v>
      </c>
      <c r="AH257" s="8">
        <v>1</v>
      </c>
      <c r="AI257" s="8">
        <v>1</v>
      </c>
      <c r="AJ257" s="8">
        <v>1</v>
      </c>
      <c r="AK257" s="8">
        <v>1</v>
      </c>
      <c r="AL257" s="8">
        <v>1</v>
      </c>
      <c r="AM257" s="8">
        <v>1</v>
      </c>
      <c r="AN257" s="8">
        <v>1</v>
      </c>
      <c r="AO257" s="8">
        <v>0</v>
      </c>
      <c r="AP257" s="8">
        <v>1</v>
      </c>
      <c r="AQ257" s="8">
        <v>1</v>
      </c>
      <c r="AR257" s="8">
        <v>1</v>
      </c>
      <c r="AS257" s="8">
        <v>0</v>
      </c>
      <c r="AT257" s="8">
        <v>0</v>
      </c>
      <c r="AU257" s="8">
        <v>1</v>
      </c>
      <c r="AV257" s="8">
        <v>0</v>
      </c>
      <c r="AW257" s="8">
        <v>1</v>
      </c>
      <c r="AX257" s="8">
        <v>0</v>
      </c>
      <c r="AY257" s="8">
        <v>1</v>
      </c>
      <c r="AZ257" s="8">
        <v>0</v>
      </c>
      <c r="BA257" s="8">
        <v>0</v>
      </c>
      <c r="BB257" s="8">
        <v>1</v>
      </c>
      <c r="BC257" s="8">
        <v>0</v>
      </c>
      <c r="BD257" s="8">
        <v>0</v>
      </c>
      <c r="BE257" s="8">
        <v>1</v>
      </c>
      <c r="BF257" s="8">
        <v>0</v>
      </c>
      <c r="BG257" s="8">
        <v>0</v>
      </c>
      <c r="BH257" s="8">
        <v>0</v>
      </c>
      <c r="BI257" s="8">
        <v>0</v>
      </c>
      <c r="BJ257" s="8">
        <v>0</v>
      </c>
      <c r="BK257" s="8">
        <v>0</v>
      </c>
      <c r="BL257" s="8">
        <v>0</v>
      </c>
      <c r="BM257" s="8">
        <v>0</v>
      </c>
      <c r="BN257" s="8">
        <v>0</v>
      </c>
      <c r="BO257" s="8">
        <v>0</v>
      </c>
      <c r="BP257" s="8">
        <v>0</v>
      </c>
      <c r="BQ257" s="8">
        <v>0</v>
      </c>
      <c r="BR257" s="8">
        <v>0</v>
      </c>
      <c r="BS257" s="8">
        <f t="shared" si="382"/>
        <v>14</v>
      </c>
      <c r="BT257" s="8"/>
      <c r="BU257" s="2">
        <f t="shared" si="2"/>
        <v>1</v>
      </c>
      <c r="BV257" s="2">
        <f t="shared" si="3"/>
        <v>5</v>
      </c>
      <c r="BW257" s="2">
        <f t="shared" si="4"/>
        <v>1</v>
      </c>
      <c r="BX257" s="2">
        <f t="shared" si="5"/>
        <v>5</v>
      </c>
      <c r="BY257" s="2">
        <f t="shared" si="386"/>
        <v>0</v>
      </c>
      <c r="BZ257" s="2">
        <f t="shared" si="384"/>
        <v>1</v>
      </c>
      <c r="CA257" s="2">
        <f t="shared" si="387"/>
        <v>1</v>
      </c>
      <c r="CB257" s="2">
        <f t="shared" si="388"/>
        <v>0</v>
      </c>
    </row>
    <row r="258" spans="1:80" ht="16" x14ac:dyDescent="0.2">
      <c r="A258" s="3" t="s">
        <v>127</v>
      </c>
      <c r="B258" s="10">
        <v>348</v>
      </c>
      <c r="C258" s="5">
        <v>1</v>
      </c>
      <c r="D258" s="10">
        <v>1</v>
      </c>
      <c r="E258" s="5">
        <v>0</v>
      </c>
      <c r="F258" s="10">
        <v>2019</v>
      </c>
      <c r="G258" s="10">
        <v>2023</v>
      </c>
      <c r="H258" s="7" t="s">
        <v>98</v>
      </c>
      <c r="I258" s="54" t="s">
        <v>55</v>
      </c>
      <c r="J258" s="8">
        <v>2</v>
      </c>
      <c r="K258" s="8" t="s">
        <v>63</v>
      </c>
      <c r="L258" s="8" t="s">
        <v>64</v>
      </c>
      <c r="M258" s="8" t="s">
        <v>64</v>
      </c>
      <c r="N258" s="8">
        <v>0</v>
      </c>
      <c r="O258" s="8">
        <v>1</v>
      </c>
      <c r="P258" s="8">
        <v>0</v>
      </c>
      <c r="Q258" s="8" t="s">
        <v>65</v>
      </c>
      <c r="R258" s="9">
        <v>0.1</v>
      </c>
      <c r="S258" s="8">
        <v>1</v>
      </c>
      <c r="T258" s="8">
        <v>0</v>
      </c>
      <c r="U258" s="8">
        <v>0</v>
      </c>
      <c r="V258" s="8">
        <v>1</v>
      </c>
      <c r="W258" s="8">
        <v>1</v>
      </c>
      <c r="X258" s="8">
        <v>0</v>
      </c>
      <c r="Y258" s="8">
        <v>0</v>
      </c>
      <c r="Z258" s="8">
        <v>0</v>
      </c>
      <c r="AA258" s="8" t="s">
        <v>130</v>
      </c>
      <c r="AB258" s="8">
        <v>0</v>
      </c>
      <c r="AC258" s="8">
        <v>0</v>
      </c>
      <c r="AD258" s="8">
        <v>1</v>
      </c>
      <c r="AE258" s="8">
        <v>0</v>
      </c>
      <c r="AF258" s="8">
        <v>1</v>
      </c>
      <c r="AG258" s="8">
        <v>0.5</v>
      </c>
      <c r="AH258" s="8">
        <v>1</v>
      </c>
      <c r="AI258" s="8">
        <v>1</v>
      </c>
      <c r="AJ258" s="8">
        <v>1</v>
      </c>
      <c r="AK258" s="8">
        <v>1</v>
      </c>
      <c r="AL258" s="8">
        <v>1</v>
      </c>
      <c r="AM258" s="8">
        <v>1</v>
      </c>
      <c r="AN258" s="8">
        <v>1</v>
      </c>
      <c r="AO258" s="8">
        <v>0</v>
      </c>
      <c r="AP258" s="8">
        <v>1</v>
      </c>
      <c r="AQ258" s="8">
        <v>1</v>
      </c>
      <c r="AR258" s="8">
        <v>1</v>
      </c>
      <c r="AS258" s="8">
        <v>0</v>
      </c>
      <c r="AT258" s="8">
        <v>0</v>
      </c>
      <c r="AU258" s="8">
        <v>1</v>
      </c>
      <c r="AV258" s="8">
        <v>0</v>
      </c>
      <c r="AW258" s="8">
        <v>1</v>
      </c>
      <c r="AX258" s="8">
        <v>0</v>
      </c>
      <c r="AY258" s="8">
        <v>1</v>
      </c>
      <c r="AZ258" s="8">
        <v>0</v>
      </c>
      <c r="BA258" s="8">
        <v>0</v>
      </c>
      <c r="BB258" s="8">
        <v>1</v>
      </c>
      <c r="BC258" s="8">
        <v>0</v>
      </c>
      <c r="BD258" s="8">
        <v>0</v>
      </c>
      <c r="BE258" s="8">
        <v>1</v>
      </c>
      <c r="BF258" s="8">
        <v>0</v>
      </c>
      <c r="BG258" s="8">
        <v>0</v>
      </c>
      <c r="BH258" s="8">
        <v>0</v>
      </c>
      <c r="BI258" s="8">
        <v>0</v>
      </c>
      <c r="BJ258" s="8">
        <v>0</v>
      </c>
      <c r="BK258" s="8">
        <v>0</v>
      </c>
      <c r="BL258" s="8">
        <v>0</v>
      </c>
      <c r="BM258" s="8">
        <v>0</v>
      </c>
      <c r="BN258" s="8">
        <v>0</v>
      </c>
      <c r="BO258" s="8">
        <v>0</v>
      </c>
      <c r="BP258" s="8">
        <v>0</v>
      </c>
      <c r="BQ258" s="8">
        <v>0</v>
      </c>
      <c r="BR258" s="8">
        <v>0</v>
      </c>
      <c r="BS258" s="8">
        <f t="shared" ref="BS258:BS293" si="389">SUM(AI258:BR258)</f>
        <v>14</v>
      </c>
      <c r="BT258" s="8"/>
      <c r="BU258" s="2">
        <f t="shared" ref="BU258" si="390">SUM(AI258,BK258)</f>
        <v>1</v>
      </c>
      <c r="BV258" s="2">
        <f t="shared" ref="BV258" si="391">SUM(AK258, AL258, AM258,AJ258,BL258,BO258, AP258)</f>
        <v>5</v>
      </c>
      <c r="BW258" s="2">
        <f t="shared" ref="BW258" si="392">SUM(AN258, AO258, AS258)</f>
        <v>1</v>
      </c>
      <c r="BX258" s="2">
        <f t="shared" ref="BX258" si="393">SUM(AU258,AV258,AW258,AX258,AY258,AZ258,BA258,BB258,BC258,BD258,BE258,BF258,BG258,BH258,BI258,BJ258,BQ258,BR258,BM258)</f>
        <v>5</v>
      </c>
      <c r="BY258" s="2">
        <f t="shared" si="386"/>
        <v>0</v>
      </c>
      <c r="BZ258" s="2">
        <f t="shared" si="384"/>
        <v>1</v>
      </c>
      <c r="CA258" s="2">
        <f t="shared" si="387"/>
        <v>1</v>
      </c>
      <c r="CB258" s="2">
        <f t="shared" si="388"/>
        <v>0</v>
      </c>
    </row>
    <row r="259" spans="1:80" ht="16" x14ac:dyDescent="0.2">
      <c r="A259" s="3" t="s">
        <v>131</v>
      </c>
      <c r="B259" s="10">
        <v>352</v>
      </c>
      <c r="C259" s="5">
        <v>1</v>
      </c>
      <c r="D259" s="10">
        <v>1</v>
      </c>
      <c r="E259" s="5">
        <v>0</v>
      </c>
      <c r="F259" s="10"/>
      <c r="G259" s="10" t="s">
        <v>86</v>
      </c>
      <c r="H259" s="7" t="str">
        <f t="shared" si="0"/>
        <v>No</v>
      </c>
      <c r="I259" s="54" t="s">
        <v>55</v>
      </c>
      <c r="J259" s="8">
        <v>0</v>
      </c>
      <c r="K259" s="8"/>
      <c r="L259" s="8"/>
      <c r="M259" s="8"/>
      <c r="N259" s="8"/>
      <c r="O259" s="8"/>
      <c r="P259" s="8"/>
      <c r="Q259" s="8"/>
      <c r="R259" s="6"/>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f t="shared" si="389"/>
        <v>0</v>
      </c>
      <c r="BT259" s="8"/>
      <c r="BU259" s="2">
        <f t="shared" ref="BU259:BU290" si="394">SUM(AI259,BK259)</f>
        <v>0</v>
      </c>
      <c r="BV259" s="2">
        <f t="shared" ref="BV259:BV295" si="395">SUM(AK259, AL259, AM259,AJ259,BL259,BO259, AP259)</f>
        <v>0</v>
      </c>
      <c r="BW259" s="2">
        <f t="shared" ref="BW259:BW296" si="396">SUM(AN259, AO259, AS259)</f>
        <v>0</v>
      </c>
      <c r="BX259" s="2">
        <f t="shared" ref="BX259:BX303" si="397">SUM(AU259,AV259,AW259,AX259,AY259,AZ259,BA259,BB259,BC259,BD259,BE259,BF259,BG259,BH259,BI259,BJ259,BQ259,BR259,BM259)</f>
        <v>0</v>
      </c>
      <c r="BY259" s="2">
        <f t="shared" si="386"/>
        <v>0</v>
      </c>
      <c r="BZ259" s="2">
        <f t="shared" si="384"/>
        <v>0</v>
      </c>
      <c r="CA259" s="2">
        <f t="shared" si="387"/>
        <v>0</v>
      </c>
      <c r="CB259" s="2">
        <f t="shared" si="388"/>
        <v>0</v>
      </c>
    </row>
    <row r="260" spans="1:80" ht="16" x14ac:dyDescent="0.2">
      <c r="A260" s="3" t="s">
        <v>131</v>
      </c>
      <c r="B260" s="10">
        <v>352</v>
      </c>
      <c r="C260" s="5">
        <v>1</v>
      </c>
      <c r="D260" s="10">
        <v>1</v>
      </c>
      <c r="E260" s="5">
        <v>0</v>
      </c>
      <c r="F260" s="10"/>
      <c r="G260" s="10" t="s">
        <v>90</v>
      </c>
      <c r="H260" s="7" t="str">
        <f t="shared" si="0"/>
        <v>No</v>
      </c>
      <c r="I260" s="54" t="s">
        <v>55</v>
      </c>
      <c r="J260" s="8">
        <v>0</v>
      </c>
      <c r="K260" s="8"/>
      <c r="L260" s="8"/>
      <c r="M260" s="8"/>
      <c r="N260" s="8"/>
      <c r="O260" s="8"/>
      <c r="P260" s="8"/>
      <c r="Q260" s="8"/>
      <c r="R260" s="6"/>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f t="shared" si="389"/>
        <v>0</v>
      </c>
      <c r="BT260" s="8"/>
      <c r="BU260" s="2">
        <f t="shared" si="394"/>
        <v>0</v>
      </c>
      <c r="BV260" s="2">
        <f t="shared" si="395"/>
        <v>0</v>
      </c>
      <c r="BW260" s="2">
        <f t="shared" si="396"/>
        <v>0</v>
      </c>
      <c r="BX260" s="2">
        <f t="shared" si="397"/>
        <v>0</v>
      </c>
      <c r="BY260" s="2">
        <f t="shared" si="386"/>
        <v>0</v>
      </c>
      <c r="BZ260" s="2">
        <f t="shared" si="384"/>
        <v>0</v>
      </c>
      <c r="CA260" s="2">
        <f t="shared" si="387"/>
        <v>0</v>
      </c>
      <c r="CB260" s="2">
        <f t="shared" si="388"/>
        <v>0</v>
      </c>
    </row>
    <row r="261" spans="1:80" ht="16" x14ac:dyDescent="0.2">
      <c r="A261" s="3" t="s">
        <v>131</v>
      </c>
      <c r="B261" s="10">
        <v>352</v>
      </c>
      <c r="C261" s="5">
        <v>1</v>
      </c>
      <c r="D261" s="10">
        <v>1</v>
      </c>
      <c r="E261" s="5">
        <v>0</v>
      </c>
      <c r="F261" s="10"/>
      <c r="G261" s="10" t="s">
        <v>91</v>
      </c>
      <c r="H261" s="7" t="str">
        <f t="shared" si="0"/>
        <v>No</v>
      </c>
      <c r="I261" s="54" t="s">
        <v>55</v>
      </c>
      <c r="J261" s="8">
        <v>0</v>
      </c>
      <c r="K261" s="8"/>
      <c r="L261" s="8"/>
      <c r="M261" s="8"/>
      <c r="N261" s="8"/>
      <c r="O261" s="8"/>
      <c r="P261" s="8"/>
      <c r="Q261" s="8"/>
      <c r="R261" s="6"/>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f t="shared" si="389"/>
        <v>0</v>
      </c>
      <c r="BT261" s="8"/>
      <c r="BU261" s="2">
        <f t="shared" si="394"/>
        <v>0</v>
      </c>
      <c r="BV261" s="2">
        <f t="shared" si="395"/>
        <v>0</v>
      </c>
      <c r="BW261" s="2">
        <f t="shared" si="396"/>
        <v>0</v>
      </c>
      <c r="BX261" s="2">
        <f t="shared" si="397"/>
        <v>0</v>
      </c>
      <c r="BY261" s="2">
        <f t="shared" si="386"/>
        <v>0</v>
      </c>
      <c r="BZ261" s="2">
        <f t="shared" si="384"/>
        <v>0</v>
      </c>
      <c r="CA261" s="2">
        <f t="shared" si="387"/>
        <v>0</v>
      </c>
      <c r="CB261" s="2">
        <f t="shared" si="388"/>
        <v>0</v>
      </c>
    </row>
    <row r="262" spans="1:80" ht="16" x14ac:dyDescent="0.2">
      <c r="A262" s="3" t="s">
        <v>131</v>
      </c>
      <c r="B262" s="10">
        <v>352</v>
      </c>
      <c r="C262" s="5">
        <v>1</v>
      </c>
      <c r="D262" s="10">
        <v>1</v>
      </c>
      <c r="E262" s="5">
        <v>0</v>
      </c>
      <c r="F262" s="10"/>
      <c r="G262" s="10" t="s">
        <v>93</v>
      </c>
      <c r="H262" s="7" t="str">
        <f t="shared" si="0"/>
        <v>No</v>
      </c>
      <c r="I262" s="54" t="s">
        <v>55</v>
      </c>
      <c r="J262" s="8">
        <v>0</v>
      </c>
      <c r="K262" s="8"/>
      <c r="L262" s="8"/>
      <c r="M262" s="8"/>
      <c r="N262" s="8"/>
      <c r="O262" s="8"/>
      <c r="P262" s="8"/>
      <c r="Q262" s="8"/>
      <c r="R262" s="6"/>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f t="shared" si="389"/>
        <v>0</v>
      </c>
      <c r="BT262" s="8"/>
      <c r="BU262" s="2">
        <f t="shared" si="394"/>
        <v>0</v>
      </c>
      <c r="BV262" s="2">
        <f t="shared" si="395"/>
        <v>0</v>
      </c>
      <c r="BW262" s="2">
        <f t="shared" si="396"/>
        <v>0</v>
      </c>
      <c r="BX262" s="2">
        <f t="shared" si="397"/>
        <v>0</v>
      </c>
      <c r="BY262" s="2">
        <f t="shared" si="386"/>
        <v>0</v>
      </c>
      <c r="BZ262" s="2">
        <f t="shared" si="384"/>
        <v>0</v>
      </c>
      <c r="CA262" s="2">
        <f t="shared" si="387"/>
        <v>0</v>
      </c>
      <c r="CB262" s="2">
        <f t="shared" si="388"/>
        <v>0</v>
      </c>
    </row>
    <row r="263" spans="1:80" ht="16" x14ac:dyDescent="0.2">
      <c r="A263" s="3" t="s">
        <v>131</v>
      </c>
      <c r="B263" s="10">
        <v>352</v>
      </c>
      <c r="C263" s="5">
        <v>1</v>
      </c>
      <c r="D263" s="10">
        <v>1</v>
      </c>
      <c r="E263" s="5">
        <v>0</v>
      </c>
      <c r="F263" s="10"/>
      <c r="G263" s="10" t="s">
        <v>70</v>
      </c>
      <c r="H263" s="7" t="str">
        <f t="shared" si="0"/>
        <v>No</v>
      </c>
      <c r="I263" s="54" t="s">
        <v>55</v>
      </c>
      <c r="J263" s="8">
        <v>0</v>
      </c>
      <c r="K263" s="8"/>
      <c r="L263" s="8"/>
      <c r="M263" s="8"/>
      <c r="N263" s="8"/>
      <c r="O263" s="8"/>
      <c r="P263" s="8"/>
      <c r="Q263" s="8"/>
      <c r="R263" s="6"/>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f t="shared" si="389"/>
        <v>0</v>
      </c>
      <c r="BT263" s="8"/>
      <c r="BU263" s="2">
        <f t="shared" si="394"/>
        <v>0</v>
      </c>
      <c r="BV263" s="2">
        <f t="shared" si="395"/>
        <v>0</v>
      </c>
      <c r="BW263" s="2">
        <f t="shared" si="396"/>
        <v>0</v>
      </c>
      <c r="BX263" s="2">
        <f t="shared" si="397"/>
        <v>0</v>
      </c>
      <c r="BY263" s="2">
        <f t="shared" si="386"/>
        <v>0</v>
      </c>
      <c r="BZ263" s="2">
        <f t="shared" si="384"/>
        <v>0</v>
      </c>
      <c r="CA263" s="2">
        <f t="shared" si="387"/>
        <v>0</v>
      </c>
      <c r="CB263" s="2">
        <f t="shared" si="388"/>
        <v>0</v>
      </c>
    </row>
    <row r="264" spans="1:80" ht="16" x14ac:dyDescent="0.2">
      <c r="A264" s="3" t="s">
        <v>131</v>
      </c>
      <c r="B264" s="10">
        <v>352</v>
      </c>
      <c r="C264" s="5">
        <v>1</v>
      </c>
      <c r="D264" s="10">
        <v>1</v>
      </c>
      <c r="E264" s="5">
        <v>0</v>
      </c>
      <c r="F264" s="10"/>
      <c r="G264" s="10" t="s">
        <v>71</v>
      </c>
      <c r="H264" s="7" t="str">
        <f t="shared" si="0"/>
        <v>No</v>
      </c>
      <c r="I264" s="54" t="s">
        <v>55</v>
      </c>
      <c r="J264" s="8">
        <v>0</v>
      </c>
      <c r="K264" s="8"/>
      <c r="L264" s="8"/>
      <c r="M264" s="8"/>
      <c r="N264" s="8"/>
      <c r="O264" s="8"/>
      <c r="P264" s="8"/>
      <c r="Q264" s="8"/>
      <c r="R264" s="6"/>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f t="shared" si="389"/>
        <v>0</v>
      </c>
      <c r="BT264" s="8"/>
      <c r="BU264" s="2">
        <f t="shared" si="394"/>
        <v>0</v>
      </c>
      <c r="BV264" s="2">
        <f t="shared" si="395"/>
        <v>0</v>
      </c>
      <c r="BW264" s="2">
        <f t="shared" si="396"/>
        <v>0</v>
      </c>
      <c r="BX264" s="2">
        <f t="shared" si="397"/>
        <v>0</v>
      </c>
      <c r="BY264" s="2">
        <f t="shared" si="386"/>
        <v>0</v>
      </c>
      <c r="BZ264" s="2">
        <f t="shared" si="384"/>
        <v>0</v>
      </c>
      <c r="CA264" s="2">
        <f t="shared" si="387"/>
        <v>0</v>
      </c>
      <c r="CB264" s="2">
        <f t="shared" si="388"/>
        <v>0</v>
      </c>
    </row>
    <row r="265" spans="1:80" ht="16" x14ac:dyDescent="0.2">
      <c r="A265" s="3" t="s">
        <v>131</v>
      </c>
      <c r="B265" s="10">
        <v>352</v>
      </c>
      <c r="C265" s="5">
        <v>1</v>
      </c>
      <c r="D265" s="10">
        <v>1</v>
      </c>
      <c r="E265" s="5">
        <v>0</v>
      </c>
      <c r="F265" s="10"/>
      <c r="G265" s="10" t="s">
        <v>72</v>
      </c>
      <c r="H265" s="7" t="str">
        <f t="shared" si="0"/>
        <v>No</v>
      </c>
      <c r="I265" s="54" t="s">
        <v>55</v>
      </c>
      <c r="J265" s="8">
        <v>0</v>
      </c>
      <c r="K265" s="8"/>
      <c r="L265" s="8"/>
      <c r="M265" s="8"/>
      <c r="N265" s="8"/>
      <c r="O265" s="8"/>
      <c r="P265" s="8"/>
      <c r="Q265" s="8"/>
      <c r="R265" s="6"/>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f t="shared" si="389"/>
        <v>0</v>
      </c>
      <c r="BT265" s="8"/>
      <c r="BU265" s="2">
        <f t="shared" si="394"/>
        <v>0</v>
      </c>
      <c r="BV265" s="2">
        <f t="shared" si="395"/>
        <v>0</v>
      </c>
      <c r="BW265" s="2">
        <f t="shared" si="396"/>
        <v>0</v>
      </c>
      <c r="BX265" s="2">
        <f t="shared" si="397"/>
        <v>0</v>
      </c>
      <c r="BY265" s="2">
        <f t="shared" si="386"/>
        <v>0</v>
      </c>
      <c r="BZ265" s="2">
        <f t="shared" si="384"/>
        <v>0</v>
      </c>
      <c r="CA265" s="2">
        <f t="shared" si="387"/>
        <v>0</v>
      </c>
      <c r="CB265" s="2">
        <f t="shared" si="388"/>
        <v>0</v>
      </c>
    </row>
    <row r="266" spans="1:80" ht="16" x14ac:dyDescent="0.2">
      <c r="A266" s="3" t="s">
        <v>131</v>
      </c>
      <c r="B266" s="10">
        <v>352</v>
      </c>
      <c r="C266" s="5">
        <v>1</v>
      </c>
      <c r="D266" s="10">
        <v>1</v>
      </c>
      <c r="E266" s="5">
        <v>0</v>
      </c>
      <c r="F266" s="10"/>
      <c r="G266" s="10" t="s">
        <v>73</v>
      </c>
      <c r="H266" s="7" t="str">
        <f t="shared" si="0"/>
        <v>No</v>
      </c>
      <c r="I266" s="54" t="s">
        <v>55</v>
      </c>
      <c r="J266" s="8">
        <v>0</v>
      </c>
      <c r="K266" s="8"/>
      <c r="L266" s="8"/>
      <c r="M266" s="8"/>
      <c r="N266" s="8"/>
      <c r="O266" s="8"/>
      <c r="P266" s="8"/>
      <c r="Q266" s="8"/>
      <c r="R266" s="6"/>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f t="shared" si="389"/>
        <v>0</v>
      </c>
      <c r="BT266" s="8"/>
      <c r="BU266" s="2">
        <f t="shared" si="394"/>
        <v>0</v>
      </c>
      <c r="BV266" s="2">
        <f t="shared" si="395"/>
        <v>0</v>
      </c>
      <c r="BW266" s="2">
        <f t="shared" si="396"/>
        <v>0</v>
      </c>
      <c r="BX266" s="2">
        <f t="shared" si="397"/>
        <v>0</v>
      </c>
      <c r="BY266" s="2">
        <f t="shared" si="386"/>
        <v>0</v>
      </c>
      <c r="BZ266" s="2">
        <f t="shared" si="384"/>
        <v>0</v>
      </c>
      <c r="CA266" s="2">
        <f t="shared" si="387"/>
        <v>0</v>
      </c>
      <c r="CB266" s="2">
        <f t="shared" si="388"/>
        <v>0</v>
      </c>
    </row>
    <row r="267" spans="1:80" ht="16" x14ac:dyDescent="0.2">
      <c r="A267" s="3" t="s">
        <v>131</v>
      </c>
      <c r="B267" s="10">
        <v>352</v>
      </c>
      <c r="C267" s="5">
        <v>1</v>
      </c>
      <c r="D267" s="10">
        <v>1</v>
      </c>
      <c r="E267" s="5">
        <v>0</v>
      </c>
      <c r="F267" s="10"/>
      <c r="G267" s="10" t="s">
        <v>74</v>
      </c>
      <c r="H267" s="7" t="str">
        <f t="shared" si="0"/>
        <v>No</v>
      </c>
      <c r="I267" s="54" t="s">
        <v>55</v>
      </c>
      <c r="J267" s="8">
        <v>0</v>
      </c>
      <c r="K267" s="8"/>
      <c r="L267" s="8"/>
      <c r="M267" s="8"/>
      <c r="N267" s="8"/>
      <c r="O267" s="8"/>
      <c r="P267" s="8"/>
      <c r="Q267" s="8"/>
      <c r="R267" s="6"/>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f t="shared" si="389"/>
        <v>0</v>
      </c>
      <c r="BT267" s="8"/>
      <c r="BU267" s="2">
        <f t="shared" si="394"/>
        <v>0</v>
      </c>
      <c r="BV267" s="2">
        <f t="shared" si="395"/>
        <v>0</v>
      </c>
      <c r="BW267" s="2">
        <f t="shared" si="396"/>
        <v>0</v>
      </c>
      <c r="BX267" s="2">
        <f t="shared" si="397"/>
        <v>0</v>
      </c>
      <c r="BY267" s="2">
        <f t="shared" si="386"/>
        <v>0</v>
      </c>
      <c r="BZ267" s="2">
        <f t="shared" si="384"/>
        <v>0</v>
      </c>
      <c r="CA267" s="2">
        <f t="shared" si="387"/>
        <v>0</v>
      </c>
      <c r="CB267" s="2">
        <f t="shared" si="388"/>
        <v>0</v>
      </c>
    </row>
    <row r="268" spans="1:80" ht="16" x14ac:dyDescent="0.2">
      <c r="A268" s="3" t="s">
        <v>131</v>
      </c>
      <c r="B268" s="10">
        <v>352</v>
      </c>
      <c r="C268" s="5">
        <v>1</v>
      </c>
      <c r="D268" s="10">
        <v>1</v>
      </c>
      <c r="E268" s="5">
        <v>0</v>
      </c>
      <c r="F268" s="10"/>
      <c r="G268" s="10" t="s">
        <v>75</v>
      </c>
      <c r="H268" s="7" t="str">
        <f t="shared" si="0"/>
        <v>No</v>
      </c>
      <c r="I268" s="54" t="s">
        <v>55</v>
      </c>
      <c r="J268" s="8">
        <v>0</v>
      </c>
      <c r="K268" s="8"/>
      <c r="L268" s="8"/>
      <c r="M268" s="8"/>
      <c r="N268" s="8"/>
      <c r="O268" s="8"/>
      <c r="P268" s="8"/>
      <c r="Q268" s="8"/>
      <c r="R268" s="6"/>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f t="shared" si="389"/>
        <v>0</v>
      </c>
      <c r="BT268" s="8"/>
      <c r="BU268" s="2">
        <f t="shared" si="394"/>
        <v>0</v>
      </c>
      <c r="BV268" s="2">
        <f t="shared" si="395"/>
        <v>0</v>
      </c>
      <c r="BW268" s="2">
        <f t="shared" si="396"/>
        <v>0</v>
      </c>
      <c r="BX268" s="2">
        <f t="shared" si="397"/>
        <v>0</v>
      </c>
      <c r="BY268" s="2">
        <f t="shared" si="386"/>
        <v>0</v>
      </c>
      <c r="BZ268" s="2">
        <f t="shared" si="384"/>
        <v>0</v>
      </c>
      <c r="CA268" s="2">
        <f t="shared" si="387"/>
        <v>0</v>
      </c>
      <c r="CB268" s="2">
        <f t="shared" si="388"/>
        <v>0</v>
      </c>
    </row>
    <row r="269" spans="1:80" ht="16" x14ac:dyDescent="0.2">
      <c r="A269" s="3" t="s">
        <v>131</v>
      </c>
      <c r="B269" s="10">
        <v>352</v>
      </c>
      <c r="C269" s="5">
        <v>1</v>
      </c>
      <c r="D269" s="10">
        <v>1</v>
      </c>
      <c r="E269" s="5">
        <v>0</v>
      </c>
      <c r="F269" s="10"/>
      <c r="G269" s="10" t="s">
        <v>76</v>
      </c>
      <c r="H269" s="7" t="str">
        <f t="shared" si="0"/>
        <v>No</v>
      </c>
      <c r="I269" s="54" t="s">
        <v>55</v>
      </c>
      <c r="J269" s="8">
        <v>0</v>
      </c>
      <c r="K269" s="8"/>
      <c r="L269" s="8"/>
      <c r="M269" s="8"/>
      <c r="N269" s="8"/>
      <c r="O269" s="8"/>
      <c r="P269" s="8"/>
      <c r="Q269" s="8"/>
      <c r="R269" s="6"/>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f t="shared" si="389"/>
        <v>0</v>
      </c>
      <c r="BT269" s="8"/>
      <c r="BU269" s="2">
        <f t="shared" si="394"/>
        <v>0</v>
      </c>
      <c r="BV269" s="2">
        <f t="shared" si="395"/>
        <v>0</v>
      </c>
      <c r="BW269" s="2">
        <f t="shared" si="396"/>
        <v>0</v>
      </c>
      <c r="BX269" s="2">
        <f t="shared" si="397"/>
        <v>0</v>
      </c>
      <c r="BY269" s="2">
        <f t="shared" si="386"/>
        <v>0</v>
      </c>
      <c r="BZ269" s="2">
        <f t="shared" si="384"/>
        <v>0</v>
      </c>
      <c r="CA269" s="2">
        <f t="shared" si="387"/>
        <v>0</v>
      </c>
      <c r="CB269" s="2">
        <f t="shared" si="388"/>
        <v>0</v>
      </c>
    </row>
    <row r="270" spans="1:80" ht="16" x14ac:dyDescent="0.2">
      <c r="A270" s="3" t="s">
        <v>131</v>
      </c>
      <c r="B270" s="10">
        <v>352</v>
      </c>
      <c r="C270" s="5">
        <v>1</v>
      </c>
      <c r="D270" s="10">
        <v>1</v>
      </c>
      <c r="E270" s="5">
        <v>0</v>
      </c>
      <c r="F270" s="10"/>
      <c r="G270" s="10" t="s">
        <v>77</v>
      </c>
      <c r="H270" s="7" t="str">
        <f t="shared" si="0"/>
        <v>No</v>
      </c>
      <c r="I270" s="54" t="s">
        <v>55</v>
      </c>
      <c r="J270" s="8">
        <v>0</v>
      </c>
      <c r="K270" s="8"/>
      <c r="L270" s="8"/>
      <c r="M270" s="8"/>
      <c r="N270" s="8"/>
      <c r="O270" s="8"/>
      <c r="P270" s="8"/>
      <c r="Q270" s="8"/>
      <c r="R270" s="6"/>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f t="shared" si="389"/>
        <v>0</v>
      </c>
      <c r="BT270" s="8"/>
      <c r="BU270" s="2">
        <f t="shared" si="394"/>
        <v>0</v>
      </c>
      <c r="BV270" s="2">
        <f t="shared" si="395"/>
        <v>0</v>
      </c>
      <c r="BW270" s="2">
        <f t="shared" si="396"/>
        <v>0</v>
      </c>
      <c r="BX270" s="2">
        <f t="shared" si="397"/>
        <v>0</v>
      </c>
      <c r="BY270" s="2">
        <f t="shared" si="386"/>
        <v>0</v>
      </c>
      <c r="BZ270" s="2">
        <f t="shared" si="384"/>
        <v>0</v>
      </c>
      <c r="CA270" s="2">
        <f t="shared" si="387"/>
        <v>0</v>
      </c>
      <c r="CB270" s="2">
        <f t="shared" si="388"/>
        <v>0</v>
      </c>
    </row>
    <row r="271" spans="1:80" ht="16" x14ac:dyDescent="0.2">
      <c r="A271" s="3" t="s">
        <v>131</v>
      </c>
      <c r="B271" s="10">
        <v>352</v>
      </c>
      <c r="C271" s="5">
        <v>1</v>
      </c>
      <c r="D271" s="10">
        <v>1</v>
      </c>
      <c r="E271" s="5">
        <v>0</v>
      </c>
      <c r="F271" s="10"/>
      <c r="G271" s="10" t="s">
        <v>78</v>
      </c>
      <c r="H271" s="7" t="str">
        <f t="shared" si="0"/>
        <v>No</v>
      </c>
      <c r="I271" s="54" t="s">
        <v>55</v>
      </c>
      <c r="J271" s="8">
        <v>0</v>
      </c>
      <c r="K271" s="8"/>
      <c r="L271" s="8"/>
      <c r="M271" s="8"/>
      <c r="N271" s="8"/>
      <c r="O271" s="8"/>
      <c r="P271" s="8"/>
      <c r="Q271" s="8"/>
      <c r="R271" s="6"/>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f t="shared" si="389"/>
        <v>0</v>
      </c>
      <c r="BT271" s="8"/>
      <c r="BU271" s="2">
        <f t="shared" si="394"/>
        <v>0</v>
      </c>
      <c r="BV271" s="2">
        <f t="shared" si="395"/>
        <v>0</v>
      </c>
      <c r="BW271" s="2">
        <f t="shared" si="396"/>
        <v>0</v>
      </c>
      <c r="BX271" s="2">
        <f t="shared" si="397"/>
        <v>0</v>
      </c>
      <c r="BY271" s="2">
        <f t="shared" si="386"/>
        <v>0</v>
      </c>
      <c r="BZ271" s="2">
        <f t="shared" si="384"/>
        <v>0</v>
      </c>
      <c r="CA271" s="2">
        <f t="shared" si="387"/>
        <v>0</v>
      </c>
      <c r="CB271" s="2">
        <f t="shared" si="388"/>
        <v>0</v>
      </c>
    </row>
    <row r="272" spans="1:80" ht="15" customHeight="1" x14ac:dyDescent="0.2">
      <c r="A272" s="3" t="s">
        <v>131</v>
      </c>
      <c r="B272" s="10">
        <v>352</v>
      </c>
      <c r="C272" s="5">
        <v>1</v>
      </c>
      <c r="D272" s="10">
        <v>1</v>
      </c>
      <c r="E272" s="5">
        <v>0</v>
      </c>
      <c r="F272" s="10"/>
      <c r="G272" s="10" t="s">
        <v>79</v>
      </c>
      <c r="H272" s="7" t="str">
        <f t="shared" si="0"/>
        <v>No</v>
      </c>
      <c r="I272" s="54" t="s">
        <v>55</v>
      </c>
      <c r="J272" s="8">
        <v>0</v>
      </c>
      <c r="K272" s="8"/>
      <c r="L272" s="8"/>
      <c r="M272" s="8"/>
      <c r="N272" s="8"/>
      <c r="O272" s="8"/>
      <c r="P272" s="8"/>
      <c r="Q272" s="8"/>
      <c r="R272" s="6"/>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f t="shared" si="389"/>
        <v>0</v>
      </c>
      <c r="BT272" s="8"/>
      <c r="BU272" s="2">
        <f t="shared" si="394"/>
        <v>0</v>
      </c>
      <c r="BV272" s="2">
        <f t="shared" si="395"/>
        <v>0</v>
      </c>
      <c r="BW272" s="2">
        <f t="shared" si="396"/>
        <v>0</v>
      </c>
      <c r="BX272" s="2">
        <f t="shared" si="397"/>
        <v>0</v>
      </c>
      <c r="BY272" s="2">
        <f t="shared" si="386"/>
        <v>0</v>
      </c>
      <c r="BZ272" s="2">
        <f t="shared" si="384"/>
        <v>0</v>
      </c>
      <c r="CA272" s="2">
        <f t="shared" si="387"/>
        <v>0</v>
      </c>
      <c r="CB272" s="2">
        <f t="shared" si="388"/>
        <v>0</v>
      </c>
    </row>
    <row r="273" spans="1:80" ht="15" customHeight="1" x14ac:dyDescent="0.2">
      <c r="A273" s="3" t="s">
        <v>131</v>
      </c>
      <c r="B273" s="10">
        <v>352</v>
      </c>
      <c r="C273" s="5">
        <v>1</v>
      </c>
      <c r="D273" s="10">
        <v>1</v>
      </c>
      <c r="E273" s="5">
        <v>0</v>
      </c>
      <c r="F273" s="10"/>
      <c r="G273" s="10" t="s">
        <v>80</v>
      </c>
      <c r="H273" s="7" t="str">
        <f t="shared" si="0"/>
        <v>No</v>
      </c>
      <c r="I273" s="54" t="s">
        <v>55</v>
      </c>
      <c r="J273" s="8">
        <v>0</v>
      </c>
      <c r="K273" s="8"/>
      <c r="L273" s="8"/>
      <c r="M273" s="8"/>
      <c r="N273" s="8"/>
      <c r="O273" s="8"/>
      <c r="P273" s="8"/>
      <c r="Q273" s="8"/>
      <c r="R273" s="6"/>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f t="shared" si="389"/>
        <v>0</v>
      </c>
      <c r="BT273" s="8"/>
      <c r="BU273" s="2">
        <f t="shared" si="394"/>
        <v>0</v>
      </c>
      <c r="BV273" s="2">
        <f t="shared" si="395"/>
        <v>0</v>
      </c>
      <c r="BW273" s="2">
        <f t="shared" si="396"/>
        <v>0</v>
      </c>
      <c r="BX273" s="2">
        <f t="shared" si="397"/>
        <v>0</v>
      </c>
      <c r="BY273" s="2">
        <f t="shared" si="386"/>
        <v>0</v>
      </c>
      <c r="BZ273" s="2">
        <f t="shared" si="384"/>
        <v>0</v>
      </c>
      <c r="CA273" s="2">
        <f t="shared" si="387"/>
        <v>0</v>
      </c>
      <c r="CB273" s="2">
        <f t="shared" si="388"/>
        <v>0</v>
      </c>
    </row>
    <row r="274" spans="1:80" ht="16" x14ac:dyDescent="0.2">
      <c r="A274" s="3" t="s">
        <v>131</v>
      </c>
      <c r="B274" s="10">
        <v>352</v>
      </c>
      <c r="C274" s="5">
        <v>1</v>
      </c>
      <c r="D274" s="10">
        <v>1</v>
      </c>
      <c r="E274" s="5">
        <v>0</v>
      </c>
      <c r="F274" s="10"/>
      <c r="G274" s="10">
        <v>2022</v>
      </c>
      <c r="H274" s="7" t="str">
        <f t="shared" si="0"/>
        <v>No</v>
      </c>
      <c r="I274" s="54" t="s">
        <v>55</v>
      </c>
      <c r="J274" s="8">
        <v>0</v>
      </c>
      <c r="K274" s="8"/>
      <c r="L274" s="8"/>
      <c r="M274" s="8"/>
      <c r="N274" s="8"/>
      <c r="O274" s="8"/>
      <c r="P274" s="8"/>
      <c r="Q274" s="8"/>
      <c r="R274" s="6"/>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f t="shared" si="389"/>
        <v>0</v>
      </c>
      <c r="BT274" s="8"/>
      <c r="BU274" s="2">
        <f t="shared" si="394"/>
        <v>0</v>
      </c>
      <c r="BV274" s="2">
        <f t="shared" si="395"/>
        <v>0</v>
      </c>
      <c r="BW274" s="2">
        <f t="shared" si="396"/>
        <v>0</v>
      </c>
      <c r="BX274" s="2">
        <f t="shared" si="397"/>
        <v>0</v>
      </c>
      <c r="BY274" s="2">
        <f t="shared" si="386"/>
        <v>0</v>
      </c>
      <c r="BZ274" s="2">
        <f t="shared" si="384"/>
        <v>0</v>
      </c>
      <c r="CA274" s="2">
        <f t="shared" si="387"/>
        <v>0</v>
      </c>
      <c r="CB274" s="2">
        <f t="shared" si="388"/>
        <v>0</v>
      </c>
    </row>
    <row r="275" spans="1:80" ht="16" x14ac:dyDescent="0.2">
      <c r="A275" s="3" t="s">
        <v>131</v>
      </c>
      <c r="B275" s="10">
        <v>352</v>
      </c>
      <c r="C275" s="5">
        <v>1</v>
      </c>
      <c r="D275" s="10">
        <v>1</v>
      </c>
      <c r="E275" s="5">
        <v>0</v>
      </c>
      <c r="F275" s="10"/>
      <c r="G275" s="10">
        <v>2023</v>
      </c>
      <c r="H275" s="7" t="str">
        <f t="shared" ref="H275" si="398">IF($I275="1", "Yes", "No")</f>
        <v>No</v>
      </c>
      <c r="I275" s="54" t="s">
        <v>55</v>
      </c>
      <c r="J275" s="8">
        <v>0</v>
      </c>
      <c r="K275" s="8"/>
      <c r="L275" s="8"/>
      <c r="M275" s="8"/>
      <c r="N275" s="8"/>
      <c r="O275" s="8"/>
      <c r="P275" s="8"/>
      <c r="Q275" s="8"/>
      <c r="R275" s="6"/>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f t="shared" si="389"/>
        <v>0</v>
      </c>
      <c r="BT275" s="8"/>
      <c r="BU275" s="2">
        <f t="shared" si="394"/>
        <v>0</v>
      </c>
      <c r="BV275" s="2">
        <f t="shared" si="395"/>
        <v>0</v>
      </c>
      <c r="BW275" s="2">
        <f t="shared" si="396"/>
        <v>0</v>
      </c>
      <c r="BX275" s="2">
        <f t="shared" si="397"/>
        <v>0</v>
      </c>
      <c r="BY275" s="2">
        <f t="shared" si="386"/>
        <v>0</v>
      </c>
      <c r="BZ275" s="2">
        <f t="shared" si="384"/>
        <v>0</v>
      </c>
      <c r="CA275" s="2">
        <f t="shared" si="387"/>
        <v>0</v>
      </c>
      <c r="CB275" s="2">
        <f t="shared" si="388"/>
        <v>0</v>
      </c>
    </row>
    <row r="276" spans="1:80" ht="16" x14ac:dyDescent="0.2">
      <c r="A276" s="3" t="s">
        <v>132</v>
      </c>
      <c r="B276" s="10">
        <v>372</v>
      </c>
      <c r="C276" s="5">
        <v>1</v>
      </c>
      <c r="D276" s="10">
        <v>1</v>
      </c>
      <c r="E276" s="5">
        <v>0</v>
      </c>
      <c r="F276" s="10"/>
      <c r="G276" s="10" t="s">
        <v>86</v>
      </c>
      <c r="H276" s="7" t="str">
        <f t="shared" si="0"/>
        <v>No</v>
      </c>
      <c r="I276" s="54" t="s">
        <v>55</v>
      </c>
      <c r="J276" s="8">
        <v>0</v>
      </c>
      <c r="K276" s="8"/>
      <c r="L276" s="8"/>
      <c r="M276" s="8"/>
      <c r="N276" s="8"/>
      <c r="O276" s="8"/>
      <c r="P276" s="8"/>
      <c r="Q276" s="8"/>
      <c r="R276" s="6"/>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f t="shared" si="389"/>
        <v>0</v>
      </c>
      <c r="BT276" s="8"/>
      <c r="BU276" s="2">
        <f t="shared" si="394"/>
        <v>0</v>
      </c>
      <c r="BV276" s="2">
        <f t="shared" si="395"/>
        <v>0</v>
      </c>
      <c r="BW276" s="2">
        <f t="shared" si="396"/>
        <v>0</v>
      </c>
      <c r="BX276" s="2">
        <f t="shared" si="397"/>
        <v>0</v>
      </c>
      <c r="BY276" s="2">
        <f t="shared" si="386"/>
        <v>0</v>
      </c>
      <c r="BZ276" s="2">
        <f t="shared" si="384"/>
        <v>0</v>
      </c>
      <c r="CA276" s="2">
        <f t="shared" si="387"/>
        <v>0</v>
      </c>
      <c r="CB276" s="2">
        <f t="shared" si="388"/>
        <v>0</v>
      </c>
    </row>
    <row r="277" spans="1:80" ht="16" x14ac:dyDescent="0.2">
      <c r="A277" s="3" t="s">
        <v>132</v>
      </c>
      <c r="B277" s="10">
        <v>372</v>
      </c>
      <c r="C277" s="5">
        <v>1</v>
      </c>
      <c r="D277" s="10">
        <v>1</v>
      </c>
      <c r="E277" s="5">
        <v>0</v>
      </c>
      <c r="F277" s="10"/>
      <c r="G277" s="10" t="s">
        <v>90</v>
      </c>
      <c r="H277" s="7" t="str">
        <f t="shared" si="0"/>
        <v>No</v>
      </c>
      <c r="I277" s="54" t="s">
        <v>55</v>
      </c>
      <c r="J277" s="8">
        <v>0</v>
      </c>
      <c r="K277" s="8"/>
      <c r="L277" s="8"/>
      <c r="M277" s="8"/>
      <c r="N277" s="8"/>
      <c r="O277" s="8"/>
      <c r="P277" s="8"/>
      <c r="Q277" s="8"/>
      <c r="R277" s="6"/>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f t="shared" si="389"/>
        <v>0</v>
      </c>
      <c r="BT277" s="8"/>
      <c r="BU277" s="2">
        <f t="shared" si="394"/>
        <v>0</v>
      </c>
      <c r="BV277" s="2">
        <f t="shared" si="395"/>
        <v>0</v>
      </c>
      <c r="BW277" s="2">
        <f t="shared" si="396"/>
        <v>0</v>
      </c>
      <c r="BX277" s="2">
        <f t="shared" si="397"/>
        <v>0</v>
      </c>
      <c r="BY277" s="2">
        <f t="shared" si="386"/>
        <v>0</v>
      </c>
      <c r="BZ277" s="2">
        <f t="shared" si="384"/>
        <v>0</v>
      </c>
      <c r="CA277" s="2">
        <f t="shared" si="387"/>
        <v>0</v>
      </c>
      <c r="CB277" s="2">
        <f t="shared" si="388"/>
        <v>0</v>
      </c>
    </row>
    <row r="278" spans="1:80" ht="16" x14ac:dyDescent="0.2">
      <c r="A278" s="3" t="s">
        <v>132</v>
      </c>
      <c r="B278" s="10">
        <v>372</v>
      </c>
      <c r="C278" s="5">
        <v>1</v>
      </c>
      <c r="D278" s="10">
        <v>1</v>
      </c>
      <c r="E278" s="5">
        <v>0</v>
      </c>
      <c r="F278" s="10"/>
      <c r="G278" s="10" t="s">
        <v>91</v>
      </c>
      <c r="H278" s="7" t="str">
        <f t="shared" ref="H278:H547" si="399">IF($I278="1", "Yes", "No")</f>
        <v>No</v>
      </c>
      <c r="I278" s="54" t="s">
        <v>55</v>
      </c>
      <c r="J278" s="8">
        <v>0</v>
      </c>
      <c r="K278" s="8"/>
      <c r="L278" s="8"/>
      <c r="M278" s="8"/>
      <c r="N278" s="8"/>
      <c r="O278" s="8"/>
      <c r="P278" s="8"/>
      <c r="Q278" s="8"/>
      <c r="R278" s="6"/>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f t="shared" si="389"/>
        <v>0</v>
      </c>
      <c r="BT278" s="8"/>
      <c r="BU278" s="2">
        <f t="shared" si="394"/>
        <v>0</v>
      </c>
      <c r="BV278" s="2">
        <f t="shared" si="395"/>
        <v>0</v>
      </c>
      <c r="BW278" s="2">
        <f t="shared" si="396"/>
        <v>0</v>
      </c>
      <c r="BX278" s="2">
        <f t="shared" si="397"/>
        <v>0</v>
      </c>
      <c r="BY278" s="2">
        <f t="shared" si="386"/>
        <v>0</v>
      </c>
      <c r="BZ278" s="2">
        <f t="shared" si="384"/>
        <v>0</v>
      </c>
      <c r="CA278" s="2">
        <f t="shared" si="387"/>
        <v>0</v>
      </c>
      <c r="CB278" s="2">
        <f t="shared" si="388"/>
        <v>0</v>
      </c>
    </row>
    <row r="279" spans="1:80" ht="16" x14ac:dyDescent="0.2">
      <c r="A279" s="3" t="s">
        <v>132</v>
      </c>
      <c r="B279" s="10">
        <v>372</v>
      </c>
      <c r="C279" s="5">
        <v>1</v>
      </c>
      <c r="D279" s="10">
        <v>1</v>
      </c>
      <c r="E279" s="5">
        <v>0</v>
      </c>
      <c r="F279" s="10"/>
      <c r="G279" s="10" t="s">
        <v>93</v>
      </c>
      <c r="H279" s="7" t="str">
        <f t="shared" si="399"/>
        <v>No</v>
      </c>
      <c r="I279" s="54" t="s">
        <v>55</v>
      </c>
      <c r="J279" s="8">
        <v>0</v>
      </c>
      <c r="K279" s="8"/>
      <c r="L279" s="8"/>
      <c r="M279" s="8"/>
      <c r="N279" s="8"/>
      <c r="O279" s="8"/>
      <c r="P279" s="8"/>
      <c r="Q279" s="8"/>
      <c r="R279" s="6"/>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f t="shared" si="389"/>
        <v>0</v>
      </c>
      <c r="BT279" s="8"/>
      <c r="BU279" s="2">
        <f t="shared" si="394"/>
        <v>0</v>
      </c>
      <c r="BV279" s="2">
        <f t="shared" si="395"/>
        <v>0</v>
      </c>
      <c r="BW279" s="2">
        <f t="shared" si="396"/>
        <v>0</v>
      </c>
      <c r="BX279" s="2">
        <f t="shared" si="397"/>
        <v>0</v>
      </c>
      <c r="BY279" s="2">
        <f t="shared" si="386"/>
        <v>0</v>
      </c>
      <c r="BZ279" s="2">
        <f t="shared" si="384"/>
        <v>0</v>
      </c>
      <c r="CA279" s="2">
        <f t="shared" si="387"/>
        <v>0</v>
      </c>
      <c r="CB279" s="2">
        <f t="shared" si="388"/>
        <v>0</v>
      </c>
    </row>
    <row r="280" spans="1:80" ht="16" x14ac:dyDescent="0.2">
      <c r="A280" s="3" t="s">
        <v>132</v>
      </c>
      <c r="B280" s="10">
        <v>372</v>
      </c>
      <c r="C280" s="5">
        <v>1</v>
      </c>
      <c r="D280" s="10">
        <v>1</v>
      </c>
      <c r="E280" s="5">
        <v>0</v>
      </c>
      <c r="F280" s="10"/>
      <c r="G280" s="10" t="s">
        <v>70</v>
      </c>
      <c r="H280" s="7" t="str">
        <f t="shared" si="399"/>
        <v>No</v>
      </c>
      <c r="I280" s="54" t="s">
        <v>55</v>
      </c>
      <c r="J280" s="8">
        <v>0</v>
      </c>
      <c r="K280" s="8"/>
      <c r="L280" s="8"/>
      <c r="M280" s="8"/>
      <c r="N280" s="8"/>
      <c r="O280" s="8"/>
      <c r="P280" s="8"/>
      <c r="Q280" s="8"/>
      <c r="R280" s="6"/>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f t="shared" si="389"/>
        <v>0</v>
      </c>
      <c r="BT280" s="8"/>
      <c r="BU280" s="2">
        <f t="shared" si="394"/>
        <v>0</v>
      </c>
      <c r="BV280" s="2">
        <f t="shared" si="395"/>
        <v>0</v>
      </c>
      <c r="BW280" s="2">
        <f t="shared" si="396"/>
        <v>0</v>
      </c>
      <c r="BX280" s="2">
        <f t="shared" si="397"/>
        <v>0</v>
      </c>
      <c r="BY280" s="2">
        <f t="shared" si="386"/>
        <v>0</v>
      </c>
      <c r="BZ280" s="2">
        <f t="shared" si="384"/>
        <v>0</v>
      </c>
      <c r="CA280" s="2">
        <f t="shared" si="387"/>
        <v>0</v>
      </c>
      <c r="CB280" s="2">
        <f t="shared" si="388"/>
        <v>0</v>
      </c>
    </row>
    <row r="281" spans="1:80" ht="16" x14ac:dyDescent="0.2">
      <c r="A281" s="3" t="s">
        <v>132</v>
      </c>
      <c r="B281" s="10">
        <v>372</v>
      </c>
      <c r="C281" s="5">
        <v>1</v>
      </c>
      <c r="D281" s="10">
        <v>1</v>
      </c>
      <c r="E281" s="5">
        <v>0</v>
      </c>
      <c r="F281" s="10"/>
      <c r="G281" s="10" t="s">
        <v>71</v>
      </c>
      <c r="H281" s="7" t="str">
        <f t="shared" si="399"/>
        <v>No</v>
      </c>
      <c r="I281" s="54" t="s">
        <v>55</v>
      </c>
      <c r="J281" s="8">
        <v>0</v>
      </c>
      <c r="K281" s="8"/>
      <c r="L281" s="8"/>
      <c r="M281" s="8"/>
      <c r="N281" s="8"/>
      <c r="O281" s="8"/>
      <c r="P281" s="8"/>
      <c r="Q281" s="8"/>
      <c r="R281" s="6"/>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f t="shared" si="389"/>
        <v>0</v>
      </c>
      <c r="BT281" s="8"/>
      <c r="BU281" s="2">
        <f t="shared" si="394"/>
        <v>0</v>
      </c>
      <c r="BV281" s="2">
        <f t="shared" si="395"/>
        <v>0</v>
      </c>
      <c r="BW281" s="2">
        <f t="shared" si="396"/>
        <v>0</v>
      </c>
      <c r="BX281" s="2">
        <f t="shared" si="397"/>
        <v>0</v>
      </c>
      <c r="BY281" s="2">
        <f t="shared" si="386"/>
        <v>0</v>
      </c>
      <c r="BZ281" s="2">
        <f t="shared" si="384"/>
        <v>0</v>
      </c>
      <c r="CA281" s="2">
        <f t="shared" si="387"/>
        <v>0</v>
      </c>
      <c r="CB281" s="2">
        <f t="shared" si="388"/>
        <v>0</v>
      </c>
    </row>
    <row r="282" spans="1:80" ht="16" x14ac:dyDescent="0.2">
      <c r="A282" s="3" t="s">
        <v>132</v>
      </c>
      <c r="B282" s="10">
        <v>372</v>
      </c>
      <c r="C282" s="5">
        <v>1</v>
      </c>
      <c r="D282" s="10">
        <v>1</v>
      </c>
      <c r="E282" s="5">
        <v>0</v>
      </c>
      <c r="F282" s="10"/>
      <c r="G282" s="10" t="s">
        <v>72</v>
      </c>
      <c r="H282" s="7" t="str">
        <f t="shared" si="399"/>
        <v>No</v>
      </c>
      <c r="I282" s="54" t="s">
        <v>55</v>
      </c>
      <c r="J282" s="8">
        <v>0</v>
      </c>
      <c r="K282" s="8"/>
      <c r="L282" s="8"/>
      <c r="M282" s="8"/>
      <c r="N282" s="8"/>
      <c r="O282" s="8"/>
      <c r="P282" s="8"/>
      <c r="Q282" s="8"/>
      <c r="R282" s="6"/>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f t="shared" si="389"/>
        <v>0</v>
      </c>
      <c r="BT282" s="8"/>
      <c r="BU282" s="2">
        <f t="shared" si="394"/>
        <v>0</v>
      </c>
      <c r="BV282" s="2">
        <f t="shared" si="395"/>
        <v>0</v>
      </c>
      <c r="BW282" s="2">
        <f t="shared" si="396"/>
        <v>0</v>
      </c>
      <c r="BX282" s="2">
        <f t="shared" si="397"/>
        <v>0</v>
      </c>
      <c r="BY282" s="2">
        <f t="shared" si="386"/>
        <v>0</v>
      </c>
      <c r="BZ282" s="2">
        <f t="shared" si="384"/>
        <v>0</v>
      </c>
      <c r="CA282" s="2">
        <f t="shared" si="387"/>
        <v>0</v>
      </c>
      <c r="CB282" s="2">
        <f t="shared" si="388"/>
        <v>0</v>
      </c>
    </row>
    <row r="283" spans="1:80" ht="16" x14ac:dyDescent="0.2">
      <c r="A283" s="3" t="s">
        <v>132</v>
      </c>
      <c r="B283" s="10">
        <v>372</v>
      </c>
      <c r="C283" s="5">
        <v>1</v>
      </c>
      <c r="D283" s="10">
        <v>1</v>
      </c>
      <c r="E283" s="5">
        <v>0</v>
      </c>
      <c r="F283" s="10"/>
      <c r="G283" s="10" t="s">
        <v>73</v>
      </c>
      <c r="H283" s="7" t="str">
        <f t="shared" si="399"/>
        <v>No</v>
      </c>
      <c r="I283" s="54" t="s">
        <v>55</v>
      </c>
      <c r="J283" s="8">
        <v>0</v>
      </c>
      <c r="K283" s="8"/>
      <c r="L283" s="8"/>
      <c r="M283" s="8"/>
      <c r="N283" s="8"/>
      <c r="O283" s="8"/>
      <c r="P283" s="8"/>
      <c r="Q283" s="8"/>
      <c r="R283" s="6"/>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f t="shared" si="389"/>
        <v>0</v>
      </c>
      <c r="BT283" s="8"/>
      <c r="BU283" s="2">
        <f t="shared" si="394"/>
        <v>0</v>
      </c>
      <c r="BV283" s="2">
        <f t="shared" si="395"/>
        <v>0</v>
      </c>
      <c r="BW283" s="2">
        <f t="shared" si="396"/>
        <v>0</v>
      </c>
      <c r="BX283" s="2">
        <f t="shared" si="397"/>
        <v>0</v>
      </c>
      <c r="BY283" s="2">
        <f t="shared" si="386"/>
        <v>0</v>
      </c>
      <c r="BZ283" s="2">
        <f t="shared" si="384"/>
        <v>0</v>
      </c>
      <c r="CA283" s="2">
        <f t="shared" si="387"/>
        <v>0</v>
      </c>
      <c r="CB283" s="2">
        <f t="shared" si="388"/>
        <v>0</v>
      </c>
    </row>
    <row r="284" spans="1:80" ht="16" x14ac:dyDescent="0.2">
      <c r="A284" s="3" t="s">
        <v>132</v>
      </c>
      <c r="B284" s="10">
        <v>372</v>
      </c>
      <c r="C284" s="5">
        <v>1</v>
      </c>
      <c r="D284" s="10">
        <v>1</v>
      </c>
      <c r="E284" s="5">
        <v>0</v>
      </c>
      <c r="F284" s="10"/>
      <c r="G284" s="10" t="s">
        <v>74</v>
      </c>
      <c r="H284" s="7" t="str">
        <f t="shared" si="399"/>
        <v>No</v>
      </c>
      <c r="I284" s="54" t="s">
        <v>55</v>
      </c>
      <c r="J284" s="8">
        <v>0</v>
      </c>
      <c r="K284" s="8"/>
      <c r="L284" s="8"/>
      <c r="M284" s="8"/>
      <c r="N284" s="8"/>
      <c r="O284" s="8"/>
      <c r="P284" s="8"/>
      <c r="Q284" s="8"/>
      <c r="R284" s="6"/>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f t="shared" si="389"/>
        <v>0</v>
      </c>
      <c r="BT284" s="8"/>
      <c r="BU284" s="2">
        <f t="shared" si="394"/>
        <v>0</v>
      </c>
      <c r="BV284" s="2">
        <f t="shared" si="395"/>
        <v>0</v>
      </c>
      <c r="BW284" s="2">
        <f t="shared" si="396"/>
        <v>0</v>
      </c>
      <c r="BX284" s="2">
        <f t="shared" si="397"/>
        <v>0</v>
      </c>
      <c r="BY284" s="2">
        <f t="shared" si="386"/>
        <v>0</v>
      </c>
      <c r="BZ284" s="2">
        <f t="shared" si="384"/>
        <v>0</v>
      </c>
      <c r="CA284" s="2">
        <f t="shared" si="387"/>
        <v>0</v>
      </c>
      <c r="CB284" s="2">
        <f t="shared" si="388"/>
        <v>0</v>
      </c>
    </row>
    <row r="285" spans="1:80" ht="16" x14ac:dyDescent="0.2">
      <c r="A285" s="3" t="s">
        <v>132</v>
      </c>
      <c r="B285" s="10">
        <v>372</v>
      </c>
      <c r="C285" s="5">
        <v>1</v>
      </c>
      <c r="D285" s="10">
        <v>1</v>
      </c>
      <c r="E285" s="5">
        <v>0</v>
      </c>
      <c r="F285" s="10"/>
      <c r="G285" s="10" t="s">
        <v>75</v>
      </c>
      <c r="H285" s="7" t="str">
        <f t="shared" si="399"/>
        <v>No</v>
      </c>
      <c r="I285" s="54" t="s">
        <v>55</v>
      </c>
      <c r="J285" s="8">
        <v>0</v>
      </c>
      <c r="K285" s="8"/>
      <c r="L285" s="8"/>
      <c r="M285" s="8"/>
      <c r="N285" s="8"/>
      <c r="O285" s="8"/>
      <c r="P285" s="8"/>
      <c r="Q285" s="8"/>
      <c r="R285" s="6"/>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f t="shared" si="389"/>
        <v>0</v>
      </c>
      <c r="BT285" s="8"/>
      <c r="BU285" s="2">
        <f t="shared" si="394"/>
        <v>0</v>
      </c>
      <c r="BV285" s="2">
        <f t="shared" si="395"/>
        <v>0</v>
      </c>
      <c r="BW285" s="2">
        <f t="shared" si="396"/>
        <v>0</v>
      </c>
      <c r="BX285" s="2">
        <f t="shared" si="397"/>
        <v>0</v>
      </c>
      <c r="BY285" s="2">
        <f t="shared" si="386"/>
        <v>0</v>
      </c>
      <c r="BZ285" s="2">
        <f t="shared" si="384"/>
        <v>0</v>
      </c>
      <c r="CA285" s="2">
        <f t="shared" si="387"/>
        <v>0</v>
      </c>
      <c r="CB285" s="2">
        <f t="shared" si="388"/>
        <v>0</v>
      </c>
    </row>
    <row r="286" spans="1:80" ht="16" x14ac:dyDescent="0.2">
      <c r="A286" s="3" t="s">
        <v>132</v>
      </c>
      <c r="B286" s="10">
        <v>372</v>
      </c>
      <c r="C286" s="5">
        <v>1</v>
      </c>
      <c r="D286" s="10">
        <v>1</v>
      </c>
      <c r="E286" s="5">
        <v>0</v>
      </c>
      <c r="F286" s="10"/>
      <c r="G286" s="10" t="s">
        <v>76</v>
      </c>
      <c r="H286" s="7" t="str">
        <f t="shared" si="399"/>
        <v>No</v>
      </c>
      <c r="I286" s="54" t="s">
        <v>55</v>
      </c>
      <c r="J286" s="8">
        <v>0</v>
      </c>
      <c r="K286" s="8"/>
      <c r="L286" s="8"/>
      <c r="M286" s="8"/>
      <c r="N286" s="8"/>
      <c r="O286" s="8"/>
      <c r="P286" s="8"/>
      <c r="Q286" s="8"/>
      <c r="R286" s="6"/>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f t="shared" si="389"/>
        <v>0</v>
      </c>
      <c r="BT286" s="8"/>
      <c r="BU286" s="2">
        <f t="shared" si="394"/>
        <v>0</v>
      </c>
      <c r="BV286" s="2">
        <f t="shared" si="395"/>
        <v>0</v>
      </c>
      <c r="BW286" s="2">
        <f t="shared" si="396"/>
        <v>0</v>
      </c>
      <c r="BX286" s="2">
        <f t="shared" si="397"/>
        <v>0</v>
      </c>
      <c r="BY286" s="2">
        <f t="shared" si="386"/>
        <v>0</v>
      </c>
      <c r="BZ286" s="2">
        <f t="shared" si="384"/>
        <v>0</v>
      </c>
      <c r="CA286" s="2">
        <f t="shared" si="387"/>
        <v>0</v>
      </c>
      <c r="CB286" s="2">
        <f t="shared" si="388"/>
        <v>0</v>
      </c>
    </row>
    <row r="287" spans="1:80" ht="16" x14ac:dyDescent="0.2">
      <c r="A287" s="3" t="s">
        <v>132</v>
      </c>
      <c r="B287" s="10">
        <v>372</v>
      </c>
      <c r="C287" s="5">
        <v>1</v>
      </c>
      <c r="D287" s="10">
        <v>1</v>
      </c>
      <c r="E287" s="5">
        <v>0</v>
      </c>
      <c r="F287" s="10"/>
      <c r="G287" s="10" t="s">
        <v>77</v>
      </c>
      <c r="H287" s="7" t="str">
        <f t="shared" si="399"/>
        <v>No</v>
      </c>
      <c r="I287" s="54" t="s">
        <v>55</v>
      </c>
      <c r="J287" s="8">
        <v>0</v>
      </c>
      <c r="K287" s="8"/>
      <c r="L287" s="8"/>
      <c r="M287" s="8"/>
      <c r="N287" s="8"/>
      <c r="O287" s="8"/>
      <c r="P287" s="8"/>
      <c r="Q287" s="8"/>
      <c r="R287" s="6"/>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f t="shared" si="389"/>
        <v>0</v>
      </c>
      <c r="BT287" s="8"/>
      <c r="BU287" s="2">
        <f t="shared" si="394"/>
        <v>0</v>
      </c>
      <c r="BV287" s="2">
        <f t="shared" si="395"/>
        <v>0</v>
      </c>
      <c r="BW287" s="2">
        <f t="shared" si="396"/>
        <v>0</v>
      </c>
      <c r="BX287" s="2">
        <f t="shared" si="397"/>
        <v>0</v>
      </c>
      <c r="BY287" s="2">
        <f t="shared" si="386"/>
        <v>0</v>
      </c>
      <c r="BZ287" s="2">
        <f t="shared" si="384"/>
        <v>0</v>
      </c>
      <c r="CA287" s="2">
        <f t="shared" si="387"/>
        <v>0</v>
      </c>
      <c r="CB287" s="2">
        <f t="shared" si="388"/>
        <v>0</v>
      </c>
    </row>
    <row r="288" spans="1:80" ht="16" x14ac:dyDescent="0.2">
      <c r="A288" s="3" t="s">
        <v>132</v>
      </c>
      <c r="B288" s="10">
        <v>372</v>
      </c>
      <c r="C288" s="5">
        <v>1</v>
      </c>
      <c r="D288" s="10">
        <v>1</v>
      </c>
      <c r="E288" s="5">
        <v>0</v>
      </c>
      <c r="F288" s="10"/>
      <c r="G288" s="10" t="s">
        <v>78</v>
      </c>
      <c r="H288" s="7" t="str">
        <f t="shared" si="399"/>
        <v>No</v>
      </c>
      <c r="I288" s="54" t="s">
        <v>55</v>
      </c>
      <c r="J288" s="8">
        <v>0</v>
      </c>
      <c r="K288" s="8"/>
      <c r="L288" s="8"/>
      <c r="M288" s="8"/>
      <c r="N288" s="8"/>
      <c r="O288" s="8"/>
      <c r="P288" s="8"/>
      <c r="Q288" s="8"/>
      <c r="R288" s="6"/>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f t="shared" si="389"/>
        <v>0</v>
      </c>
      <c r="BT288" s="8"/>
      <c r="BU288" s="2">
        <f t="shared" si="394"/>
        <v>0</v>
      </c>
      <c r="BV288" s="2">
        <f t="shared" si="395"/>
        <v>0</v>
      </c>
      <c r="BW288" s="2">
        <f t="shared" si="396"/>
        <v>0</v>
      </c>
      <c r="BX288" s="2">
        <f t="shared" si="397"/>
        <v>0</v>
      </c>
      <c r="BY288" s="2">
        <f t="shared" si="386"/>
        <v>0</v>
      </c>
      <c r="BZ288" s="2">
        <f t="shared" si="384"/>
        <v>0</v>
      </c>
      <c r="CA288" s="2">
        <f t="shared" ref="CA288:CA306" si="400">SUM(AR288)</f>
        <v>0</v>
      </c>
      <c r="CB288" s="2">
        <f t="shared" ref="CB288:CB308" si="401">SUM(AT288)</f>
        <v>0</v>
      </c>
    </row>
    <row r="289" spans="1:80" ht="15" customHeight="1" x14ac:dyDescent="0.2">
      <c r="A289" s="3" t="s">
        <v>132</v>
      </c>
      <c r="B289" s="10">
        <v>372</v>
      </c>
      <c r="C289" s="5">
        <v>1</v>
      </c>
      <c r="D289" s="10">
        <v>1</v>
      </c>
      <c r="E289" s="5">
        <v>0</v>
      </c>
      <c r="F289" s="10"/>
      <c r="G289" s="10" t="s">
        <v>79</v>
      </c>
      <c r="H289" s="7" t="str">
        <f t="shared" si="399"/>
        <v>No</v>
      </c>
      <c r="I289" s="54" t="s">
        <v>55</v>
      </c>
      <c r="J289" s="8">
        <v>0</v>
      </c>
      <c r="K289" s="8"/>
      <c r="L289" s="8"/>
      <c r="M289" s="8"/>
      <c r="N289" s="8"/>
      <c r="O289" s="8"/>
      <c r="P289" s="8"/>
      <c r="Q289" s="8"/>
      <c r="R289" s="6"/>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f t="shared" si="389"/>
        <v>0</v>
      </c>
      <c r="BT289" s="8"/>
      <c r="BU289" s="2">
        <f t="shared" si="394"/>
        <v>0</v>
      </c>
      <c r="BV289" s="2">
        <f t="shared" si="395"/>
        <v>0</v>
      </c>
      <c r="BW289" s="2">
        <f t="shared" si="396"/>
        <v>0</v>
      </c>
      <c r="BX289" s="2">
        <f t="shared" si="397"/>
        <v>0</v>
      </c>
      <c r="BY289" s="2">
        <f t="shared" si="386"/>
        <v>0</v>
      </c>
      <c r="BZ289" s="2">
        <f t="shared" si="384"/>
        <v>0</v>
      </c>
      <c r="CA289" s="2">
        <f t="shared" si="400"/>
        <v>0</v>
      </c>
      <c r="CB289" s="2">
        <f t="shared" si="401"/>
        <v>0</v>
      </c>
    </row>
    <row r="290" spans="1:80" ht="15" customHeight="1" x14ac:dyDescent="0.2">
      <c r="A290" s="3" t="s">
        <v>132</v>
      </c>
      <c r="B290" s="10">
        <v>372</v>
      </c>
      <c r="C290" s="5">
        <v>1</v>
      </c>
      <c r="D290" s="10">
        <v>1</v>
      </c>
      <c r="E290" s="5">
        <v>0</v>
      </c>
      <c r="F290" s="10"/>
      <c r="G290" s="10" t="s">
        <v>80</v>
      </c>
      <c r="H290" s="7" t="str">
        <f t="shared" si="399"/>
        <v>No</v>
      </c>
      <c r="I290" s="54" t="s">
        <v>55</v>
      </c>
      <c r="J290" s="8">
        <v>0</v>
      </c>
      <c r="K290" s="8"/>
      <c r="L290" s="8"/>
      <c r="M290" s="8"/>
      <c r="N290" s="8"/>
      <c r="O290" s="8"/>
      <c r="P290" s="8"/>
      <c r="Q290" s="8"/>
      <c r="R290" s="6"/>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f t="shared" si="389"/>
        <v>0</v>
      </c>
      <c r="BT290" s="8"/>
      <c r="BU290" s="2">
        <f t="shared" si="394"/>
        <v>0</v>
      </c>
      <c r="BV290" s="2">
        <f t="shared" si="395"/>
        <v>0</v>
      </c>
      <c r="BW290" s="2">
        <f t="shared" si="396"/>
        <v>0</v>
      </c>
      <c r="BX290" s="2">
        <f t="shared" si="397"/>
        <v>0</v>
      </c>
      <c r="BY290" s="2">
        <f t="shared" si="386"/>
        <v>0</v>
      </c>
      <c r="BZ290" s="2">
        <f t="shared" si="384"/>
        <v>0</v>
      </c>
      <c r="CA290" s="2">
        <f t="shared" si="400"/>
        <v>0</v>
      </c>
      <c r="CB290" s="2">
        <f t="shared" si="401"/>
        <v>0</v>
      </c>
    </row>
    <row r="291" spans="1:80" ht="15" customHeight="1" x14ac:dyDescent="0.2">
      <c r="A291" s="3" t="s">
        <v>132</v>
      </c>
      <c r="B291" s="10">
        <v>372</v>
      </c>
      <c r="C291" s="5">
        <v>1</v>
      </c>
      <c r="D291" s="10">
        <v>1</v>
      </c>
      <c r="E291" s="5">
        <v>0</v>
      </c>
      <c r="F291" s="10"/>
      <c r="G291" s="10">
        <v>2022</v>
      </c>
      <c r="H291" s="7" t="str">
        <f t="shared" si="399"/>
        <v>No</v>
      </c>
      <c r="I291" s="54" t="s">
        <v>55</v>
      </c>
      <c r="J291" s="8">
        <v>0</v>
      </c>
      <c r="K291" s="8" t="s">
        <v>133</v>
      </c>
      <c r="L291" s="8"/>
      <c r="M291" s="8"/>
      <c r="N291" s="8"/>
      <c r="O291" s="8"/>
      <c r="P291" s="8"/>
      <c r="Q291" s="8"/>
      <c r="R291" s="6"/>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f t="shared" si="389"/>
        <v>0</v>
      </c>
      <c r="BT291" s="8"/>
      <c r="BU291" s="2">
        <f t="shared" ref="BU291:BU315" si="402">SUM(AI291,BK291)</f>
        <v>0</v>
      </c>
      <c r="BV291" s="2">
        <f t="shared" si="395"/>
        <v>0</v>
      </c>
      <c r="BW291" s="2">
        <f t="shared" si="396"/>
        <v>0</v>
      </c>
      <c r="BX291" s="2">
        <f t="shared" si="397"/>
        <v>0</v>
      </c>
      <c r="BY291" s="2">
        <f t="shared" si="386"/>
        <v>0</v>
      </c>
      <c r="BZ291" s="2">
        <f t="shared" si="384"/>
        <v>0</v>
      </c>
      <c r="CA291" s="2">
        <f t="shared" si="400"/>
        <v>0</v>
      </c>
      <c r="CB291" s="2">
        <f t="shared" si="401"/>
        <v>0</v>
      </c>
    </row>
    <row r="292" spans="1:80" ht="15" customHeight="1" x14ac:dyDescent="0.2">
      <c r="A292" s="3" t="s">
        <v>132</v>
      </c>
      <c r="B292" s="10">
        <v>372</v>
      </c>
      <c r="C292" s="5">
        <v>1</v>
      </c>
      <c r="D292" s="10">
        <v>1</v>
      </c>
      <c r="E292" s="5">
        <v>0</v>
      </c>
      <c r="F292" s="10"/>
      <c r="G292" s="10">
        <v>2023</v>
      </c>
      <c r="H292" s="7" t="s">
        <v>98</v>
      </c>
      <c r="I292" s="54" t="s">
        <v>55</v>
      </c>
      <c r="J292" s="8">
        <v>0</v>
      </c>
      <c r="K292" s="8" t="s">
        <v>134</v>
      </c>
      <c r="L292" s="8"/>
      <c r="M292" s="8"/>
      <c r="N292" s="8"/>
      <c r="O292" s="8"/>
      <c r="P292" s="8"/>
      <c r="Q292" s="8"/>
      <c r="R292" s="6"/>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f t="shared" si="389"/>
        <v>0</v>
      </c>
      <c r="BT292" s="8"/>
      <c r="BU292" s="2">
        <f t="shared" si="402"/>
        <v>0</v>
      </c>
      <c r="BV292" s="2">
        <f t="shared" si="395"/>
        <v>0</v>
      </c>
      <c r="BW292" s="2">
        <f t="shared" si="396"/>
        <v>0</v>
      </c>
      <c r="BX292" s="2">
        <f t="shared" si="397"/>
        <v>0</v>
      </c>
      <c r="BY292" s="2">
        <f t="shared" si="386"/>
        <v>0</v>
      </c>
      <c r="BZ292" s="2">
        <f t="shared" si="384"/>
        <v>0</v>
      </c>
      <c r="CA292" s="2">
        <f t="shared" si="400"/>
        <v>0</v>
      </c>
      <c r="CB292" s="2">
        <f t="shared" si="401"/>
        <v>0</v>
      </c>
    </row>
    <row r="293" spans="1:80" s="33" customFormat="1" ht="15" customHeight="1" x14ac:dyDescent="0.2">
      <c r="A293" s="21" t="s">
        <v>132</v>
      </c>
      <c r="B293" s="30">
        <v>372</v>
      </c>
      <c r="C293" s="31">
        <v>1</v>
      </c>
      <c r="D293" s="30">
        <v>1</v>
      </c>
      <c r="E293" s="31">
        <v>0</v>
      </c>
      <c r="F293" s="30">
        <v>2024</v>
      </c>
      <c r="G293" s="30">
        <v>2024</v>
      </c>
      <c r="H293" s="22" t="s">
        <v>82</v>
      </c>
      <c r="I293" s="55" t="s">
        <v>56</v>
      </c>
      <c r="J293" s="23">
        <v>1</v>
      </c>
      <c r="K293" s="23" t="s">
        <v>59</v>
      </c>
      <c r="L293" s="23" t="s">
        <v>52</v>
      </c>
      <c r="M293" s="23" t="s">
        <v>52</v>
      </c>
      <c r="N293" s="23">
        <v>1</v>
      </c>
      <c r="O293" s="23">
        <v>0</v>
      </c>
      <c r="P293" s="23">
        <v>1</v>
      </c>
      <c r="Q293" s="23" t="s">
        <v>94</v>
      </c>
      <c r="R293" s="25">
        <v>0.25</v>
      </c>
      <c r="S293" s="23">
        <v>1</v>
      </c>
      <c r="T293" s="23">
        <v>0</v>
      </c>
      <c r="U293" s="23">
        <v>1</v>
      </c>
      <c r="V293" s="23">
        <v>1</v>
      </c>
      <c r="W293" s="23">
        <v>1</v>
      </c>
      <c r="X293" s="23">
        <v>0</v>
      </c>
      <c r="Y293" s="23">
        <v>0</v>
      </c>
      <c r="Z293" s="23">
        <v>0</v>
      </c>
      <c r="AA293" s="23" t="s">
        <v>135</v>
      </c>
      <c r="AB293" s="23">
        <v>0</v>
      </c>
      <c r="AC293" s="23">
        <v>0</v>
      </c>
      <c r="AD293" s="23">
        <v>0</v>
      </c>
      <c r="AE293" s="23">
        <v>1</v>
      </c>
      <c r="AF293" s="23">
        <v>1</v>
      </c>
      <c r="AG293" s="23">
        <v>1</v>
      </c>
      <c r="AH293" s="23">
        <v>0</v>
      </c>
      <c r="AI293" s="23">
        <v>1</v>
      </c>
      <c r="AJ293" s="23">
        <v>1</v>
      </c>
      <c r="AK293" s="23">
        <v>1</v>
      </c>
      <c r="AL293" s="23">
        <v>1</v>
      </c>
      <c r="AM293" s="23">
        <v>1</v>
      </c>
      <c r="AN293" s="23">
        <v>1</v>
      </c>
      <c r="AO293" s="23">
        <v>0</v>
      </c>
      <c r="AP293" s="23">
        <v>1</v>
      </c>
      <c r="AQ293" s="23">
        <v>1</v>
      </c>
      <c r="AR293" s="23">
        <v>1</v>
      </c>
      <c r="AS293" s="23">
        <v>0</v>
      </c>
      <c r="AT293" s="23">
        <v>1</v>
      </c>
      <c r="AU293" s="23">
        <v>1</v>
      </c>
      <c r="AV293" s="23">
        <v>1</v>
      </c>
      <c r="AW293" s="23">
        <v>1</v>
      </c>
      <c r="AX293" s="23">
        <v>0</v>
      </c>
      <c r="AY293" s="23">
        <v>1</v>
      </c>
      <c r="AZ293" s="23">
        <v>1</v>
      </c>
      <c r="BA293" s="23">
        <v>0</v>
      </c>
      <c r="BB293" s="23">
        <v>1</v>
      </c>
      <c r="BC293" s="23">
        <v>0</v>
      </c>
      <c r="BD293" s="23">
        <v>0</v>
      </c>
      <c r="BE293" s="23">
        <v>1</v>
      </c>
      <c r="BF293" s="23">
        <v>0</v>
      </c>
      <c r="BG293" s="23">
        <v>0</v>
      </c>
      <c r="BH293" s="23">
        <v>0</v>
      </c>
      <c r="BI293" s="23">
        <v>0</v>
      </c>
      <c r="BJ293" s="23">
        <v>0</v>
      </c>
      <c r="BK293" s="23">
        <v>1</v>
      </c>
      <c r="BL293" s="23">
        <v>1</v>
      </c>
      <c r="BM293" s="23">
        <v>1</v>
      </c>
      <c r="BN293" s="23">
        <v>0</v>
      </c>
      <c r="BO293" s="23">
        <v>1</v>
      </c>
      <c r="BP293" s="23">
        <v>0</v>
      </c>
      <c r="BQ293" s="23">
        <v>1</v>
      </c>
      <c r="BR293" s="23">
        <v>1</v>
      </c>
      <c r="BS293" s="23">
        <f t="shared" si="389"/>
        <v>23</v>
      </c>
      <c r="BT293" s="23"/>
      <c r="BU293" s="32">
        <f t="shared" si="402"/>
        <v>2</v>
      </c>
      <c r="BV293" s="32">
        <f t="shared" si="395"/>
        <v>7</v>
      </c>
      <c r="BW293" s="32">
        <f t="shared" si="396"/>
        <v>1</v>
      </c>
      <c r="BX293" s="32">
        <f t="shared" si="397"/>
        <v>10</v>
      </c>
      <c r="BY293" s="32">
        <f t="shared" si="386"/>
        <v>0</v>
      </c>
      <c r="BZ293" s="32">
        <f t="shared" si="384"/>
        <v>1</v>
      </c>
      <c r="CA293" s="32">
        <f t="shared" si="400"/>
        <v>1</v>
      </c>
      <c r="CB293" s="32">
        <f t="shared" si="401"/>
        <v>1</v>
      </c>
    </row>
    <row r="294" spans="1:80" ht="16" x14ac:dyDescent="0.2">
      <c r="A294" s="3" t="s">
        <v>136</v>
      </c>
      <c r="B294" s="10">
        <v>376</v>
      </c>
      <c r="C294" s="5">
        <v>1</v>
      </c>
      <c r="D294" s="10">
        <v>0</v>
      </c>
      <c r="E294" s="5">
        <v>0</v>
      </c>
      <c r="F294" s="10">
        <v>2020</v>
      </c>
      <c r="G294" s="10" t="s">
        <v>86</v>
      </c>
      <c r="H294" s="7" t="str">
        <f t="shared" si="399"/>
        <v>No</v>
      </c>
      <c r="I294" s="54" t="s">
        <v>55</v>
      </c>
      <c r="J294" s="8">
        <v>1</v>
      </c>
      <c r="K294" s="8" t="s">
        <v>63</v>
      </c>
      <c r="L294" s="8" t="s">
        <v>137</v>
      </c>
      <c r="M294" s="8" t="s">
        <v>137</v>
      </c>
      <c r="N294" s="8">
        <v>0</v>
      </c>
      <c r="O294" s="8">
        <v>0</v>
      </c>
      <c r="P294" s="8">
        <v>1</v>
      </c>
      <c r="Q294" s="8" t="s">
        <v>123</v>
      </c>
      <c r="R294" s="9">
        <v>0</v>
      </c>
      <c r="S294" s="8">
        <v>0</v>
      </c>
      <c r="T294" s="8">
        <v>0</v>
      </c>
      <c r="U294" s="8">
        <v>0</v>
      </c>
      <c r="V294" s="8">
        <v>0</v>
      </c>
      <c r="W294" s="8">
        <v>1</v>
      </c>
      <c r="X294" s="8">
        <v>0</v>
      </c>
      <c r="Y294" s="8">
        <v>0</v>
      </c>
      <c r="Z294" s="8">
        <v>0</v>
      </c>
      <c r="AA294" s="8" t="s">
        <v>138</v>
      </c>
      <c r="AB294" s="8">
        <v>0</v>
      </c>
      <c r="AC294" s="8">
        <v>0</v>
      </c>
      <c r="AD294" s="8">
        <v>0</v>
      </c>
      <c r="AE294" s="8">
        <v>0</v>
      </c>
      <c r="AF294" s="8">
        <v>0</v>
      </c>
      <c r="AG294" s="8">
        <v>0</v>
      </c>
      <c r="AH294" s="8">
        <v>0</v>
      </c>
      <c r="AI294" s="8">
        <v>0</v>
      </c>
      <c r="AJ294" s="8">
        <v>0</v>
      </c>
      <c r="AK294" s="8">
        <v>0</v>
      </c>
      <c r="AL294" s="8">
        <v>0</v>
      </c>
      <c r="AM294" s="8">
        <v>0</v>
      </c>
      <c r="AN294" s="8">
        <v>0</v>
      </c>
      <c r="AO294" s="8">
        <v>0</v>
      </c>
      <c r="AP294" s="8">
        <v>0</v>
      </c>
      <c r="AQ294" s="8">
        <v>0</v>
      </c>
      <c r="AR294" s="8">
        <v>0</v>
      </c>
      <c r="AS294" s="8">
        <v>0</v>
      </c>
      <c r="AT294" s="8">
        <v>0</v>
      </c>
      <c r="AU294" s="8">
        <v>0</v>
      </c>
      <c r="AV294" s="8">
        <v>0</v>
      </c>
      <c r="AW294" s="8">
        <v>0</v>
      </c>
      <c r="AX294" s="8">
        <v>0</v>
      </c>
      <c r="AY294" s="8">
        <v>0</v>
      </c>
      <c r="AZ294" s="8">
        <v>0</v>
      </c>
      <c r="BA294" s="8">
        <v>0</v>
      </c>
      <c r="BB294" s="8">
        <v>0</v>
      </c>
      <c r="BC294" s="8">
        <v>0</v>
      </c>
      <c r="BD294" s="8">
        <v>0</v>
      </c>
      <c r="BE294" s="8">
        <v>0</v>
      </c>
      <c r="BF294" s="8">
        <v>0</v>
      </c>
      <c r="BG294" s="8">
        <v>0</v>
      </c>
      <c r="BH294" s="8">
        <v>0</v>
      </c>
      <c r="BI294" s="8">
        <v>0</v>
      </c>
      <c r="BJ294" s="8">
        <v>0</v>
      </c>
      <c r="BK294" s="8">
        <v>0</v>
      </c>
      <c r="BL294" s="8">
        <v>0</v>
      </c>
      <c r="BM294" s="8">
        <v>0</v>
      </c>
      <c r="BN294" s="8">
        <v>0</v>
      </c>
      <c r="BO294" s="8">
        <v>0</v>
      </c>
      <c r="BP294" s="8">
        <v>0</v>
      </c>
      <c r="BQ294" s="8">
        <v>0</v>
      </c>
      <c r="BR294" s="8">
        <v>0</v>
      </c>
      <c r="BS294" s="8">
        <v>0</v>
      </c>
      <c r="BT294" s="8"/>
      <c r="BU294" s="2">
        <f t="shared" si="402"/>
        <v>0</v>
      </c>
      <c r="BV294" s="2">
        <f t="shared" si="395"/>
        <v>0</v>
      </c>
      <c r="BW294" s="2">
        <f t="shared" si="396"/>
        <v>0</v>
      </c>
      <c r="BX294" s="2">
        <f t="shared" si="397"/>
        <v>0</v>
      </c>
      <c r="BY294" s="2">
        <f t="shared" si="386"/>
        <v>0</v>
      </c>
      <c r="BZ294" s="2">
        <f t="shared" si="384"/>
        <v>0</v>
      </c>
      <c r="CA294" s="2">
        <f t="shared" si="400"/>
        <v>0</v>
      </c>
      <c r="CB294" s="2">
        <f t="shared" si="401"/>
        <v>0</v>
      </c>
    </row>
    <row r="295" spans="1:80" ht="16" x14ac:dyDescent="0.2">
      <c r="A295" s="3" t="s">
        <v>136</v>
      </c>
      <c r="B295" s="10">
        <v>376</v>
      </c>
      <c r="C295" s="5">
        <v>1</v>
      </c>
      <c r="D295" s="10">
        <v>0</v>
      </c>
      <c r="E295" s="5">
        <v>0</v>
      </c>
      <c r="F295" s="10">
        <v>2020</v>
      </c>
      <c r="G295" s="10" t="s">
        <v>90</v>
      </c>
      <c r="H295" s="7" t="str">
        <f t="shared" si="399"/>
        <v>No</v>
      </c>
      <c r="I295" s="54" t="s">
        <v>55</v>
      </c>
      <c r="J295" s="8">
        <v>1</v>
      </c>
      <c r="K295" s="8" t="s">
        <v>63</v>
      </c>
      <c r="L295" s="8" t="s">
        <v>137</v>
      </c>
      <c r="M295" s="8" t="s">
        <v>137</v>
      </c>
      <c r="N295" s="8">
        <v>0</v>
      </c>
      <c r="O295" s="8">
        <v>0</v>
      </c>
      <c r="P295" s="8">
        <v>1</v>
      </c>
      <c r="Q295" s="8" t="s">
        <v>123</v>
      </c>
      <c r="R295" s="9">
        <v>0</v>
      </c>
      <c r="S295" s="8">
        <v>0</v>
      </c>
      <c r="T295" s="8">
        <v>0</v>
      </c>
      <c r="U295" s="8">
        <v>0</v>
      </c>
      <c r="V295" s="8">
        <v>0</v>
      </c>
      <c r="W295" s="8">
        <v>1</v>
      </c>
      <c r="X295" s="8">
        <v>0</v>
      </c>
      <c r="Y295" s="8">
        <v>0</v>
      </c>
      <c r="Z295" s="8">
        <v>0</v>
      </c>
      <c r="AA295" s="8" t="s">
        <v>138</v>
      </c>
      <c r="AB295" s="8">
        <v>0</v>
      </c>
      <c r="AC295" s="8">
        <v>0</v>
      </c>
      <c r="AD295" s="8">
        <v>0</v>
      </c>
      <c r="AE295" s="8">
        <v>0</v>
      </c>
      <c r="AF295" s="8">
        <v>0</v>
      </c>
      <c r="AG295" s="8">
        <v>0</v>
      </c>
      <c r="AH295" s="8">
        <v>0</v>
      </c>
      <c r="AI295" s="8">
        <v>0</v>
      </c>
      <c r="AJ295" s="8">
        <v>0</v>
      </c>
      <c r="AK295" s="8">
        <v>0</v>
      </c>
      <c r="AL295" s="8">
        <v>0</v>
      </c>
      <c r="AM295" s="8">
        <v>0</v>
      </c>
      <c r="AN295" s="8">
        <v>0</v>
      </c>
      <c r="AO295" s="8">
        <v>0</v>
      </c>
      <c r="AP295" s="8">
        <v>0</v>
      </c>
      <c r="AQ295" s="8">
        <v>0</v>
      </c>
      <c r="AR295" s="8">
        <v>0</v>
      </c>
      <c r="AS295" s="8">
        <v>0</v>
      </c>
      <c r="AT295" s="8">
        <v>0</v>
      </c>
      <c r="AU295" s="8">
        <v>0</v>
      </c>
      <c r="AV295" s="8">
        <v>0</v>
      </c>
      <c r="AW295" s="8">
        <v>0</v>
      </c>
      <c r="AX295" s="8">
        <v>0</v>
      </c>
      <c r="AY295" s="8">
        <v>0</v>
      </c>
      <c r="AZ295" s="8">
        <v>0</v>
      </c>
      <c r="BA295" s="8">
        <v>0</v>
      </c>
      <c r="BB295" s="8">
        <v>0</v>
      </c>
      <c r="BC295" s="8">
        <v>0</v>
      </c>
      <c r="BD295" s="8">
        <v>0</v>
      </c>
      <c r="BE295" s="8">
        <v>0</v>
      </c>
      <c r="BF295" s="8">
        <v>0</v>
      </c>
      <c r="BG295" s="8">
        <v>0</v>
      </c>
      <c r="BH295" s="8">
        <v>0</v>
      </c>
      <c r="BI295" s="8">
        <v>0</v>
      </c>
      <c r="BJ295" s="8">
        <v>0</v>
      </c>
      <c r="BK295" s="8">
        <v>0</v>
      </c>
      <c r="BL295" s="8">
        <v>0</v>
      </c>
      <c r="BM295" s="8">
        <v>0</v>
      </c>
      <c r="BN295" s="8">
        <v>0</v>
      </c>
      <c r="BO295" s="8">
        <v>0</v>
      </c>
      <c r="BP295" s="8">
        <v>0</v>
      </c>
      <c r="BQ295" s="8">
        <v>0</v>
      </c>
      <c r="BR295" s="8">
        <v>0</v>
      </c>
      <c r="BS295" s="8">
        <v>0</v>
      </c>
      <c r="BT295" s="8"/>
      <c r="BU295" s="2">
        <f t="shared" si="402"/>
        <v>0</v>
      </c>
      <c r="BV295" s="2">
        <f t="shared" si="395"/>
        <v>0</v>
      </c>
      <c r="BW295" s="2">
        <f t="shared" si="396"/>
        <v>0</v>
      </c>
      <c r="BX295" s="2">
        <f t="shared" si="397"/>
        <v>0</v>
      </c>
      <c r="BY295" s="2">
        <f t="shared" si="386"/>
        <v>0</v>
      </c>
      <c r="BZ295" s="2">
        <f t="shared" si="384"/>
        <v>0</v>
      </c>
      <c r="CA295" s="2">
        <f t="shared" si="400"/>
        <v>0</v>
      </c>
      <c r="CB295" s="2">
        <f t="shared" si="401"/>
        <v>0</v>
      </c>
    </row>
    <row r="296" spans="1:80" ht="16" x14ac:dyDescent="0.2">
      <c r="A296" s="3" t="s">
        <v>136</v>
      </c>
      <c r="B296" s="10">
        <v>376</v>
      </c>
      <c r="C296" s="5">
        <v>1</v>
      </c>
      <c r="D296" s="10">
        <v>0</v>
      </c>
      <c r="E296" s="5">
        <v>0</v>
      </c>
      <c r="F296" s="10">
        <v>2020</v>
      </c>
      <c r="G296" s="10" t="s">
        <v>91</v>
      </c>
      <c r="H296" s="7" t="str">
        <f t="shared" si="399"/>
        <v>No</v>
      </c>
      <c r="I296" s="54" t="s">
        <v>55</v>
      </c>
      <c r="J296" s="8">
        <v>1</v>
      </c>
      <c r="K296" s="8" t="s">
        <v>63</v>
      </c>
      <c r="L296" s="8" t="s">
        <v>137</v>
      </c>
      <c r="M296" s="8" t="s">
        <v>137</v>
      </c>
      <c r="N296" s="8">
        <v>0</v>
      </c>
      <c r="O296" s="8">
        <v>0</v>
      </c>
      <c r="P296" s="8">
        <v>1</v>
      </c>
      <c r="Q296" s="8" t="s">
        <v>123</v>
      </c>
      <c r="R296" s="9">
        <v>0</v>
      </c>
      <c r="S296" s="8">
        <v>0</v>
      </c>
      <c r="T296" s="8">
        <v>0</v>
      </c>
      <c r="U296" s="8">
        <v>0</v>
      </c>
      <c r="V296" s="8">
        <v>0</v>
      </c>
      <c r="W296" s="8">
        <v>1</v>
      </c>
      <c r="X296" s="8">
        <v>0</v>
      </c>
      <c r="Y296" s="8">
        <v>0</v>
      </c>
      <c r="Z296" s="8">
        <v>0</v>
      </c>
      <c r="AA296" s="8" t="s">
        <v>138</v>
      </c>
      <c r="AB296" s="8">
        <v>0</v>
      </c>
      <c r="AC296" s="8">
        <v>0</v>
      </c>
      <c r="AD296" s="8">
        <v>0</v>
      </c>
      <c r="AE296" s="8">
        <v>0</v>
      </c>
      <c r="AF296" s="8">
        <v>0</v>
      </c>
      <c r="AG296" s="8">
        <v>0</v>
      </c>
      <c r="AH296" s="8">
        <v>0</v>
      </c>
      <c r="AI296" s="8">
        <v>0</v>
      </c>
      <c r="AJ296" s="8">
        <v>0</v>
      </c>
      <c r="AK296" s="8">
        <v>0</v>
      </c>
      <c r="AL296" s="8">
        <v>0</v>
      </c>
      <c r="AM296" s="8">
        <v>0</v>
      </c>
      <c r="AN296" s="8">
        <v>0</v>
      </c>
      <c r="AO296" s="8">
        <v>0</v>
      </c>
      <c r="AP296" s="8">
        <v>0</v>
      </c>
      <c r="AQ296" s="8">
        <v>0</v>
      </c>
      <c r="AR296" s="8">
        <v>0</v>
      </c>
      <c r="AS296" s="8">
        <v>0</v>
      </c>
      <c r="AT296" s="8">
        <v>0</v>
      </c>
      <c r="AU296" s="8">
        <v>0</v>
      </c>
      <c r="AV296" s="8">
        <v>0</v>
      </c>
      <c r="AW296" s="8">
        <v>0</v>
      </c>
      <c r="AX296" s="8">
        <v>0</v>
      </c>
      <c r="AY296" s="8">
        <v>0</v>
      </c>
      <c r="AZ296" s="8">
        <v>0</v>
      </c>
      <c r="BA296" s="8">
        <v>0</v>
      </c>
      <c r="BB296" s="8">
        <v>0</v>
      </c>
      <c r="BC296" s="8">
        <v>0</v>
      </c>
      <c r="BD296" s="8">
        <v>0</v>
      </c>
      <c r="BE296" s="8">
        <v>0</v>
      </c>
      <c r="BF296" s="8">
        <v>0</v>
      </c>
      <c r="BG296" s="8">
        <v>0</v>
      </c>
      <c r="BH296" s="8">
        <v>0</v>
      </c>
      <c r="BI296" s="8">
        <v>0</v>
      </c>
      <c r="BJ296" s="8">
        <v>0</v>
      </c>
      <c r="BK296" s="8">
        <v>0</v>
      </c>
      <c r="BL296" s="8">
        <v>0</v>
      </c>
      <c r="BM296" s="8">
        <v>0</v>
      </c>
      <c r="BN296" s="8">
        <v>0</v>
      </c>
      <c r="BO296" s="8">
        <v>0</v>
      </c>
      <c r="BP296" s="8">
        <v>0</v>
      </c>
      <c r="BQ296" s="8">
        <v>0</v>
      </c>
      <c r="BR296" s="8">
        <v>0</v>
      </c>
      <c r="BS296" s="8">
        <v>0</v>
      </c>
      <c r="BT296" s="8"/>
      <c r="BU296" s="2">
        <f t="shared" si="402"/>
        <v>0</v>
      </c>
      <c r="BV296" s="2">
        <f t="shared" ref="BV296:BV547" si="403">SUM(AK296, AL296, AM296,AJ296,BL296,BO296, AP296)</f>
        <v>0</v>
      </c>
      <c r="BW296" s="2">
        <f t="shared" si="396"/>
        <v>0</v>
      </c>
      <c r="BX296" s="2">
        <f t="shared" si="397"/>
        <v>0</v>
      </c>
      <c r="BY296" s="2">
        <f t="shared" si="386"/>
        <v>0</v>
      </c>
      <c r="BZ296" s="2">
        <f t="shared" si="384"/>
        <v>0</v>
      </c>
      <c r="CA296" s="2">
        <f t="shared" si="400"/>
        <v>0</v>
      </c>
      <c r="CB296" s="2">
        <f t="shared" si="401"/>
        <v>0</v>
      </c>
    </row>
    <row r="297" spans="1:80" ht="16" x14ac:dyDescent="0.2">
      <c r="A297" s="3" t="s">
        <v>136</v>
      </c>
      <c r="B297" s="10">
        <v>376</v>
      </c>
      <c r="C297" s="5">
        <v>1</v>
      </c>
      <c r="D297" s="10">
        <v>0</v>
      </c>
      <c r="E297" s="5">
        <v>0</v>
      </c>
      <c r="F297" s="10">
        <v>2020</v>
      </c>
      <c r="G297" s="10" t="s">
        <v>93</v>
      </c>
      <c r="H297" s="7" t="str">
        <f t="shared" si="399"/>
        <v>No</v>
      </c>
      <c r="I297" s="54" t="s">
        <v>55</v>
      </c>
      <c r="J297" s="8">
        <v>1</v>
      </c>
      <c r="K297" s="8" t="s">
        <v>63</v>
      </c>
      <c r="L297" s="8" t="s">
        <v>137</v>
      </c>
      <c r="M297" s="8" t="s">
        <v>137</v>
      </c>
      <c r="N297" s="8">
        <v>0</v>
      </c>
      <c r="O297" s="8">
        <v>0</v>
      </c>
      <c r="P297" s="8">
        <v>1</v>
      </c>
      <c r="Q297" s="8" t="s">
        <v>123</v>
      </c>
      <c r="R297" s="9">
        <v>0</v>
      </c>
      <c r="S297" s="8">
        <v>0</v>
      </c>
      <c r="T297" s="8">
        <v>0</v>
      </c>
      <c r="U297" s="8">
        <v>0</v>
      </c>
      <c r="V297" s="8">
        <v>0</v>
      </c>
      <c r="W297" s="8">
        <v>1</v>
      </c>
      <c r="X297" s="8">
        <v>0</v>
      </c>
      <c r="Y297" s="8">
        <v>0</v>
      </c>
      <c r="Z297" s="8">
        <v>0</v>
      </c>
      <c r="AA297" s="8" t="s">
        <v>138</v>
      </c>
      <c r="AB297" s="8">
        <v>0</v>
      </c>
      <c r="AC297" s="8">
        <v>0</v>
      </c>
      <c r="AD297" s="8">
        <v>0</v>
      </c>
      <c r="AE297" s="8">
        <v>0</v>
      </c>
      <c r="AF297" s="8">
        <v>0</v>
      </c>
      <c r="AG297" s="8">
        <v>0</v>
      </c>
      <c r="AH297" s="8">
        <v>0</v>
      </c>
      <c r="AI297" s="8">
        <v>0</v>
      </c>
      <c r="AJ297" s="8">
        <v>0</v>
      </c>
      <c r="AK297" s="8">
        <v>0</v>
      </c>
      <c r="AL297" s="8">
        <v>0</v>
      </c>
      <c r="AM297" s="8">
        <v>0</v>
      </c>
      <c r="AN297" s="8">
        <v>0</v>
      </c>
      <c r="AO297" s="8">
        <v>0</v>
      </c>
      <c r="AP297" s="8">
        <v>0</v>
      </c>
      <c r="AQ297" s="8">
        <v>0</v>
      </c>
      <c r="AR297" s="8">
        <v>0</v>
      </c>
      <c r="AS297" s="8">
        <v>0</v>
      </c>
      <c r="AT297" s="8">
        <v>0</v>
      </c>
      <c r="AU297" s="8">
        <v>0</v>
      </c>
      <c r="AV297" s="8">
        <v>0</v>
      </c>
      <c r="AW297" s="8">
        <v>0</v>
      </c>
      <c r="AX297" s="8">
        <v>0</v>
      </c>
      <c r="AY297" s="8">
        <v>0</v>
      </c>
      <c r="AZ297" s="8">
        <v>0</v>
      </c>
      <c r="BA297" s="8">
        <v>0</v>
      </c>
      <c r="BB297" s="8">
        <v>0</v>
      </c>
      <c r="BC297" s="8">
        <v>0</v>
      </c>
      <c r="BD297" s="8">
        <v>0</v>
      </c>
      <c r="BE297" s="8">
        <v>0</v>
      </c>
      <c r="BF297" s="8">
        <v>0</v>
      </c>
      <c r="BG297" s="8">
        <v>0</v>
      </c>
      <c r="BH297" s="8">
        <v>0</v>
      </c>
      <c r="BI297" s="8">
        <v>0</v>
      </c>
      <c r="BJ297" s="8">
        <v>0</v>
      </c>
      <c r="BK297" s="8">
        <v>0</v>
      </c>
      <c r="BL297" s="8">
        <v>0</v>
      </c>
      <c r="BM297" s="8">
        <v>0</v>
      </c>
      <c r="BN297" s="8">
        <v>0</v>
      </c>
      <c r="BO297" s="8">
        <v>0</v>
      </c>
      <c r="BP297" s="8">
        <v>0</v>
      </c>
      <c r="BQ297" s="8">
        <v>0</v>
      </c>
      <c r="BR297" s="8">
        <v>0</v>
      </c>
      <c r="BS297" s="8">
        <v>0</v>
      </c>
      <c r="BT297" s="8"/>
      <c r="BU297" s="2">
        <f t="shared" si="402"/>
        <v>0</v>
      </c>
      <c r="BV297" s="2">
        <f t="shared" si="403"/>
        <v>0</v>
      </c>
      <c r="BW297" s="2">
        <f t="shared" ref="BW297:BW547" si="404">SUM(AN297, AO297, AS297)</f>
        <v>0</v>
      </c>
      <c r="BX297" s="2">
        <f t="shared" si="397"/>
        <v>0</v>
      </c>
      <c r="BY297" s="2">
        <f t="shared" si="386"/>
        <v>0</v>
      </c>
      <c r="BZ297" s="2">
        <f t="shared" si="384"/>
        <v>0</v>
      </c>
      <c r="CA297" s="2">
        <f t="shared" si="400"/>
        <v>0</v>
      </c>
      <c r="CB297" s="2">
        <f t="shared" si="401"/>
        <v>0</v>
      </c>
    </row>
    <row r="298" spans="1:80" ht="16" x14ac:dyDescent="0.2">
      <c r="A298" s="3" t="s">
        <v>136</v>
      </c>
      <c r="B298" s="10">
        <v>376</v>
      </c>
      <c r="C298" s="5">
        <v>1</v>
      </c>
      <c r="D298" s="10">
        <v>0</v>
      </c>
      <c r="E298" s="5">
        <v>0</v>
      </c>
      <c r="F298" s="10">
        <v>2020</v>
      </c>
      <c r="G298" s="10" t="s">
        <v>70</v>
      </c>
      <c r="H298" s="7" t="str">
        <f t="shared" si="399"/>
        <v>No</v>
      </c>
      <c r="I298" s="54" t="s">
        <v>55</v>
      </c>
      <c r="J298" s="8">
        <v>1</v>
      </c>
      <c r="K298" s="8" t="s">
        <v>63</v>
      </c>
      <c r="L298" s="8" t="s">
        <v>137</v>
      </c>
      <c r="M298" s="8" t="s">
        <v>137</v>
      </c>
      <c r="N298" s="8">
        <v>0</v>
      </c>
      <c r="O298" s="8">
        <v>0</v>
      </c>
      <c r="P298" s="8">
        <v>1</v>
      </c>
      <c r="Q298" s="8" t="s">
        <v>123</v>
      </c>
      <c r="R298" s="9">
        <v>0</v>
      </c>
      <c r="S298" s="8">
        <v>0</v>
      </c>
      <c r="T298" s="8">
        <v>0</v>
      </c>
      <c r="U298" s="8">
        <v>0</v>
      </c>
      <c r="V298" s="8">
        <v>0</v>
      </c>
      <c r="W298" s="8">
        <v>1</v>
      </c>
      <c r="X298" s="8">
        <v>0</v>
      </c>
      <c r="Y298" s="8">
        <v>0</v>
      </c>
      <c r="Z298" s="8">
        <v>0</v>
      </c>
      <c r="AA298" s="8" t="s">
        <v>138</v>
      </c>
      <c r="AB298" s="8">
        <v>0</v>
      </c>
      <c r="AC298" s="8">
        <v>0</v>
      </c>
      <c r="AD298" s="8">
        <v>0</v>
      </c>
      <c r="AE298" s="8">
        <v>0</v>
      </c>
      <c r="AF298" s="8">
        <v>0</v>
      </c>
      <c r="AG298" s="8">
        <v>0</v>
      </c>
      <c r="AH298" s="8">
        <v>0</v>
      </c>
      <c r="AI298" s="8">
        <v>0</v>
      </c>
      <c r="AJ298" s="8">
        <v>0</v>
      </c>
      <c r="AK298" s="8">
        <v>0</v>
      </c>
      <c r="AL298" s="8">
        <v>0</v>
      </c>
      <c r="AM298" s="8">
        <v>0</v>
      </c>
      <c r="AN298" s="8">
        <v>0</v>
      </c>
      <c r="AO298" s="8">
        <v>0</v>
      </c>
      <c r="AP298" s="8">
        <v>0</v>
      </c>
      <c r="AQ298" s="8">
        <v>0</v>
      </c>
      <c r="AR298" s="8">
        <v>0</v>
      </c>
      <c r="AS298" s="8">
        <v>0</v>
      </c>
      <c r="AT298" s="8">
        <v>0</v>
      </c>
      <c r="AU298" s="8">
        <v>0</v>
      </c>
      <c r="AV298" s="8">
        <v>0</v>
      </c>
      <c r="AW298" s="8">
        <v>0</v>
      </c>
      <c r="AX298" s="8">
        <v>0</v>
      </c>
      <c r="AY298" s="8">
        <v>0</v>
      </c>
      <c r="AZ298" s="8">
        <v>0</v>
      </c>
      <c r="BA298" s="8">
        <v>0</v>
      </c>
      <c r="BB298" s="8">
        <v>0</v>
      </c>
      <c r="BC298" s="8">
        <v>0</v>
      </c>
      <c r="BD298" s="8">
        <v>0</v>
      </c>
      <c r="BE298" s="8">
        <v>0</v>
      </c>
      <c r="BF298" s="8">
        <v>0</v>
      </c>
      <c r="BG298" s="8">
        <v>0</v>
      </c>
      <c r="BH298" s="8">
        <v>0</v>
      </c>
      <c r="BI298" s="8">
        <v>0</v>
      </c>
      <c r="BJ298" s="8">
        <v>0</v>
      </c>
      <c r="BK298" s="8">
        <v>0</v>
      </c>
      <c r="BL298" s="8">
        <v>0</v>
      </c>
      <c r="BM298" s="8">
        <v>0</v>
      </c>
      <c r="BN298" s="8">
        <v>0</v>
      </c>
      <c r="BO298" s="8">
        <v>0</v>
      </c>
      <c r="BP298" s="8">
        <v>0</v>
      </c>
      <c r="BQ298" s="8">
        <v>0</v>
      </c>
      <c r="BR298" s="8">
        <v>0</v>
      </c>
      <c r="BS298" s="8">
        <v>0</v>
      </c>
      <c r="BT298" s="8"/>
      <c r="BU298" s="2">
        <f t="shared" si="402"/>
        <v>0</v>
      </c>
      <c r="BV298" s="2">
        <f t="shared" si="403"/>
        <v>0</v>
      </c>
      <c r="BW298" s="2">
        <f t="shared" si="404"/>
        <v>0</v>
      </c>
      <c r="BX298" s="2">
        <f t="shared" si="397"/>
        <v>0</v>
      </c>
      <c r="BY298" s="2">
        <f t="shared" si="386"/>
        <v>0</v>
      </c>
      <c r="BZ298" s="2">
        <f t="shared" si="384"/>
        <v>0</v>
      </c>
      <c r="CA298" s="2">
        <f t="shared" si="400"/>
        <v>0</v>
      </c>
      <c r="CB298" s="2">
        <f t="shared" si="401"/>
        <v>0</v>
      </c>
    </row>
    <row r="299" spans="1:80" ht="16" x14ac:dyDescent="0.2">
      <c r="A299" s="3" t="s">
        <v>136</v>
      </c>
      <c r="B299" s="10">
        <v>376</v>
      </c>
      <c r="C299" s="5">
        <v>1</v>
      </c>
      <c r="D299" s="10">
        <v>0</v>
      </c>
      <c r="E299" s="5">
        <v>0</v>
      </c>
      <c r="F299" s="10">
        <v>2020</v>
      </c>
      <c r="G299" s="10" t="s">
        <v>71</v>
      </c>
      <c r="H299" s="7" t="str">
        <f t="shared" si="399"/>
        <v>No</v>
      </c>
      <c r="I299" s="54" t="s">
        <v>55</v>
      </c>
      <c r="J299" s="8">
        <v>1</v>
      </c>
      <c r="K299" s="8" t="s">
        <v>63</v>
      </c>
      <c r="L299" s="8" t="s">
        <v>137</v>
      </c>
      <c r="M299" s="8" t="s">
        <v>137</v>
      </c>
      <c r="N299" s="8">
        <v>0</v>
      </c>
      <c r="O299" s="8">
        <v>0</v>
      </c>
      <c r="P299" s="8">
        <v>1</v>
      </c>
      <c r="Q299" s="8" t="s">
        <v>123</v>
      </c>
      <c r="R299" s="9">
        <v>0</v>
      </c>
      <c r="S299" s="8">
        <v>0</v>
      </c>
      <c r="T299" s="8">
        <v>0</v>
      </c>
      <c r="U299" s="8">
        <v>0</v>
      </c>
      <c r="V299" s="8">
        <v>0</v>
      </c>
      <c r="W299" s="8">
        <v>1</v>
      </c>
      <c r="X299" s="8">
        <v>0</v>
      </c>
      <c r="Y299" s="8">
        <v>0</v>
      </c>
      <c r="Z299" s="8">
        <v>0</v>
      </c>
      <c r="AA299" s="8" t="s">
        <v>138</v>
      </c>
      <c r="AB299" s="8">
        <v>0</v>
      </c>
      <c r="AC299" s="8">
        <v>0</v>
      </c>
      <c r="AD299" s="8">
        <v>0</v>
      </c>
      <c r="AE299" s="8">
        <v>0</v>
      </c>
      <c r="AF299" s="8">
        <v>0</v>
      </c>
      <c r="AG299" s="8">
        <v>0</v>
      </c>
      <c r="AH299" s="8">
        <v>0</v>
      </c>
      <c r="AI299" s="8">
        <v>0</v>
      </c>
      <c r="AJ299" s="8">
        <v>0</v>
      </c>
      <c r="AK299" s="8">
        <v>0</v>
      </c>
      <c r="AL299" s="8">
        <v>0</v>
      </c>
      <c r="AM299" s="8">
        <v>0</v>
      </c>
      <c r="AN299" s="8">
        <v>0</v>
      </c>
      <c r="AO299" s="8">
        <v>0</v>
      </c>
      <c r="AP299" s="8">
        <v>0</v>
      </c>
      <c r="AQ299" s="8">
        <v>0</v>
      </c>
      <c r="AR299" s="8">
        <v>0</v>
      </c>
      <c r="AS299" s="8">
        <v>0</v>
      </c>
      <c r="AT299" s="8">
        <v>0</v>
      </c>
      <c r="AU299" s="8">
        <v>0</v>
      </c>
      <c r="AV299" s="8">
        <v>0</v>
      </c>
      <c r="AW299" s="8">
        <v>0</v>
      </c>
      <c r="AX299" s="8">
        <v>0</v>
      </c>
      <c r="AY299" s="8">
        <v>0</v>
      </c>
      <c r="AZ299" s="8">
        <v>0</v>
      </c>
      <c r="BA299" s="8">
        <v>0</v>
      </c>
      <c r="BB299" s="8">
        <v>0</v>
      </c>
      <c r="BC299" s="8">
        <v>0</v>
      </c>
      <c r="BD299" s="8">
        <v>0</v>
      </c>
      <c r="BE299" s="8">
        <v>0</v>
      </c>
      <c r="BF299" s="8">
        <v>0</v>
      </c>
      <c r="BG299" s="8">
        <v>0</v>
      </c>
      <c r="BH299" s="8">
        <v>0</v>
      </c>
      <c r="BI299" s="8">
        <v>0</v>
      </c>
      <c r="BJ299" s="8">
        <v>0</v>
      </c>
      <c r="BK299" s="8">
        <v>0</v>
      </c>
      <c r="BL299" s="8">
        <v>0</v>
      </c>
      <c r="BM299" s="8">
        <v>0</v>
      </c>
      <c r="BN299" s="8">
        <v>0</v>
      </c>
      <c r="BO299" s="8">
        <v>0</v>
      </c>
      <c r="BP299" s="8">
        <v>0</v>
      </c>
      <c r="BQ299" s="8">
        <v>0</v>
      </c>
      <c r="BR299" s="8">
        <v>0</v>
      </c>
      <c r="BS299" s="8">
        <v>0</v>
      </c>
      <c r="BT299" s="8"/>
      <c r="BU299" s="2">
        <f t="shared" si="402"/>
        <v>0</v>
      </c>
      <c r="BV299" s="2">
        <f t="shared" si="403"/>
        <v>0</v>
      </c>
      <c r="BW299" s="2">
        <f t="shared" si="404"/>
        <v>0</v>
      </c>
      <c r="BX299" s="2">
        <f t="shared" si="397"/>
        <v>0</v>
      </c>
      <c r="BY299" s="2">
        <f t="shared" ref="BY299:BY547" si="405">SUM(BP299, BN299)</f>
        <v>0</v>
      </c>
      <c r="BZ299" s="2">
        <f t="shared" si="384"/>
        <v>0</v>
      </c>
      <c r="CA299" s="2">
        <f t="shared" si="400"/>
        <v>0</v>
      </c>
      <c r="CB299" s="2">
        <f t="shared" si="401"/>
        <v>0</v>
      </c>
    </row>
    <row r="300" spans="1:80" ht="16" x14ac:dyDescent="0.2">
      <c r="A300" s="3" t="s">
        <v>136</v>
      </c>
      <c r="B300" s="10">
        <v>376</v>
      </c>
      <c r="C300" s="5">
        <v>1</v>
      </c>
      <c r="D300" s="10">
        <v>0</v>
      </c>
      <c r="E300" s="5">
        <v>0</v>
      </c>
      <c r="F300" s="10">
        <v>2020</v>
      </c>
      <c r="G300" s="10" t="s">
        <v>72</v>
      </c>
      <c r="H300" s="7" t="str">
        <f t="shared" si="399"/>
        <v>No</v>
      </c>
      <c r="I300" s="54" t="s">
        <v>55</v>
      </c>
      <c r="J300" s="8">
        <v>1</v>
      </c>
      <c r="K300" s="8" t="s">
        <v>63</v>
      </c>
      <c r="L300" s="8" t="s">
        <v>137</v>
      </c>
      <c r="M300" s="8" t="s">
        <v>137</v>
      </c>
      <c r="N300" s="8">
        <v>0</v>
      </c>
      <c r="O300" s="8">
        <v>0</v>
      </c>
      <c r="P300" s="8">
        <v>1</v>
      </c>
      <c r="Q300" s="8" t="s">
        <v>123</v>
      </c>
      <c r="R300" s="9">
        <v>0</v>
      </c>
      <c r="S300" s="8">
        <v>0</v>
      </c>
      <c r="T300" s="8">
        <v>0</v>
      </c>
      <c r="U300" s="8">
        <v>0</v>
      </c>
      <c r="V300" s="8">
        <v>0</v>
      </c>
      <c r="W300" s="8">
        <v>1</v>
      </c>
      <c r="X300" s="8">
        <v>0</v>
      </c>
      <c r="Y300" s="8">
        <v>0</v>
      </c>
      <c r="Z300" s="8">
        <v>0</v>
      </c>
      <c r="AA300" s="8" t="s">
        <v>138</v>
      </c>
      <c r="AB300" s="8">
        <v>0</v>
      </c>
      <c r="AC300" s="8">
        <v>0</v>
      </c>
      <c r="AD300" s="8">
        <v>0</v>
      </c>
      <c r="AE300" s="8">
        <v>0</v>
      </c>
      <c r="AF300" s="8">
        <v>0</v>
      </c>
      <c r="AG300" s="8">
        <v>0</v>
      </c>
      <c r="AH300" s="8">
        <v>0</v>
      </c>
      <c r="AI300" s="8">
        <v>0</v>
      </c>
      <c r="AJ300" s="8">
        <v>0</v>
      </c>
      <c r="AK300" s="8">
        <v>0</v>
      </c>
      <c r="AL300" s="8">
        <v>0</v>
      </c>
      <c r="AM300" s="8">
        <v>0</v>
      </c>
      <c r="AN300" s="8">
        <v>0</v>
      </c>
      <c r="AO300" s="8">
        <v>0</v>
      </c>
      <c r="AP300" s="8">
        <v>0</v>
      </c>
      <c r="AQ300" s="8">
        <v>0</v>
      </c>
      <c r="AR300" s="8">
        <v>0</v>
      </c>
      <c r="AS300" s="8">
        <v>0</v>
      </c>
      <c r="AT300" s="8">
        <v>0</v>
      </c>
      <c r="AU300" s="8">
        <v>0</v>
      </c>
      <c r="AV300" s="8">
        <v>0</v>
      </c>
      <c r="AW300" s="8">
        <v>0</v>
      </c>
      <c r="AX300" s="8">
        <v>0</v>
      </c>
      <c r="AY300" s="8">
        <v>0</v>
      </c>
      <c r="AZ300" s="8">
        <v>0</v>
      </c>
      <c r="BA300" s="8">
        <v>0</v>
      </c>
      <c r="BB300" s="8">
        <v>0</v>
      </c>
      <c r="BC300" s="8">
        <v>0</v>
      </c>
      <c r="BD300" s="8">
        <v>0</v>
      </c>
      <c r="BE300" s="8">
        <v>0</v>
      </c>
      <c r="BF300" s="8">
        <v>0</v>
      </c>
      <c r="BG300" s="8">
        <v>0</v>
      </c>
      <c r="BH300" s="8">
        <v>0</v>
      </c>
      <c r="BI300" s="8">
        <v>0</v>
      </c>
      <c r="BJ300" s="8">
        <v>0</v>
      </c>
      <c r="BK300" s="8">
        <v>0</v>
      </c>
      <c r="BL300" s="8">
        <v>0</v>
      </c>
      <c r="BM300" s="8">
        <v>0</v>
      </c>
      <c r="BN300" s="8">
        <v>0</v>
      </c>
      <c r="BO300" s="8">
        <v>0</v>
      </c>
      <c r="BP300" s="8">
        <v>0</v>
      </c>
      <c r="BQ300" s="8">
        <v>0</v>
      </c>
      <c r="BR300" s="8">
        <v>0</v>
      </c>
      <c r="BS300" s="8">
        <v>0</v>
      </c>
      <c r="BT300" s="8"/>
      <c r="BU300" s="2">
        <f t="shared" si="402"/>
        <v>0</v>
      </c>
      <c r="BV300" s="2">
        <f t="shared" si="403"/>
        <v>0</v>
      </c>
      <c r="BW300" s="2">
        <f t="shared" si="404"/>
        <v>0</v>
      </c>
      <c r="BX300" s="2">
        <f t="shared" si="397"/>
        <v>0</v>
      </c>
      <c r="BY300" s="2">
        <f t="shared" si="405"/>
        <v>0</v>
      </c>
      <c r="BZ300" s="2">
        <f t="shared" si="384"/>
        <v>0</v>
      </c>
      <c r="CA300" s="2">
        <f t="shared" si="400"/>
        <v>0</v>
      </c>
      <c r="CB300" s="2">
        <f t="shared" si="401"/>
        <v>0</v>
      </c>
    </row>
    <row r="301" spans="1:80" ht="16" x14ac:dyDescent="0.2">
      <c r="A301" s="3" t="s">
        <v>136</v>
      </c>
      <c r="B301" s="10">
        <v>376</v>
      </c>
      <c r="C301" s="5">
        <v>1</v>
      </c>
      <c r="D301" s="10">
        <v>0</v>
      </c>
      <c r="E301" s="5">
        <v>0</v>
      </c>
      <c r="F301" s="10">
        <v>2020</v>
      </c>
      <c r="G301" s="10" t="s">
        <v>73</v>
      </c>
      <c r="H301" s="7" t="str">
        <f t="shared" si="399"/>
        <v>No</v>
      </c>
      <c r="I301" s="54" t="s">
        <v>55</v>
      </c>
      <c r="J301" s="8">
        <v>1</v>
      </c>
      <c r="K301" s="8" t="s">
        <v>63</v>
      </c>
      <c r="L301" s="8" t="s">
        <v>137</v>
      </c>
      <c r="M301" s="8" t="s">
        <v>137</v>
      </c>
      <c r="N301" s="8">
        <v>0</v>
      </c>
      <c r="O301" s="8">
        <v>0</v>
      </c>
      <c r="P301" s="8">
        <v>1</v>
      </c>
      <c r="Q301" s="8" t="s">
        <v>123</v>
      </c>
      <c r="R301" s="9">
        <v>0</v>
      </c>
      <c r="S301" s="8">
        <v>0</v>
      </c>
      <c r="T301" s="8">
        <v>0</v>
      </c>
      <c r="U301" s="8">
        <v>0</v>
      </c>
      <c r="V301" s="8">
        <v>0</v>
      </c>
      <c r="W301" s="8">
        <v>1</v>
      </c>
      <c r="X301" s="8">
        <v>0</v>
      </c>
      <c r="Y301" s="8">
        <v>0</v>
      </c>
      <c r="Z301" s="8">
        <v>0</v>
      </c>
      <c r="AA301" s="8" t="s">
        <v>138</v>
      </c>
      <c r="AB301" s="8">
        <v>0</v>
      </c>
      <c r="AC301" s="8">
        <v>0</v>
      </c>
      <c r="AD301" s="8">
        <v>0</v>
      </c>
      <c r="AE301" s="8">
        <v>0</v>
      </c>
      <c r="AF301" s="8">
        <v>0</v>
      </c>
      <c r="AG301" s="8">
        <v>0</v>
      </c>
      <c r="AH301" s="8">
        <v>0</v>
      </c>
      <c r="AI301" s="8">
        <v>0</v>
      </c>
      <c r="AJ301" s="8">
        <v>0</v>
      </c>
      <c r="AK301" s="8">
        <v>0</v>
      </c>
      <c r="AL301" s="8">
        <v>0</v>
      </c>
      <c r="AM301" s="8">
        <v>0</v>
      </c>
      <c r="AN301" s="8">
        <v>0</v>
      </c>
      <c r="AO301" s="8">
        <v>0</v>
      </c>
      <c r="AP301" s="8">
        <v>0</v>
      </c>
      <c r="AQ301" s="8">
        <v>0</v>
      </c>
      <c r="AR301" s="8">
        <v>0</v>
      </c>
      <c r="AS301" s="8">
        <v>0</v>
      </c>
      <c r="AT301" s="8">
        <v>0</v>
      </c>
      <c r="AU301" s="8">
        <v>0</v>
      </c>
      <c r="AV301" s="8">
        <v>0</v>
      </c>
      <c r="AW301" s="8">
        <v>0</v>
      </c>
      <c r="AX301" s="8">
        <v>0</v>
      </c>
      <c r="AY301" s="8">
        <v>0</v>
      </c>
      <c r="AZ301" s="8">
        <v>0</v>
      </c>
      <c r="BA301" s="8">
        <v>0</v>
      </c>
      <c r="BB301" s="8">
        <v>0</v>
      </c>
      <c r="BC301" s="8">
        <v>0</v>
      </c>
      <c r="BD301" s="8">
        <v>0</v>
      </c>
      <c r="BE301" s="8">
        <v>0</v>
      </c>
      <c r="BF301" s="8">
        <v>0</v>
      </c>
      <c r="BG301" s="8">
        <v>0</v>
      </c>
      <c r="BH301" s="8">
        <v>0</v>
      </c>
      <c r="BI301" s="8">
        <v>0</v>
      </c>
      <c r="BJ301" s="8">
        <v>0</v>
      </c>
      <c r="BK301" s="8">
        <v>0</v>
      </c>
      <c r="BL301" s="8">
        <v>0</v>
      </c>
      <c r="BM301" s="8">
        <v>0</v>
      </c>
      <c r="BN301" s="8">
        <v>0</v>
      </c>
      <c r="BO301" s="8">
        <v>0</v>
      </c>
      <c r="BP301" s="8">
        <v>0</v>
      </c>
      <c r="BQ301" s="8">
        <v>0</v>
      </c>
      <c r="BR301" s="8">
        <v>0</v>
      </c>
      <c r="BS301" s="8">
        <v>0</v>
      </c>
      <c r="BT301" s="8"/>
      <c r="BU301" s="2">
        <f t="shared" si="402"/>
        <v>0</v>
      </c>
      <c r="BV301" s="2">
        <f t="shared" si="403"/>
        <v>0</v>
      </c>
      <c r="BW301" s="2">
        <f t="shared" si="404"/>
        <v>0</v>
      </c>
      <c r="BX301" s="2">
        <f t="shared" si="397"/>
        <v>0</v>
      </c>
      <c r="BY301" s="2">
        <f t="shared" si="405"/>
        <v>0</v>
      </c>
      <c r="BZ301" s="2">
        <f t="shared" si="384"/>
        <v>0</v>
      </c>
      <c r="CA301" s="2">
        <f t="shared" si="400"/>
        <v>0</v>
      </c>
      <c r="CB301" s="2">
        <f t="shared" si="401"/>
        <v>0</v>
      </c>
    </row>
    <row r="302" spans="1:80" ht="16" x14ac:dyDescent="0.2">
      <c r="A302" s="3" t="s">
        <v>136</v>
      </c>
      <c r="B302" s="10">
        <v>376</v>
      </c>
      <c r="C302" s="5">
        <v>1</v>
      </c>
      <c r="D302" s="10">
        <v>0</v>
      </c>
      <c r="E302" s="5">
        <v>0</v>
      </c>
      <c r="F302" s="10">
        <v>2020</v>
      </c>
      <c r="G302" s="10" t="s">
        <v>74</v>
      </c>
      <c r="H302" s="7" t="str">
        <f t="shared" si="399"/>
        <v>No</v>
      </c>
      <c r="I302" s="54" t="s">
        <v>55</v>
      </c>
      <c r="J302" s="8">
        <v>1</v>
      </c>
      <c r="K302" s="8" t="s">
        <v>63</v>
      </c>
      <c r="L302" s="8" t="s">
        <v>137</v>
      </c>
      <c r="M302" s="8" t="s">
        <v>137</v>
      </c>
      <c r="N302" s="8">
        <v>0</v>
      </c>
      <c r="O302" s="8">
        <v>0</v>
      </c>
      <c r="P302" s="8">
        <v>1</v>
      </c>
      <c r="Q302" s="8" t="s">
        <v>123</v>
      </c>
      <c r="R302" s="9">
        <v>0</v>
      </c>
      <c r="S302" s="8">
        <v>0</v>
      </c>
      <c r="T302" s="8">
        <v>0</v>
      </c>
      <c r="U302" s="8">
        <v>0</v>
      </c>
      <c r="V302" s="8">
        <v>0</v>
      </c>
      <c r="W302" s="8">
        <v>1</v>
      </c>
      <c r="X302" s="8">
        <v>0</v>
      </c>
      <c r="Y302" s="8">
        <v>0</v>
      </c>
      <c r="Z302" s="8">
        <v>0</v>
      </c>
      <c r="AA302" s="8" t="s">
        <v>138</v>
      </c>
      <c r="AB302" s="8">
        <v>0</v>
      </c>
      <c r="AC302" s="8">
        <v>0</v>
      </c>
      <c r="AD302" s="8">
        <v>0</v>
      </c>
      <c r="AE302" s="8">
        <v>0</v>
      </c>
      <c r="AF302" s="8">
        <v>0</v>
      </c>
      <c r="AG302" s="8">
        <v>0</v>
      </c>
      <c r="AH302" s="8">
        <v>0</v>
      </c>
      <c r="AI302" s="8">
        <v>0</v>
      </c>
      <c r="AJ302" s="8">
        <v>0</v>
      </c>
      <c r="AK302" s="8">
        <v>0</v>
      </c>
      <c r="AL302" s="8">
        <v>0</v>
      </c>
      <c r="AM302" s="8">
        <v>0</v>
      </c>
      <c r="AN302" s="8">
        <v>0</v>
      </c>
      <c r="AO302" s="8">
        <v>0</v>
      </c>
      <c r="AP302" s="8">
        <v>0</v>
      </c>
      <c r="AQ302" s="8">
        <v>0</v>
      </c>
      <c r="AR302" s="8">
        <v>0</v>
      </c>
      <c r="AS302" s="8">
        <v>0</v>
      </c>
      <c r="AT302" s="8">
        <v>0</v>
      </c>
      <c r="AU302" s="8">
        <v>0</v>
      </c>
      <c r="AV302" s="8">
        <v>0</v>
      </c>
      <c r="AW302" s="8">
        <v>0</v>
      </c>
      <c r="AX302" s="8">
        <v>0</v>
      </c>
      <c r="AY302" s="8">
        <v>0</v>
      </c>
      <c r="AZ302" s="8">
        <v>0</v>
      </c>
      <c r="BA302" s="8">
        <v>0</v>
      </c>
      <c r="BB302" s="8">
        <v>0</v>
      </c>
      <c r="BC302" s="8">
        <v>0</v>
      </c>
      <c r="BD302" s="8">
        <v>0</v>
      </c>
      <c r="BE302" s="8">
        <v>0</v>
      </c>
      <c r="BF302" s="8">
        <v>0</v>
      </c>
      <c r="BG302" s="8">
        <v>0</v>
      </c>
      <c r="BH302" s="8">
        <v>0</v>
      </c>
      <c r="BI302" s="8">
        <v>0</v>
      </c>
      <c r="BJ302" s="8">
        <v>0</v>
      </c>
      <c r="BK302" s="8">
        <v>0</v>
      </c>
      <c r="BL302" s="8">
        <v>0</v>
      </c>
      <c r="BM302" s="8">
        <v>0</v>
      </c>
      <c r="BN302" s="8">
        <v>0</v>
      </c>
      <c r="BO302" s="8">
        <v>0</v>
      </c>
      <c r="BP302" s="8">
        <v>0</v>
      </c>
      <c r="BQ302" s="8">
        <v>0</v>
      </c>
      <c r="BR302" s="8">
        <v>0</v>
      </c>
      <c r="BS302" s="8">
        <v>0</v>
      </c>
      <c r="BT302" s="8"/>
      <c r="BU302" s="2">
        <f t="shared" si="402"/>
        <v>0</v>
      </c>
      <c r="BV302" s="2">
        <f t="shared" si="403"/>
        <v>0</v>
      </c>
      <c r="BW302" s="2">
        <f t="shared" si="404"/>
        <v>0</v>
      </c>
      <c r="BX302" s="2">
        <f t="shared" si="397"/>
        <v>0</v>
      </c>
      <c r="BY302" s="2">
        <f t="shared" si="405"/>
        <v>0</v>
      </c>
      <c r="BZ302" s="2">
        <f t="shared" si="384"/>
        <v>0</v>
      </c>
      <c r="CA302" s="2">
        <f t="shared" si="400"/>
        <v>0</v>
      </c>
      <c r="CB302" s="2">
        <f t="shared" si="401"/>
        <v>0</v>
      </c>
    </row>
    <row r="303" spans="1:80" ht="16" x14ac:dyDescent="0.2">
      <c r="A303" s="3" t="s">
        <v>136</v>
      </c>
      <c r="B303" s="10">
        <v>376</v>
      </c>
      <c r="C303" s="5">
        <v>1</v>
      </c>
      <c r="D303" s="10">
        <v>0</v>
      </c>
      <c r="E303" s="5">
        <v>0</v>
      </c>
      <c r="F303" s="10">
        <v>2020</v>
      </c>
      <c r="G303" s="10" t="s">
        <v>75</v>
      </c>
      <c r="H303" s="7" t="str">
        <f t="shared" si="399"/>
        <v>No</v>
      </c>
      <c r="I303" s="54" t="s">
        <v>55</v>
      </c>
      <c r="J303" s="8">
        <v>1</v>
      </c>
      <c r="K303" s="8" t="s">
        <v>63</v>
      </c>
      <c r="L303" s="8" t="s">
        <v>137</v>
      </c>
      <c r="M303" s="8" t="s">
        <v>137</v>
      </c>
      <c r="N303" s="8">
        <v>0</v>
      </c>
      <c r="O303" s="8">
        <v>0</v>
      </c>
      <c r="P303" s="8">
        <v>1</v>
      </c>
      <c r="Q303" s="8" t="s">
        <v>123</v>
      </c>
      <c r="R303" s="9">
        <v>0</v>
      </c>
      <c r="S303" s="8">
        <v>0</v>
      </c>
      <c r="T303" s="8">
        <v>0</v>
      </c>
      <c r="U303" s="8">
        <v>0</v>
      </c>
      <c r="V303" s="8">
        <v>0</v>
      </c>
      <c r="W303" s="8">
        <v>1</v>
      </c>
      <c r="X303" s="8">
        <v>0</v>
      </c>
      <c r="Y303" s="8">
        <v>0</v>
      </c>
      <c r="Z303" s="8">
        <v>0</v>
      </c>
      <c r="AA303" s="8" t="s">
        <v>138</v>
      </c>
      <c r="AB303" s="8">
        <v>0</v>
      </c>
      <c r="AC303" s="8">
        <v>0</v>
      </c>
      <c r="AD303" s="8">
        <v>0</v>
      </c>
      <c r="AE303" s="8">
        <v>0</v>
      </c>
      <c r="AF303" s="8">
        <v>0</v>
      </c>
      <c r="AG303" s="8">
        <v>0</v>
      </c>
      <c r="AH303" s="8">
        <v>0</v>
      </c>
      <c r="AI303" s="8">
        <v>0</v>
      </c>
      <c r="AJ303" s="8">
        <v>0</v>
      </c>
      <c r="AK303" s="8">
        <v>0</v>
      </c>
      <c r="AL303" s="8">
        <v>0</v>
      </c>
      <c r="AM303" s="8">
        <v>0</v>
      </c>
      <c r="AN303" s="8">
        <v>0</v>
      </c>
      <c r="AO303" s="8">
        <v>0</v>
      </c>
      <c r="AP303" s="8">
        <v>0</v>
      </c>
      <c r="AQ303" s="8">
        <v>0</v>
      </c>
      <c r="AR303" s="8">
        <v>0</v>
      </c>
      <c r="AS303" s="8">
        <v>0</v>
      </c>
      <c r="AT303" s="8">
        <v>0</v>
      </c>
      <c r="AU303" s="8">
        <v>0</v>
      </c>
      <c r="AV303" s="8">
        <v>0</v>
      </c>
      <c r="AW303" s="8">
        <v>0</v>
      </c>
      <c r="AX303" s="8">
        <v>0</v>
      </c>
      <c r="AY303" s="8">
        <v>0</v>
      </c>
      <c r="AZ303" s="8">
        <v>0</v>
      </c>
      <c r="BA303" s="8">
        <v>0</v>
      </c>
      <c r="BB303" s="8">
        <v>0</v>
      </c>
      <c r="BC303" s="8">
        <v>0</v>
      </c>
      <c r="BD303" s="8">
        <v>0</v>
      </c>
      <c r="BE303" s="8">
        <v>0</v>
      </c>
      <c r="BF303" s="8">
        <v>0</v>
      </c>
      <c r="BG303" s="8">
        <v>0</v>
      </c>
      <c r="BH303" s="8">
        <v>0</v>
      </c>
      <c r="BI303" s="8">
        <v>0</v>
      </c>
      <c r="BJ303" s="8">
        <v>0</v>
      </c>
      <c r="BK303" s="8">
        <v>0</v>
      </c>
      <c r="BL303" s="8">
        <v>0</v>
      </c>
      <c r="BM303" s="8">
        <v>0</v>
      </c>
      <c r="BN303" s="8">
        <v>0</v>
      </c>
      <c r="BO303" s="8">
        <v>0</v>
      </c>
      <c r="BP303" s="8">
        <v>0</v>
      </c>
      <c r="BQ303" s="8">
        <v>0</v>
      </c>
      <c r="BR303" s="8">
        <v>0</v>
      </c>
      <c r="BS303" s="8">
        <v>0</v>
      </c>
      <c r="BT303" s="8"/>
      <c r="BU303" s="2">
        <f t="shared" si="402"/>
        <v>0</v>
      </c>
      <c r="BV303" s="2">
        <f t="shared" si="403"/>
        <v>0</v>
      </c>
      <c r="BW303" s="2">
        <f t="shared" si="404"/>
        <v>0</v>
      </c>
      <c r="BX303" s="2">
        <f t="shared" si="397"/>
        <v>0</v>
      </c>
      <c r="BY303" s="2">
        <f t="shared" si="405"/>
        <v>0</v>
      </c>
      <c r="BZ303" s="2">
        <f t="shared" ref="BZ303" si="406">SUM(AQ303)</f>
        <v>0</v>
      </c>
      <c r="CA303" s="2">
        <f t="shared" si="400"/>
        <v>0</v>
      </c>
      <c r="CB303" s="2">
        <f t="shared" si="401"/>
        <v>0</v>
      </c>
    </row>
    <row r="304" spans="1:80" ht="16" x14ac:dyDescent="0.2">
      <c r="A304" s="3" t="s">
        <v>136</v>
      </c>
      <c r="B304" s="10">
        <v>376</v>
      </c>
      <c r="C304" s="5">
        <v>1</v>
      </c>
      <c r="D304" s="10">
        <v>0</v>
      </c>
      <c r="E304" s="5">
        <v>0</v>
      </c>
      <c r="F304" s="10">
        <v>2020</v>
      </c>
      <c r="G304" s="10" t="s">
        <v>76</v>
      </c>
      <c r="H304" s="7" t="str">
        <f t="shared" si="399"/>
        <v>No</v>
      </c>
      <c r="I304" s="54" t="s">
        <v>55</v>
      </c>
      <c r="J304" s="8">
        <v>1</v>
      </c>
      <c r="K304" s="8" t="s">
        <v>63</v>
      </c>
      <c r="L304" s="8" t="s">
        <v>137</v>
      </c>
      <c r="M304" s="8" t="s">
        <v>137</v>
      </c>
      <c r="N304" s="8">
        <v>0</v>
      </c>
      <c r="O304" s="8">
        <v>0</v>
      </c>
      <c r="P304" s="8">
        <v>1</v>
      </c>
      <c r="Q304" s="8" t="s">
        <v>123</v>
      </c>
      <c r="R304" s="9">
        <v>0</v>
      </c>
      <c r="S304" s="8">
        <v>0</v>
      </c>
      <c r="T304" s="8">
        <v>0</v>
      </c>
      <c r="U304" s="8">
        <v>0</v>
      </c>
      <c r="V304" s="8">
        <v>0</v>
      </c>
      <c r="W304" s="8">
        <v>1</v>
      </c>
      <c r="X304" s="8">
        <v>0</v>
      </c>
      <c r="Y304" s="8">
        <v>0</v>
      </c>
      <c r="Z304" s="8">
        <v>0</v>
      </c>
      <c r="AA304" s="8" t="s">
        <v>138</v>
      </c>
      <c r="AB304" s="8">
        <v>0</v>
      </c>
      <c r="AC304" s="8">
        <v>0</v>
      </c>
      <c r="AD304" s="8">
        <v>0</v>
      </c>
      <c r="AE304" s="8">
        <v>0</v>
      </c>
      <c r="AF304" s="8">
        <v>0</v>
      </c>
      <c r="AG304" s="8">
        <v>0</v>
      </c>
      <c r="AH304" s="8">
        <v>0</v>
      </c>
      <c r="AI304" s="8">
        <v>0</v>
      </c>
      <c r="AJ304" s="8">
        <v>0</v>
      </c>
      <c r="AK304" s="8">
        <v>0</v>
      </c>
      <c r="AL304" s="8">
        <v>0</v>
      </c>
      <c r="AM304" s="8">
        <v>0</v>
      </c>
      <c r="AN304" s="8">
        <v>0</v>
      </c>
      <c r="AO304" s="8">
        <v>0</v>
      </c>
      <c r="AP304" s="8">
        <v>0</v>
      </c>
      <c r="AQ304" s="8">
        <v>0</v>
      </c>
      <c r="AR304" s="8">
        <v>0</v>
      </c>
      <c r="AS304" s="8">
        <v>0</v>
      </c>
      <c r="AT304" s="8">
        <v>0</v>
      </c>
      <c r="AU304" s="8">
        <v>0</v>
      </c>
      <c r="AV304" s="8">
        <v>0</v>
      </c>
      <c r="AW304" s="8">
        <v>0</v>
      </c>
      <c r="AX304" s="8">
        <v>0</v>
      </c>
      <c r="AY304" s="8">
        <v>0</v>
      </c>
      <c r="AZ304" s="8">
        <v>0</v>
      </c>
      <c r="BA304" s="8">
        <v>0</v>
      </c>
      <c r="BB304" s="8">
        <v>0</v>
      </c>
      <c r="BC304" s="8">
        <v>0</v>
      </c>
      <c r="BD304" s="8">
        <v>0</v>
      </c>
      <c r="BE304" s="8">
        <v>0</v>
      </c>
      <c r="BF304" s="8">
        <v>0</v>
      </c>
      <c r="BG304" s="8">
        <v>0</v>
      </c>
      <c r="BH304" s="8">
        <v>0</v>
      </c>
      <c r="BI304" s="8">
        <v>0</v>
      </c>
      <c r="BJ304" s="8">
        <v>0</v>
      </c>
      <c r="BK304" s="8">
        <v>0</v>
      </c>
      <c r="BL304" s="8">
        <v>0</v>
      </c>
      <c r="BM304" s="8">
        <v>0</v>
      </c>
      <c r="BN304" s="8">
        <v>0</v>
      </c>
      <c r="BO304" s="8">
        <v>0</v>
      </c>
      <c r="BP304" s="8">
        <v>0</v>
      </c>
      <c r="BQ304" s="8">
        <v>0</v>
      </c>
      <c r="BR304" s="8">
        <v>0</v>
      </c>
      <c r="BS304" s="8">
        <v>0</v>
      </c>
      <c r="BT304" s="8"/>
      <c r="BU304" s="2">
        <f t="shared" si="402"/>
        <v>0</v>
      </c>
      <c r="BV304" s="2">
        <f t="shared" si="403"/>
        <v>0</v>
      </c>
      <c r="BW304" s="2">
        <f t="shared" si="404"/>
        <v>0</v>
      </c>
      <c r="BX304" s="2">
        <f t="shared" ref="BX304:BX547" si="407">SUM(AU304,AV304,AW304,AX304,AY304,AZ304,BA304,BB304,BC304,BD304,BE304,BF304,BG304,BH304,BI304,BJ304,BQ304,BR304,BM304)</f>
        <v>0</v>
      </c>
      <c r="BY304" s="2">
        <f t="shared" si="405"/>
        <v>0</v>
      </c>
      <c r="BZ304" s="2">
        <f t="shared" ref="BZ304" si="408">SUM(AQ304)</f>
        <v>0</v>
      </c>
      <c r="CA304" s="2">
        <f t="shared" si="400"/>
        <v>0</v>
      </c>
      <c r="CB304" s="2">
        <f t="shared" si="401"/>
        <v>0</v>
      </c>
    </row>
    <row r="305" spans="1:80" ht="16" x14ac:dyDescent="0.2">
      <c r="A305" s="3" t="s">
        <v>136</v>
      </c>
      <c r="B305" s="10">
        <v>376</v>
      </c>
      <c r="C305" s="5">
        <v>1</v>
      </c>
      <c r="D305" s="10">
        <v>0</v>
      </c>
      <c r="E305" s="5">
        <v>0</v>
      </c>
      <c r="F305" s="10">
        <v>2020</v>
      </c>
      <c r="G305" s="10" t="s">
        <v>77</v>
      </c>
      <c r="H305" s="7" t="str">
        <f t="shared" si="399"/>
        <v>No</v>
      </c>
      <c r="I305" s="54" t="s">
        <v>55</v>
      </c>
      <c r="J305" s="8">
        <v>1</v>
      </c>
      <c r="K305" s="8" t="s">
        <v>63</v>
      </c>
      <c r="L305" s="8" t="s">
        <v>137</v>
      </c>
      <c r="M305" s="8" t="s">
        <v>137</v>
      </c>
      <c r="N305" s="8">
        <v>0</v>
      </c>
      <c r="O305" s="8">
        <v>0</v>
      </c>
      <c r="P305" s="8">
        <v>1</v>
      </c>
      <c r="Q305" s="8" t="s">
        <v>123</v>
      </c>
      <c r="R305" s="9">
        <v>0</v>
      </c>
      <c r="S305" s="8">
        <v>0</v>
      </c>
      <c r="T305" s="8">
        <v>0</v>
      </c>
      <c r="U305" s="8">
        <v>0</v>
      </c>
      <c r="V305" s="8">
        <v>0</v>
      </c>
      <c r="W305" s="8">
        <v>1</v>
      </c>
      <c r="X305" s="8">
        <v>0</v>
      </c>
      <c r="Y305" s="8">
        <v>0</v>
      </c>
      <c r="Z305" s="8">
        <v>0</v>
      </c>
      <c r="AA305" s="8" t="s">
        <v>138</v>
      </c>
      <c r="AB305" s="8">
        <v>0</v>
      </c>
      <c r="AC305" s="8">
        <v>0</v>
      </c>
      <c r="AD305" s="8">
        <v>0</v>
      </c>
      <c r="AE305" s="8">
        <v>0</v>
      </c>
      <c r="AF305" s="8">
        <v>0</v>
      </c>
      <c r="AG305" s="8">
        <v>0</v>
      </c>
      <c r="AH305" s="8">
        <v>0</v>
      </c>
      <c r="AI305" s="8">
        <v>0</v>
      </c>
      <c r="AJ305" s="8">
        <v>0</v>
      </c>
      <c r="AK305" s="8">
        <v>0</v>
      </c>
      <c r="AL305" s="8">
        <v>0</v>
      </c>
      <c r="AM305" s="8">
        <v>0</v>
      </c>
      <c r="AN305" s="8">
        <v>0</v>
      </c>
      <c r="AO305" s="8">
        <v>0</v>
      </c>
      <c r="AP305" s="8">
        <v>0</v>
      </c>
      <c r="AQ305" s="8">
        <v>0</v>
      </c>
      <c r="AR305" s="8">
        <v>0</v>
      </c>
      <c r="AS305" s="8">
        <v>0</v>
      </c>
      <c r="AT305" s="8">
        <v>0</v>
      </c>
      <c r="AU305" s="8">
        <v>0</v>
      </c>
      <c r="AV305" s="8">
        <v>0</v>
      </c>
      <c r="AW305" s="8">
        <v>0</v>
      </c>
      <c r="AX305" s="8">
        <v>0</v>
      </c>
      <c r="AY305" s="8">
        <v>0</v>
      </c>
      <c r="AZ305" s="8">
        <v>0</v>
      </c>
      <c r="BA305" s="8">
        <v>0</v>
      </c>
      <c r="BB305" s="8">
        <v>0</v>
      </c>
      <c r="BC305" s="8">
        <v>0</v>
      </c>
      <c r="BD305" s="8">
        <v>0</v>
      </c>
      <c r="BE305" s="8">
        <v>0</v>
      </c>
      <c r="BF305" s="8">
        <v>0</v>
      </c>
      <c r="BG305" s="8">
        <v>0</v>
      </c>
      <c r="BH305" s="8">
        <v>0</v>
      </c>
      <c r="BI305" s="8">
        <v>0</v>
      </c>
      <c r="BJ305" s="8">
        <v>0</v>
      </c>
      <c r="BK305" s="8">
        <v>0</v>
      </c>
      <c r="BL305" s="8">
        <v>0</v>
      </c>
      <c r="BM305" s="8">
        <v>0</v>
      </c>
      <c r="BN305" s="8">
        <v>0</v>
      </c>
      <c r="BO305" s="8">
        <v>0</v>
      </c>
      <c r="BP305" s="8">
        <v>0</v>
      </c>
      <c r="BQ305" s="8">
        <v>0</v>
      </c>
      <c r="BR305" s="8">
        <v>0</v>
      </c>
      <c r="BS305" s="8">
        <v>0</v>
      </c>
      <c r="BT305" s="8"/>
      <c r="BU305" s="2">
        <f t="shared" si="402"/>
        <v>0</v>
      </c>
      <c r="BV305" s="2">
        <f t="shared" si="403"/>
        <v>0</v>
      </c>
      <c r="BW305" s="2">
        <f t="shared" si="404"/>
        <v>0</v>
      </c>
      <c r="BX305" s="2">
        <f t="shared" si="407"/>
        <v>0</v>
      </c>
      <c r="BY305" s="2">
        <f t="shared" si="405"/>
        <v>0</v>
      </c>
      <c r="BZ305" s="2">
        <f t="shared" ref="BZ305" si="409">SUM(AQ305)</f>
        <v>0</v>
      </c>
      <c r="CA305" s="2">
        <f t="shared" si="400"/>
        <v>0</v>
      </c>
      <c r="CB305" s="2">
        <f t="shared" si="401"/>
        <v>0</v>
      </c>
    </row>
    <row r="306" spans="1:80" ht="16" x14ac:dyDescent="0.2">
      <c r="A306" s="3" t="s">
        <v>136</v>
      </c>
      <c r="B306" s="10">
        <v>376</v>
      </c>
      <c r="C306" s="5">
        <v>1</v>
      </c>
      <c r="D306" s="10">
        <v>0</v>
      </c>
      <c r="E306" s="5">
        <v>0</v>
      </c>
      <c r="F306" s="10">
        <v>2020</v>
      </c>
      <c r="G306" s="10" t="s">
        <v>78</v>
      </c>
      <c r="H306" s="7" t="str">
        <f t="shared" si="399"/>
        <v>No</v>
      </c>
      <c r="I306" s="54" t="s">
        <v>55</v>
      </c>
      <c r="J306" s="8">
        <v>1</v>
      </c>
      <c r="K306" s="8" t="s">
        <v>63</v>
      </c>
      <c r="L306" s="8" t="s">
        <v>137</v>
      </c>
      <c r="M306" s="8" t="s">
        <v>137</v>
      </c>
      <c r="N306" s="8">
        <v>0</v>
      </c>
      <c r="O306" s="8">
        <v>0</v>
      </c>
      <c r="P306" s="8">
        <v>1</v>
      </c>
      <c r="Q306" s="8" t="s">
        <v>123</v>
      </c>
      <c r="R306" s="9">
        <v>0</v>
      </c>
      <c r="S306" s="8">
        <v>0</v>
      </c>
      <c r="T306" s="8">
        <v>0</v>
      </c>
      <c r="U306" s="8">
        <v>0</v>
      </c>
      <c r="V306" s="8">
        <v>0</v>
      </c>
      <c r="W306" s="8">
        <v>1</v>
      </c>
      <c r="X306" s="8">
        <v>0</v>
      </c>
      <c r="Y306" s="8">
        <v>0</v>
      </c>
      <c r="Z306" s="8">
        <v>0</v>
      </c>
      <c r="AA306" s="8" t="s">
        <v>138</v>
      </c>
      <c r="AB306" s="8">
        <v>0</v>
      </c>
      <c r="AC306" s="8">
        <v>0</v>
      </c>
      <c r="AD306" s="8">
        <v>0</v>
      </c>
      <c r="AE306" s="8">
        <v>0</v>
      </c>
      <c r="AF306" s="8">
        <v>0</v>
      </c>
      <c r="AG306" s="8">
        <v>0</v>
      </c>
      <c r="AH306" s="8">
        <v>0</v>
      </c>
      <c r="AI306" s="8">
        <v>0</v>
      </c>
      <c r="AJ306" s="8">
        <v>0</v>
      </c>
      <c r="AK306" s="8">
        <v>0</v>
      </c>
      <c r="AL306" s="8">
        <v>0</v>
      </c>
      <c r="AM306" s="8">
        <v>0</v>
      </c>
      <c r="AN306" s="8">
        <v>0</v>
      </c>
      <c r="AO306" s="8">
        <v>0</v>
      </c>
      <c r="AP306" s="8">
        <v>0</v>
      </c>
      <c r="AQ306" s="8">
        <v>0</v>
      </c>
      <c r="AR306" s="8">
        <v>0</v>
      </c>
      <c r="AS306" s="8">
        <v>0</v>
      </c>
      <c r="AT306" s="8">
        <v>0</v>
      </c>
      <c r="AU306" s="8">
        <v>0</v>
      </c>
      <c r="AV306" s="8">
        <v>0</v>
      </c>
      <c r="AW306" s="8">
        <v>0</v>
      </c>
      <c r="AX306" s="8">
        <v>0</v>
      </c>
      <c r="AY306" s="8">
        <v>0</v>
      </c>
      <c r="AZ306" s="8">
        <v>0</v>
      </c>
      <c r="BA306" s="8">
        <v>0</v>
      </c>
      <c r="BB306" s="8">
        <v>0</v>
      </c>
      <c r="BC306" s="8">
        <v>0</v>
      </c>
      <c r="BD306" s="8">
        <v>0</v>
      </c>
      <c r="BE306" s="8">
        <v>0</v>
      </c>
      <c r="BF306" s="8">
        <v>0</v>
      </c>
      <c r="BG306" s="8">
        <v>0</v>
      </c>
      <c r="BH306" s="8">
        <v>0</v>
      </c>
      <c r="BI306" s="8">
        <v>0</v>
      </c>
      <c r="BJ306" s="8">
        <v>0</v>
      </c>
      <c r="BK306" s="8">
        <v>0</v>
      </c>
      <c r="BL306" s="8">
        <v>0</v>
      </c>
      <c r="BM306" s="8">
        <v>0</v>
      </c>
      <c r="BN306" s="8">
        <v>0</v>
      </c>
      <c r="BO306" s="8">
        <v>0</v>
      </c>
      <c r="BP306" s="8">
        <v>0</v>
      </c>
      <c r="BQ306" s="8">
        <v>0</v>
      </c>
      <c r="BR306" s="8">
        <v>0</v>
      </c>
      <c r="BS306" s="8">
        <v>0</v>
      </c>
      <c r="BT306" s="8"/>
      <c r="BU306" s="2">
        <f t="shared" si="402"/>
        <v>0</v>
      </c>
      <c r="BV306" s="2">
        <f t="shared" si="403"/>
        <v>0</v>
      </c>
      <c r="BW306" s="2">
        <f t="shared" si="404"/>
        <v>0</v>
      </c>
      <c r="BX306" s="2">
        <f t="shared" si="407"/>
        <v>0</v>
      </c>
      <c r="BY306" s="2">
        <f t="shared" si="405"/>
        <v>0</v>
      </c>
      <c r="BZ306" s="2">
        <f t="shared" ref="BZ306" si="410">SUM(AQ306)</f>
        <v>0</v>
      </c>
      <c r="CA306" s="2">
        <f t="shared" si="400"/>
        <v>0</v>
      </c>
      <c r="CB306" s="2">
        <f t="shared" si="401"/>
        <v>0</v>
      </c>
    </row>
    <row r="307" spans="1:80" ht="15" customHeight="1" x14ac:dyDescent="0.2">
      <c r="A307" s="3" t="s">
        <v>136</v>
      </c>
      <c r="B307" s="10">
        <v>376</v>
      </c>
      <c r="C307" s="5">
        <v>1</v>
      </c>
      <c r="D307" s="10">
        <v>0</v>
      </c>
      <c r="E307" s="5">
        <v>0</v>
      </c>
      <c r="F307" s="10">
        <v>2020</v>
      </c>
      <c r="G307" s="10">
        <v>2020</v>
      </c>
      <c r="H307" s="7" t="str">
        <f t="shared" si="399"/>
        <v>Yes</v>
      </c>
      <c r="I307" s="54" t="s">
        <v>56</v>
      </c>
      <c r="J307" s="8">
        <v>2</v>
      </c>
      <c r="K307" s="8" t="s">
        <v>63</v>
      </c>
      <c r="L307" s="8" t="s">
        <v>137</v>
      </c>
      <c r="M307" s="8" t="s">
        <v>137</v>
      </c>
      <c r="N307" s="8">
        <v>0</v>
      </c>
      <c r="O307" s="8">
        <v>0</v>
      </c>
      <c r="P307" s="8">
        <v>1</v>
      </c>
      <c r="Q307" s="8" t="s">
        <v>123</v>
      </c>
      <c r="R307" s="9">
        <v>0.5</v>
      </c>
      <c r="S307" s="8">
        <v>0</v>
      </c>
      <c r="T307" s="8">
        <v>0</v>
      </c>
      <c r="U307" s="8">
        <v>0</v>
      </c>
      <c r="V307" s="8">
        <v>0</v>
      </c>
      <c r="W307" s="8">
        <v>1</v>
      </c>
      <c r="X307" s="8">
        <v>0</v>
      </c>
      <c r="Y307" s="8">
        <v>0</v>
      </c>
      <c r="Z307" s="8">
        <v>0</v>
      </c>
      <c r="AA307" s="8" t="s">
        <v>138</v>
      </c>
      <c r="AB307" s="8">
        <v>1</v>
      </c>
      <c r="AC307" s="8">
        <v>0</v>
      </c>
      <c r="AD307" s="8">
        <v>0</v>
      </c>
      <c r="AE307" s="8">
        <v>0</v>
      </c>
      <c r="AF307" s="8">
        <v>0</v>
      </c>
      <c r="AG307" s="8">
        <v>0</v>
      </c>
      <c r="AH307" s="8">
        <v>0</v>
      </c>
      <c r="AI307" s="8">
        <v>0</v>
      </c>
      <c r="AJ307" s="8">
        <v>1</v>
      </c>
      <c r="AK307" s="8">
        <v>1</v>
      </c>
      <c r="AL307" s="8">
        <v>1</v>
      </c>
      <c r="AM307" s="8">
        <v>1</v>
      </c>
      <c r="AN307" s="8">
        <v>0</v>
      </c>
      <c r="AO307" s="8">
        <v>0</v>
      </c>
      <c r="AP307" s="8">
        <v>0</v>
      </c>
      <c r="AQ307" s="8">
        <v>1</v>
      </c>
      <c r="AR307" s="8">
        <v>0</v>
      </c>
      <c r="AS307" s="8">
        <v>0</v>
      </c>
      <c r="AT307" s="8">
        <v>0</v>
      </c>
      <c r="AU307" s="8">
        <v>0</v>
      </c>
      <c r="AV307" s="8">
        <v>0</v>
      </c>
      <c r="AW307" s="8">
        <v>0</v>
      </c>
      <c r="AX307" s="8">
        <v>0</v>
      </c>
      <c r="AY307" s="8">
        <v>0</v>
      </c>
      <c r="AZ307" s="8">
        <v>0</v>
      </c>
      <c r="BA307" s="8">
        <v>0</v>
      </c>
      <c r="BB307" s="8">
        <v>0</v>
      </c>
      <c r="BC307" s="8">
        <v>0</v>
      </c>
      <c r="BD307" s="8">
        <v>0</v>
      </c>
      <c r="BE307" s="8">
        <v>0</v>
      </c>
      <c r="BF307" s="8">
        <v>0</v>
      </c>
      <c r="BG307" s="8">
        <v>0</v>
      </c>
      <c r="BH307" s="8">
        <v>0</v>
      </c>
      <c r="BI307" s="8">
        <v>0</v>
      </c>
      <c r="BJ307" s="8">
        <v>0</v>
      </c>
      <c r="BK307" s="8">
        <v>0</v>
      </c>
      <c r="BL307" s="8">
        <v>0</v>
      </c>
      <c r="BM307" s="8">
        <v>0</v>
      </c>
      <c r="BN307" s="8">
        <v>0</v>
      </c>
      <c r="BO307" s="8">
        <v>0</v>
      </c>
      <c r="BP307" s="8">
        <v>0</v>
      </c>
      <c r="BQ307" s="8">
        <v>0</v>
      </c>
      <c r="BR307" s="8">
        <v>0</v>
      </c>
      <c r="BS307" s="8">
        <f t="shared" ref="BS307:BS308" si="411">SUM(AI307:BR307)</f>
        <v>5</v>
      </c>
      <c r="BT307" s="8"/>
      <c r="BU307" s="2">
        <f t="shared" si="402"/>
        <v>0</v>
      </c>
      <c r="BV307" s="2">
        <f t="shared" si="403"/>
        <v>4</v>
      </c>
      <c r="BW307" s="2">
        <f t="shared" si="404"/>
        <v>0</v>
      </c>
      <c r="BX307" s="2">
        <f t="shared" si="407"/>
        <v>0</v>
      </c>
      <c r="BY307" s="2">
        <f t="shared" si="405"/>
        <v>0</v>
      </c>
      <c r="BZ307" s="2">
        <f t="shared" ref="BZ307:CA307" si="412">SUM(AQ307)</f>
        <v>1</v>
      </c>
      <c r="CA307" s="2">
        <f t="shared" si="412"/>
        <v>0</v>
      </c>
      <c r="CB307" s="2">
        <f t="shared" si="401"/>
        <v>0</v>
      </c>
    </row>
    <row r="308" spans="1:80" ht="15" customHeight="1" x14ac:dyDescent="0.2">
      <c r="A308" s="3" t="s">
        <v>136</v>
      </c>
      <c r="B308" s="10">
        <v>376</v>
      </c>
      <c r="C308" s="5">
        <v>1</v>
      </c>
      <c r="D308" s="10">
        <v>0</v>
      </c>
      <c r="E308" s="5">
        <v>0</v>
      </c>
      <c r="F308" s="10">
        <v>2020</v>
      </c>
      <c r="G308" s="10">
        <v>2021</v>
      </c>
      <c r="H308" s="7" t="str">
        <f t="shared" si="399"/>
        <v>No</v>
      </c>
      <c r="I308" s="54" t="s">
        <v>55</v>
      </c>
      <c r="J308" s="8">
        <v>2</v>
      </c>
      <c r="K308" s="8" t="s">
        <v>63</v>
      </c>
      <c r="L308" s="8" t="s">
        <v>137</v>
      </c>
      <c r="M308" s="8" t="s">
        <v>137</v>
      </c>
      <c r="N308" s="8">
        <v>0</v>
      </c>
      <c r="O308" s="8">
        <v>0</v>
      </c>
      <c r="P308" s="8">
        <v>1</v>
      </c>
      <c r="Q308" s="8" t="s">
        <v>123</v>
      </c>
      <c r="R308" s="9">
        <v>0.5</v>
      </c>
      <c r="S308" s="8">
        <v>0</v>
      </c>
      <c r="T308" s="8">
        <v>0</v>
      </c>
      <c r="U308" s="8">
        <v>0</v>
      </c>
      <c r="V308" s="8">
        <v>0</v>
      </c>
      <c r="W308" s="8">
        <v>1</v>
      </c>
      <c r="X308" s="8">
        <v>0</v>
      </c>
      <c r="Y308" s="8">
        <v>0</v>
      </c>
      <c r="Z308" s="8">
        <v>0</v>
      </c>
      <c r="AA308" s="8" t="s">
        <v>138</v>
      </c>
      <c r="AB308" s="8">
        <v>1</v>
      </c>
      <c r="AC308" s="8">
        <v>0</v>
      </c>
      <c r="AD308" s="8">
        <v>0</v>
      </c>
      <c r="AE308" s="8">
        <v>0</v>
      </c>
      <c r="AF308" s="8">
        <v>0</v>
      </c>
      <c r="AG308" s="8">
        <v>0</v>
      </c>
      <c r="AH308" s="8">
        <v>0</v>
      </c>
      <c r="AI308" s="8">
        <v>0</v>
      </c>
      <c r="AJ308" s="8">
        <v>1</v>
      </c>
      <c r="AK308" s="8">
        <v>1</v>
      </c>
      <c r="AL308" s="8">
        <v>1</v>
      </c>
      <c r="AM308" s="8">
        <v>1</v>
      </c>
      <c r="AN308" s="8">
        <v>0</v>
      </c>
      <c r="AO308" s="8">
        <v>0</v>
      </c>
      <c r="AP308" s="8">
        <v>0</v>
      </c>
      <c r="AQ308" s="8">
        <v>1</v>
      </c>
      <c r="AR308" s="8">
        <v>0</v>
      </c>
      <c r="AS308" s="8">
        <v>0</v>
      </c>
      <c r="AT308" s="8">
        <v>0</v>
      </c>
      <c r="AU308" s="8">
        <v>0</v>
      </c>
      <c r="AV308" s="8">
        <v>0</v>
      </c>
      <c r="AW308" s="8">
        <v>0</v>
      </c>
      <c r="AX308" s="8">
        <v>0</v>
      </c>
      <c r="AY308" s="8">
        <v>0</v>
      </c>
      <c r="AZ308" s="8">
        <v>0</v>
      </c>
      <c r="BA308" s="8">
        <v>0</v>
      </c>
      <c r="BB308" s="8">
        <v>0</v>
      </c>
      <c r="BC308" s="8">
        <v>0</v>
      </c>
      <c r="BD308" s="8">
        <v>0</v>
      </c>
      <c r="BE308" s="8">
        <v>0</v>
      </c>
      <c r="BF308" s="8">
        <v>0</v>
      </c>
      <c r="BG308" s="8">
        <v>0</v>
      </c>
      <c r="BH308" s="8">
        <v>0</v>
      </c>
      <c r="BI308" s="8">
        <v>0</v>
      </c>
      <c r="BJ308" s="8">
        <v>0</v>
      </c>
      <c r="BK308" s="8">
        <v>0</v>
      </c>
      <c r="BL308" s="8">
        <v>0</v>
      </c>
      <c r="BM308" s="8">
        <v>0</v>
      </c>
      <c r="BN308" s="8">
        <v>0</v>
      </c>
      <c r="BO308" s="8">
        <v>0</v>
      </c>
      <c r="BP308" s="8">
        <v>0</v>
      </c>
      <c r="BQ308" s="8">
        <v>0</v>
      </c>
      <c r="BR308" s="8">
        <v>0</v>
      </c>
      <c r="BS308" s="8">
        <f t="shared" si="411"/>
        <v>5</v>
      </c>
      <c r="BT308" s="8"/>
      <c r="BU308" s="2">
        <f t="shared" si="402"/>
        <v>0</v>
      </c>
      <c r="BV308" s="2">
        <f t="shared" si="403"/>
        <v>4</v>
      </c>
      <c r="BW308" s="2">
        <f t="shared" si="404"/>
        <v>0</v>
      </c>
      <c r="BX308" s="2">
        <f t="shared" si="407"/>
        <v>0</v>
      </c>
      <c r="BY308" s="2">
        <f t="shared" si="405"/>
        <v>0</v>
      </c>
      <c r="BZ308" s="2">
        <f t="shared" ref="BZ308:CA308" si="413">SUM(AQ308)</f>
        <v>1</v>
      </c>
      <c r="CA308" s="2">
        <f t="shared" si="413"/>
        <v>0</v>
      </c>
      <c r="CB308" s="2">
        <f t="shared" si="401"/>
        <v>0</v>
      </c>
    </row>
    <row r="309" spans="1:80" ht="16" x14ac:dyDescent="0.2">
      <c r="A309" s="3" t="s">
        <v>136</v>
      </c>
      <c r="B309" s="10">
        <v>376</v>
      </c>
      <c r="C309" s="5">
        <v>1</v>
      </c>
      <c r="D309" s="10">
        <v>0</v>
      </c>
      <c r="E309" s="5">
        <v>0</v>
      </c>
      <c r="F309" s="10">
        <v>2020</v>
      </c>
      <c r="G309" s="10">
        <v>2022</v>
      </c>
      <c r="H309" s="7" t="s">
        <v>82</v>
      </c>
      <c r="I309" s="54" t="s">
        <v>56</v>
      </c>
      <c r="J309" s="8">
        <v>2</v>
      </c>
      <c r="K309" s="8" t="s">
        <v>63</v>
      </c>
      <c r="L309" s="8" t="s">
        <v>137</v>
      </c>
      <c r="M309" s="8" t="s">
        <v>137</v>
      </c>
      <c r="N309" s="8">
        <v>0</v>
      </c>
      <c r="O309" s="8">
        <v>0</v>
      </c>
      <c r="P309" s="8">
        <v>1</v>
      </c>
      <c r="Q309" s="8" t="s">
        <v>65</v>
      </c>
      <c r="R309" s="9">
        <v>0.2</v>
      </c>
      <c r="S309" s="8">
        <v>0</v>
      </c>
      <c r="T309" s="8">
        <v>0</v>
      </c>
      <c r="U309" s="8">
        <v>0</v>
      </c>
      <c r="V309" s="8">
        <v>0</v>
      </c>
      <c r="W309" s="8">
        <v>1</v>
      </c>
      <c r="X309" s="8">
        <v>0</v>
      </c>
      <c r="Y309" s="8">
        <v>0</v>
      </c>
      <c r="Z309" s="8">
        <v>1</v>
      </c>
      <c r="AA309" s="8" t="s">
        <v>139</v>
      </c>
      <c r="AB309" s="8">
        <v>1</v>
      </c>
      <c r="AC309" s="8">
        <v>0</v>
      </c>
      <c r="AD309" s="8">
        <v>0</v>
      </c>
      <c r="AE309" s="8">
        <v>0</v>
      </c>
      <c r="AF309" s="8">
        <v>0</v>
      </c>
      <c r="AG309" s="8">
        <v>0</v>
      </c>
      <c r="AH309" s="8">
        <v>0</v>
      </c>
      <c r="AI309" s="8">
        <v>0</v>
      </c>
      <c r="AJ309" s="8">
        <v>1</v>
      </c>
      <c r="AK309" s="8">
        <v>1</v>
      </c>
      <c r="AL309" s="8">
        <v>1</v>
      </c>
      <c r="AM309" s="8">
        <v>1</v>
      </c>
      <c r="AN309" s="8">
        <v>0</v>
      </c>
      <c r="AO309" s="8">
        <v>0</v>
      </c>
      <c r="AP309" s="8">
        <v>0</v>
      </c>
      <c r="AQ309" s="8">
        <v>1</v>
      </c>
      <c r="AR309" s="8">
        <v>0</v>
      </c>
      <c r="AS309" s="8">
        <v>0</v>
      </c>
      <c r="AT309" s="8">
        <v>0</v>
      </c>
      <c r="AU309" s="8">
        <v>0</v>
      </c>
      <c r="AV309" s="8">
        <v>0</v>
      </c>
      <c r="AW309" s="8">
        <v>0</v>
      </c>
      <c r="AX309" s="8">
        <v>0</v>
      </c>
      <c r="AY309" s="8">
        <v>0</v>
      </c>
      <c r="AZ309" s="8">
        <v>0</v>
      </c>
      <c r="BA309" s="8">
        <v>0</v>
      </c>
      <c r="BB309" s="8">
        <v>0</v>
      </c>
      <c r="BC309" s="8">
        <v>0</v>
      </c>
      <c r="BD309" s="8">
        <v>0</v>
      </c>
      <c r="BE309" s="8">
        <v>0</v>
      </c>
      <c r="BF309" s="8">
        <v>0</v>
      </c>
      <c r="BG309" s="8">
        <v>0</v>
      </c>
      <c r="BH309" s="8">
        <v>0</v>
      </c>
      <c r="BI309" s="8">
        <v>0</v>
      </c>
      <c r="BJ309" s="8">
        <v>0</v>
      </c>
      <c r="BK309" s="8">
        <v>0</v>
      </c>
      <c r="BL309" s="8">
        <v>0</v>
      </c>
      <c r="BM309" s="8">
        <v>0</v>
      </c>
      <c r="BN309" s="8">
        <v>0</v>
      </c>
      <c r="BO309" s="8">
        <v>0</v>
      </c>
      <c r="BP309" s="8">
        <v>0</v>
      </c>
      <c r="BQ309" s="8">
        <v>0</v>
      </c>
      <c r="BR309" s="8">
        <v>0</v>
      </c>
      <c r="BS309" s="8">
        <f t="shared" ref="BS309" si="414">SUM(AI309:BR309)</f>
        <v>5</v>
      </c>
      <c r="BT309" s="8"/>
      <c r="BU309" s="2">
        <f t="shared" si="402"/>
        <v>0</v>
      </c>
      <c r="BV309" s="2">
        <f t="shared" ref="BV309" si="415">SUM(AK309, AL309, AM309,AJ309,BL309,BO309, AP309)</f>
        <v>4</v>
      </c>
      <c r="BW309" s="2">
        <f t="shared" ref="BW309" si="416">SUM(AN309, AO309, AS309)</f>
        <v>0</v>
      </c>
      <c r="BX309" s="2">
        <f t="shared" ref="BX309" si="417">SUM(AU309,AV309,AW309,AX309,AY309,AZ309,BA309,BB309,BC309,BD309,BE309,BF309,BG309,BH309,BI309,BJ309,BQ309,BR309,BM309)</f>
        <v>0</v>
      </c>
      <c r="BY309" s="2">
        <f t="shared" ref="BY309" si="418">SUM(BP309, BN309)</f>
        <v>0</v>
      </c>
      <c r="BZ309" s="2">
        <f t="shared" ref="BZ309" si="419">SUM(AQ309)</f>
        <v>1</v>
      </c>
      <c r="CA309" s="2">
        <f t="shared" ref="CA309" si="420">SUM(AR309)</f>
        <v>0</v>
      </c>
      <c r="CB309" s="2">
        <f t="shared" ref="CB309" si="421">SUM(AT309)</f>
        <v>0</v>
      </c>
    </row>
    <row r="310" spans="1:80" ht="16" x14ac:dyDescent="0.2">
      <c r="A310" s="3" t="s">
        <v>136</v>
      </c>
      <c r="B310" s="10">
        <v>376</v>
      </c>
      <c r="C310" s="5">
        <v>1</v>
      </c>
      <c r="D310" s="10">
        <v>0</v>
      </c>
      <c r="E310" s="5">
        <v>0</v>
      </c>
      <c r="F310" s="10">
        <v>2020</v>
      </c>
      <c r="G310" s="10">
        <v>2023</v>
      </c>
      <c r="H310" s="7" t="s">
        <v>98</v>
      </c>
      <c r="I310" s="54" t="s">
        <v>55</v>
      </c>
      <c r="J310" s="8">
        <v>2</v>
      </c>
      <c r="K310" s="8" t="s">
        <v>63</v>
      </c>
      <c r="L310" s="8" t="s">
        <v>137</v>
      </c>
      <c r="M310" s="8" t="s">
        <v>137</v>
      </c>
      <c r="N310" s="8">
        <v>0</v>
      </c>
      <c r="O310" s="8">
        <v>0</v>
      </c>
      <c r="P310" s="8">
        <v>1</v>
      </c>
      <c r="Q310" s="8" t="s">
        <v>65</v>
      </c>
      <c r="R310" s="9">
        <v>0.2</v>
      </c>
      <c r="S310" s="8">
        <v>0</v>
      </c>
      <c r="T310" s="8">
        <v>0</v>
      </c>
      <c r="U310" s="8">
        <v>0</v>
      </c>
      <c r="V310" s="8">
        <v>0</v>
      </c>
      <c r="W310" s="8">
        <v>1</v>
      </c>
      <c r="X310" s="8">
        <v>0</v>
      </c>
      <c r="Y310" s="8">
        <v>0</v>
      </c>
      <c r="Z310" s="8">
        <v>1</v>
      </c>
      <c r="AA310" s="8" t="s">
        <v>139</v>
      </c>
      <c r="AB310" s="8">
        <v>1</v>
      </c>
      <c r="AC310" s="8">
        <v>0</v>
      </c>
      <c r="AD310" s="8">
        <v>0</v>
      </c>
      <c r="AE310" s="8">
        <v>0</v>
      </c>
      <c r="AF310" s="8">
        <v>0</v>
      </c>
      <c r="AG310" s="8">
        <v>0</v>
      </c>
      <c r="AH310" s="8">
        <v>0</v>
      </c>
      <c r="AI310" s="8">
        <v>0</v>
      </c>
      <c r="AJ310" s="8">
        <v>1</v>
      </c>
      <c r="AK310" s="8">
        <v>1</v>
      </c>
      <c r="AL310" s="8">
        <v>1</v>
      </c>
      <c r="AM310" s="8">
        <v>1</v>
      </c>
      <c r="AN310" s="8">
        <v>0</v>
      </c>
      <c r="AO310" s="8">
        <v>0</v>
      </c>
      <c r="AP310" s="8">
        <v>0</v>
      </c>
      <c r="AQ310" s="8">
        <v>1</v>
      </c>
      <c r="AR310" s="8">
        <v>0</v>
      </c>
      <c r="AS310" s="8">
        <v>0</v>
      </c>
      <c r="AT310" s="8">
        <v>0</v>
      </c>
      <c r="AU310" s="8">
        <v>0</v>
      </c>
      <c r="AV310" s="8">
        <v>0</v>
      </c>
      <c r="AW310" s="8">
        <v>0</v>
      </c>
      <c r="AX310" s="8">
        <v>0</v>
      </c>
      <c r="AY310" s="8">
        <v>0</v>
      </c>
      <c r="AZ310" s="8">
        <v>0</v>
      </c>
      <c r="BA310" s="8">
        <v>0</v>
      </c>
      <c r="BB310" s="8">
        <v>0</v>
      </c>
      <c r="BC310" s="8">
        <v>0</v>
      </c>
      <c r="BD310" s="8">
        <v>0</v>
      </c>
      <c r="BE310" s="8">
        <v>0</v>
      </c>
      <c r="BF310" s="8">
        <v>0</v>
      </c>
      <c r="BG310" s="8">
        <v>0</v>
      </c>
      <c r="BH310" s="8">
        <v>0</v>
      </c>
      <c r="BI310" s="8">
        <v>0</v>
      </c>
      <c r="BJ310" s="8">
        <v>0</v>
      </c>
      <c r="BK310" s="8">
        <v>0</v>
      </c>
      <c r="BL310" s="8">
        <v>0</v>
      </c>
      <c r="BM310" s="8">
        <v>0</v>
      </c>
      <c r="BN310" s="8">
        <v>0</v>
      </c>
      <c r="BO310" s="8">
        <v>0</v>
      </c>
      <c r="BP310" s="8">
        <v>0</v>
      </c>
      <c r="BQ310" s="8">
        <v>0</v>
      </c>
      <c r="BR310" s="8">
        <v>0</v>
      </c>
      <c r="BS310" s="8">
        <f t="shared" ref="BS310" si="422">SUM(AI310:BR310)</f>
        <v>5</v>
      </c>
      <c r="BT310" s="8"/>
      <c r="BU310" s="2">
        <f t="shared" si="402"/>
        <v>0</v>
      </c>
      <c r="BV310" s="2">
        <f t="shared" ref="BV310" si="423">SUM(AK310, AL310, AM310,AJ310,BL310,BO310, AP310)</f>
        <v>4</v>
      </c>
      <c r="BW310" s="2">
        <f t="shared" ref="BW310" si="424">SUM(AN310, AO310, AS310)</f>
        <v>0</v>
      </c>
      <c r="BX310" s="2">
        <f t="shared" ref="BX310" si="425">SUM(AU310,AV310,AW310,AX310,AY310,AZ310,BA310,BB310,BC310,BD310,BE310,BF310,BG310,BH310,BI310,BJ310,BQ310,BR310,BM310)</f>
        <v>0</v>
      </c>
      <c r="BY310" s="2">
        <f t="shared" ref="BY310" si="426">SUM(BP310, BN310)</f>
        <v>0</v>
      </c>
      <c r="BZ310" s="2">
        <f t="shared" ref="BZ310" si="427">SUM(AQ310)</f>
        <v>1</v>
      </c>
      <c r="CA310" s="2">
        <f t="shared" ref="CA310" si="428">SUM(AR310)</f>
        <v>0</v>
      </c>
      <c r="CB310" s="2">
        <f t="shared" ref="CB310" si="429">SUM(AT310)</f>
        <v>0</v>
      </c>
    </row>
    <row r="311" spans="1:80" ht="16" x14ac:dyDescent="0.2">
      <c r="A311" s="13" t="s">
        <v>140</v>
      </c>
      <c r="B311" s="10" t="s">
        <v>141</v>
      </c>
      <c r="C311" s="5">
        <v>1</v>
      </c>
      <c r="D311" s="10">
        <v>1</v>
      </c>
      <c r="E311" s="5">
        <v>0</v>
      </c>
      <c r="F311" s="10">
        <v>2012</v>
      </c>
      <c r="G311" s="10" t="s">
        <v>86</v>
      </c>
      <c r="H311" s="7" t="str">
        <f t="shared" si="399"/>
        <v>No</v>
      </c>
      <c r="I311" s="54" t="s">
        <v>55</v>
      </c>
      <c r="J311" s="8">
        <v>0</v>
      </c>
      <c r="K311" s="8"/>
      <c r="L311" s="8"/>
      <c r="M311" s="8"/>
      <c r="N311" s="8"/>
      <c r="O311" s="8"/>
      <c r="P311" s="8"/>
      <c r="Q311" s="8"/>
      <c r="R311" s="6"/>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v>0</v>
      </c>
      <c r="BT311" s="8"/>
      <c r="BU311" s="2">
        <f t="shared" si="402"/>
        <v>0</v>
      </c>
      <c r="BV311" s="2">
        <f t="shared" si="403"/>
        <v>0</v>
      </c>
      <c r="BW311" s="2">
        <f t="shared" si="404"/>
        <v>0</v>
      </c>
      <c r="BX311" s="2">
        <f t="shared" si="407"/>
        <v>0</v>
      </c>
      <c r="BY311" s="2">
        <f t="shared" si="405"/>
        <v>0</v>
      </c>
      <c r="BZ311" s="2">
        <f t="shared" ref="BZ311:CA311" si="430">SUM(AQ311)</f>
        <v>0</v>
      </c>
      <c r="CA311" s="2">
        <f t="shared" si="430"/>
        <v>0</v>
      </c>
      <c r="CB311" s="2">
        <f t="shared" ref="CB311:CB547" si="431">SUM(AT311)</f>
        <v>0</v>
      </c>
    </row>
    <row r="312" spans="1:80" ht="16" x14ac:dyDescent="0.2">
      <c r="A312" s="13" t="s">
        <v>140</v>
      </c>
      <c r="B312" s="10" t="s">
        <v>141</v>
      </c>
      <c r="C312" s="5">
        <v>1</v>
      </c>
      <c r="D312" s="10">
        <v>1</v>
      </c>
      <c r="E312" s="5">
        <v>0</v>
      </c>
      <c r="F312" s="10">
        <v>2012</v>
      </c>
      <c r="G312" s="10" t="s">
        <v>90</v>
      </c>
      <c r="H312" s="7" t="str">
        <f t="shared" si="399"/>
        <v>No</v>
      </c>
      <c r="I312" s="54" t="s">
        <v>55</v>
      </c>
      <c r="J312" s="8">
        <v>0</v>
      </c>
      <c r="K312" s="8"/>
      <c r="L312" s="8"/>
      <c r="M312" s="8"/>
      <c r="N312" s="8"/>
      <c r="O312" s="8"/>
      <c r="P312" s="8"/>
      <c r="Q312" s="8"/>
      <c r="R312" s="6"/>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v>0</v>
      </c>
      <c r="BT312" s="8"/>
      <c r="BU312" s="2">
        <f t="shared" si="402"/>
        <v>0</v>
      </c>
      <c r="BV312" s="2">
        <f t="shared" si="403"/>
        <v>0</v>
      </c>
      <c r="BW312" s="2">
        <f t="shared" si="404"/>
        <v>0</v>
      </c>
      <c r="BX312" s="2">
        <f t="shared" si="407"/>
        <v>0</v>
      </c>
      <c r="BY312" s="2">
        <f t="shared" si="405"/>
        <v>0</v>
      </c>
      <c r="BZ312" s="2">
        <f t="shared" ref="BZ312:CA312" si="432">SUM(AQ312)</f>
        <v>0</v>
      </c>
      <c r="CA312" s="2">
        <f t="shared" si="432"/>
        <v>0</v>
      </c>
      <c r="CB312" s="2">
        <f t="shared" si="431"/>
        <v>0</v>
      </c>
    </row>
    <row r="313" spans="1:80" ht="16" x14ac:dyDescent="0.2">
      <c r="A313" s="13" t="s">
        <v>140</v>
      </c>
      <c r="B313" s="10" t="s">
        <v>141</v>
      </c>
      <c r="C313" s="5">
        <v>1</v>
      </c>
      <c r="D313" s="10">
        <v>1</v>
      </c>
      <c r="E313" s="5">
        <v>0</v>
      </c>
      <c r="F313" s="10">
        <v>2012</v>
      </c>
      <c r="G313" s="10" t="s">
        <v>91</v>
      </c>
      <c r="H313" s="7" t="str">
        <f t="shared" si="399"/>
        <v>No</v>
      </c>
      <c r="I313" s="54" t="s">
        <v>55</v>
      </c>
      <c r="J313" s="8">
        <v>0</v>
      </c>
      <c r="K313" s="8"/>
      <c r="L313" s="8"/>
      <c r="M313" s="8"/>
      <c r="N313" s="8"/>
      <c r="O313" s="8"/>
      <c r="P313" s="8"/>
      <c r="Q313" s="8"/>
      <c r="R313" s="6"/>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v>0</v>
      </c>
      <c r="BT313" s="8"/>
      <c r="BU313" s="2">
        <f t="shared" si="402"/>
        <v>0</v>
      </c>
      <c r="BV313" s="2">
        <f t="shared" si="403"/>
        <v>0</v>
      </c>
      <c r="BW313" s="2">
        <f t="shared" si="404"/>
        <v>0</v>
      </c>
      <c r="BX313" s="2">
        <f t="shared" si="407"/>
        <v>0</v>
      </c>
      <c r="BY313" s="2">
        <f t="shared" si="405"/>
        <v>0</v>
      </c>
      <c r="BZ313" s="2">
        <f t="shared" ref="BZ313:CA313" si="433">SUM(AQ313)</f>
        <v>0</v>
      </c>
      <c r="CA313" s="2">
        <f t="shared" si="433"/>
        <v>0</v>
      </c>
      <c r="CB313" s="2">
        <f t="shared" si="431"/>
        <v>0</v>
      </c>
    </row>
    <row r="314" spans="1:80" ht="16" x14ac:dyDescent="0.2">
      <c r="A314" s="13" t="s">
        <v>140</v>
      </c>
      <c r="B314" s="10" t="s">
        <v>141</v>
      </c>
      <c r="C314" s="5">
        <v>1</v>
      </c>
      <c r="D314" s="10">
        <v>1</v>
      </c>
      <c r="E314" s="5">
        <v>0</v>
      </c>
      <c r="F314" s="10">
        <v>2012</v>
      </c>
      <c r="G314" s="10" t="s">
        <v>93</v>
      </c>
      <c r="H314" s="7" t="str">
        <f t="shared" si="399"/>
        <v>No</v>
      </c>
      <c r="I314" s="54" t="s">
        <v>55</v>
      </c>
      <c r="J314" s="8">
        <v>0</v>
      </c>
      <c r="K314" s="8"/>
      <c r="L314" s="8"/>
      <c r="M314" s="8"/>
      <c r="N314" s="8"/>
      <c r="O314" s="8"/>
      <c r="P314" s="8"/>
      <c r="Q314" s="8"/>
      <c r="R314" s="6"/>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v>0</v>
      </c>
      <c r="BT314" s="8"/>
      <c r="BU314" s="2">
        <f t="shared" si="402"/>
        <v>0</v>
      </c>
      <c r="BV314" s="2">
        <f t="shared" si="403"/>
        <v>0</v>
      </c>
      <c r="BW314" s="2">
        <f t="shared" si="404"/>
        <v>0</v>
      </c>
      <c r="BX314" s="2">
        <f t="shared" si="407"/>
        <v>0</v>
      </c>
      <c r="BY314" s="2">
        <f t="shared" si="405"/>
        <v>0</v>
      </c>
      <c r="BZ314" s="2">
        <f t="shared" ref="BZ314:CA314" si="434">SUM(AQ314)</f>
        <v>0</v>
      </c>
      <c r="CA314" s="2">
        <f t="shared" si="434"/>
        <v>0</v>
      </c>
      <c r="CB314" s="2">
        <f t="shared" si="431"/>
        <v>0</v>
      </c>
    </row>
    <row r="315" spans="1:80" ht="16" x14ac:dyDescent="0.2">
      <c r="A315" s="13" t="s">
        <v>140</v>
      </c>
      <c r="B315" s="10" t="s">
        <v>141</v>
      </c>
      <c r="C315" s="5">
        <v>1</v>
      </c>
      <c r="D315" s="10">
        <v>1</v>
      </c>
      <c r="E315" s="5">
        <v>0</v>
      </c>
      <c r="F315" s="10">
        <v>2012</v>
      </c>
      <c r="G315" s="10" t="s">
        <v>70</v>
      </c>
      <c r="H315" s="7" t="str">
        <f t="shared" si="399"/>
        <v>No</v>
      </c>
      <c r="I315" s="54" t="s">
        <v>55</v>
      </c>
      <c r="J315" s="8">
        <v>0</v>
      </c>
      <c r="K315" s="8"/>
      <c r="L315" s="8"/>
      <c r="M315" s="8"/>
      <c r="N315" s="8"/>
      <c r="O315" s="8"/>
      <c r="P315" s="8"/>
      <c r="Q315" s="8"/>
      <c r="R315" s="6"/>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v>0</v>
      </c>
      <c r="BT315" s="8"/>
      <c r="BU315" s="2">
        <f t="shared" si="402"/>
        <v>0</v>
      </c>
      <c r="BV315" s="2">
        <f t="shared" si="403"/>
        <v>0</v>
      </c>
      <c r="BW315" s="2">
        <f t="shared" si="404"/>
        <v>0</v>
      </c>
      <c r="BX315" s="2">
        <f t="shared" si="407"/>
        <v>0</v>
      </c>
      <c r="BY315" s="2">
        <f t="shared" si="405"/>
        <v>0</v>
      </c>
      <c r="BZ315" s="2">
        <f t="shared" ref="BZ315:CA315" si="435">SUM(AQ315)</f>
        <v>0</v>
      </c>
      <c r="CA315" s="2">
        <f t="shared" si="435"/>
        <v>0</v>
      </c>
      <c r="CB315" s="2">
        <f t="shared" si="431"/>
        <v>0</v>
      </c>
    </row>
    <row r="316" spans="1:80" ht="16" x14ac:dyDescent="0.2">
      <c r="A316" s="13" t="s">
        <v>140</v>
      </c>
      <c r="B316" s="10" t="s">
        <v>141</v>
      </c>
      <c r="C316" s="5">
        <v>1</v>
      </c>
      <c r="D316" s="10">
        <v>1</v>
      </c>
      <c r="E316" s="5">
        <v>0</v>
      </c>
      <c r="F316" s="10">
        <v>2012</v>
      </c>
      <c r="G316" s="10" t="s">
        <v>71</v>
      </c>
      <c r="H316" s="7" t="str">
        <f t="shared" si="399"/>
        <v>Yes</v>
      </c>
      <c r="I316" s="54" t="s">
        <v>56</v>
      </c>
      <c r="J316" s="8">
        <v>2</v>
      </c>
      <c r="K316" s="8" t="s">
        <v>63</v>
      </c>
      <c r="L316" s="8" t="s">
        <v>64</v>
      </c>
      <c r="M316" s="8" t="s">
        <v>64</v>
      </c>
      <c r="N316" s="8">
        <v>0</v>
      </c>
      <c r="O316" s="8">
        <v>0</v>
      </c>
      <c r="P316" s="8">
        <v>0</v>
      </c>
      <c r="Q316" s="8" t="s">
        <v>142</v>
      </c>
      <c r="R316" s="9">
        <v>0.03</v>
      </c>
      <c r="S316" s="6">
        <v>1</v>
      </c>
      <c r="T316" s="8">
        <v>0</v>
      </c>
      <c r="U316" s="8">
        <v>1</v>
      </c>
      <c r="V316" s="8">
        <v>1</v>
      </c>
      <c r="W316" s="8">
        <v>1</v>
      </c>
      <c r="X316" s="8">
        <v>0</v>
      </c>
      <c r="Y316" s="8">
        <v>0</v>
      </c>
      <c r="Z316" s="8">
        <v>1</v>
      </c>
      <c r="AA316" s="8" t="s">
        <v>143</v>
      </c>
      <c r="AB316" s="8">
        <v>0</v>
      </c>
      <c r="AC316" s="8">
        <v>0</v>
      </c>
      <c r="AD316" s="8">
        <v>0</v>
      </c>
      <c r="AE316" s="8">
        <v>0</v>
      </c>
      <c r="AF316" s="8">
        <v>1</v>
      </c>
      <c r="AG316" s="8">
        <v>0</v>
      </c>
      <c r="AH316" s="8">
        <v>0</v>
      </c>
      <c r="AI316" s="8">
        <v>1</v>
      </c>
      <c r="AJ316" s="8">
        <v>1</v>
      </c>
      <c r="AK316" s="8">
        <v>0</v>
      </c>
      <c r="AL316" s="8">
        <v>1</v>
      </c>
      <c r="AM316" s="8">
        <v>1</v>
      </c>
      <c r="AN316" s="8">
        <v>0</v>
      </c>
      <c r="AO316" s="8">
        <v>0</v>
      </c>
      <c r="AP316" s="8">
        <v>0</v>
      </c>
      <c r="AQ316" s="8">
        <v>0</v>
      </c>
      <c r="AR316" s="8">
        <v>0</v>
      </c>
      <c r="AS316" s="8">
        <v>0</v>
      </c>
      <c r="AT316" s="8">
        <v>0</v>
      </c>
      <c r="AU316" s="8">
        <v>0</v>
      </c>
      <c r="AV316" s="8">
        <v>0</v>
      </c>
      <c r="AW316" s="8">
        <v>0</v>
      </c>
      <c r="AX316" s="8">
        <v>0</v>
      </c>
      <c r="AY316" s="8">
        <v>0</v>
      </c>
      <c r="AZ316" s="8">
        <v>0</v>
      </c>
      <c r="BA316" s="8">
        <v>0</v>
      </c>
      <c r="BB316" s="8">
        <v>0</v>
      </c>
      <c r="BC316" s="8">
        <v>0</v>
      </c>
      <c r="BD316" s="8">
        <v>0</v>
      </c>
      <c r="BE316" s="8">
        <v>0</v>
      </c>
      <c r="BF316" s="8">
        <v>0</v>
      </c>
      <c r="BG316" s="8">
        <v>0</v>
      </c>
      <c r="BH316" s="8">
        <v>0</v>
      </c>
      <c r="BI316" s="8">
        <v>0</v>
      </c>
      <c r="BJ316" s="8">
        <v>0</v>
      </c>
      <c r="BK316" s="8">
        <v>0</v>
      </c>
      <c r="BL316" s="8">
        <v>0</v>
      </c>
      <c r="BM316" s="8">
        <v>0</v>
      </c>
      <c r="BN316" s="8">
        <v>0</v>
      </c>
      <c r="BO316" s="8">
        <v>0</v>
      </c>
      <c r="BP316" s="8">
        <v>0</v>
      </c>
      <c r="BQ316" s="8">
        <v>0</v>
      </c>
      <c r="BR316" s="8">
        <v>0</v>
      </c>
      <c r="BS316" s="8">
        <f t="shared" ref="BS316:BS343" si="436">SUM(AI316:BR316)</f>
        <v>4</v>
      </c>
      <c r="BT316" s="8"/>
      <c r="BU316" s="2">
        <f t="shared" ref="BU316:BU547" si="437">SUM(AI316,BK316)</f>
        <v>1</v>
      </c>
      <c r="BV316" s="2">
        <f t="shared" si="403"/>
        <v>3</v>
      </c>
      <c r="BW316" s="2">
        <f t="shared" si="404"/>
        <v>0</v>
      </c>
      <c r="BX316" s="2">
        <f t="shared" si="407"/>
        <v>0</v>
      </c>
      <c r="BY316" s="2">
        <f t="shared" si="405"/>
        <v>0</v>
      </c>
      <c r="BZ316" s="2">
        <f t="shared" ref="BZ316:CA316" si="438">SUM(AQ316)</f>
        <v>0</v>
      </c>
      <c r="CA316" s="2">
        <f t="shared" si="438"/>
        <v>0</v>
      </c>
      <c r="CB316" s="2">
        <f t="shared" si="431"/>
        <v>0</v>
      </c>
    </row>
    <row r="317" spans="1:80" ht="16" x14ac:dyDescent="0.2">
      <c r="A317" s="13" t="s">
        <v>140</v>
      </c>
      <c r="B317" s="10" t="s">
        <v>141</v>
      </c>
      <c r="C317" s="5">
        <v>1</v>
      </c>
      <c r="D317" s="10">
        <v>1</v>
      </c>
      <c r="E317" s="5">
        <v>0</v>
      </c>
      <c r="F317" s="10">
        <v>2012</v>
      </c>
      <c r="G317" s="10" t="s">
        <v>72</v>
      </c>
      <c r="H317" s="7" t="str">
        <f t="shared" si="399"/>
        <v>No</v>
      </c>
      <c r="I317" s="54" t="s">
        <v>55</v>
      </c>
      <c r="J317" s="8">
        <v>2</v>
      </c>
      <c r="K317" s="8" t="s">
        <v>63</v>
      </c>
      <c r="L317" s="8" t="s">
        <v>64</v>
      </c>
      <c r="M317" s="8" t="s">
        <v>64</v>
      </c>
      <c r="N317" s="8">
        <v>0</v>
      </c>
      <c r="O317" s="8">
        <v>0</v>
      </c>
      <c r="P317" s="8">
        <v>0</v>
      </c>
      <c r="Q317" s="8" t="s">
        <v>142</v>
      </c>
      <c r="R317" s="14" t="s">
        <v>144</v>
      </c>
      <c r="S317" s="6">
        <v>1</v>
      </c>
      <c r="T317" s="8">
        <v>0</v>
      </c>
      <c r="U317" s="8">
        <v>1</v>
      </c>
      <c r="V317" s="8">
        <v>1</v>
      </c>
      <c r="W317" s="8">
        <v>1</v>
      </c>
      <c r="X317" s="8">
        <v>0</v>
      </c>
      <c r="Y317" s="8">
        <v>0</v>
      </c>
      <c r="Z317" s="8">
        <v>1</v>
      </c>
      <c r="AA317" s="8" t="s">
        <v>143</v>
      </c>
      <c r="AB317" s="8">
        <v>0</v>
      </c>
      <c r="AC317" s="8">
        <v>0</v>
      </c>
      <c r="AD317" s="8">
        <v>0</v>
      </c>
      <c r="AE317" s="8">
        <v>0</v>
      </c>
      <c r="AF317" s="8">
        <v>1</v>
      </c>
      <c r="AG317" s="8">
        <v>0</v>
      </c>
      <c r="AH317" s="8">
        <v>0</v>
      </c>
      <c r="AI317" s="8">
        <v>1</v>
      </c>
      <c r="AJ317" s="8">
        <v>1</v>
      </c>
      <c r="AK317" s="8">
        <v>0</v>
      </c>
      <c r="AL317" s="8">
        <v>1</v>
      </c>
      <c r="AM317" s="8">
        <v>1</v>
      </c>
      <c r="AN317" s="8">
        <v>0</v>
      </c>
      <c r="AO317" s="8">
        <v>0</v>
      </c>
      <c r="AP317" s="8">
        <v>0</v>
      </c>
      <c r="AQ317" s="8">
        <v>0</v>
      </c>
      <c r="AR317" s="8">
        <v>0</v>
      </c>
      <c r="AS317" s="8">
        <v>0</v>
      </c>
      <c r="AT317" s="8">
        <v>0</v>
      </c>
      <c r="AU317" s="8">
        <v>0</v>
      </c>
      <c r="AV317" s="8">
        <v>0</v>
      </c>
      <c r="AW317" s="8">
        <v>0</v>
      </c>
      <c r="AX317" s="8">
        <v>0</v>
      </c>
      <c r="AY317" s="8">
        <v>0</v>
      </c>
      <c r="AZ317" s="8">
        <v>0</v>
      </c>
      <c r="BA317" s="8">
        <v>0</v>
      </c>
      <c r="BB317" s="8">
        <v>0</v>
      </c>
      <c r="BC317" s="8">
        <v>0</v>
      </c>
      <c r="BD317" s="8">
        <v>0</v>
      </c>
      <c r="BE317" s="8">
        <v>0</v>
      </c>
      <c r="BF317" s="8">
        <v>0</v>
      </c>
      <c r="BG317" s="8">
        <v>0</v>
      </c>
      <c r="BH317" s="8">
        <v>0</v>
      </c>
      <c r="BI317" s="8">
        <v>0</v>
      </c>
      <c r="BJ317" s="8">
        <v>0</v>
      </c>
      <c r="BK317" s="8">
        <v>0</v>
      </c>
      <c r="BL317" s="8">
        <v>0</v>
      </c>
      <c r="BM317" s="8">
        <v>0</v>
      </c>
      <c r="BN317" s="8">
        <v>0</v>
      </c>
      <c r="BO317" s="8">
        <v>0</v>
      </c>
      <c r="BP317" s="8">
        <v>0</v>
      </c>
      <c r="BQ317" s="8">
        <v>0</v>
      </c>
      <c r="BR317" s="8">
        <v>0</v>
      </c>
      <c r="BS317" s="8">
        <f t="shared" si="436"/>
        <v>4</v>
      </c>
      <c r="BT317" s="8"/>
      <c r="BU317" s="2">
        <f t="shared" si="437"/>
        <v>1</v>
      </c>
      <c r="BV317" s="2">
        <f t="shared" si="403"/>
        <v>3</v>
      </c>
      <c r="BW317" s="2">
        <f t="shared" si="404"/>
        <v>0</v>
      </c>
      <c r="BX317" s="2">
        <f t="shared" si="407"/>
        <v>0</v>
      </c>
      <c r="BY317" s="2">
        <f t="shared" si="405"/>
        <v>0</v>
      </c>
      <c r="BZ317" s="2">
        <f t="shared" ref="BZ317:CA317" si="439">SUM(AQ317)</f>
        <v>0</v>
      </c>
      <c r="CA317" s="2">
        <f t="shared" si="439"/>
        <v>0</v>
      </c>
      <c r="CB317" s="2">
        <f t="shared" si="431"/>
        <v>0</v>
      </c>
    </row>
    <row r="318" spans="1:80" ht="16" x14ac:dyDescent="0.2">
      <c r="A318" s="13" t="s">
        <v>140</v>
      </c>
      <c r="B318" s="10" t="s">
        <v>141</v>
      </c>
      <c r="C318" s="5">
        <v>1</v>
      </c>
      <c r="D318" s="10">
        <v>1</v>
      </c>
      <c r="E318" s="5">
        <v>0</v>
      </c>
      <c r="F318" s="10">
        <v>2012</v>
      </c>
      <c r="G318" s="10" t="s">
        <v>73</v>
      </c>
      <c r="H318" s="7" t="str">
        <f t="shared" si="399"/>
        <v>No</v>
      </c>
      <c r="I318" s="54" t="s">
        <v>145</v>
      </c>
      <c r="J318" s="8">
        <v>2</v>
      </c>
      <c r="K318" s="8" t="s">
        <v>63</v>
      </c>
      <c r="L318" s="8" t="s">
        <v>64</v>
      </c>
      <c r="M318" s="8" t="s">
        <v>64</v>
      </c>
      <c r="N318" s="8">
        <v>0</v>
      </c>
      <c r="O318" s="8">
        <v>0</v>
      </c>
      <c r="P318" s="8">
        <v>0</v>
      </c>
      <c r="Q318" s="8" t="s">
        <v>146</v>
      </c>
      <c r="R318" s="14" t="s">
        <v>144</v>
      </c>
      <c r="S318" s="6">
        <v>1</v>
      </c>
      <c r="T318" s="8">
        <v>0</v>
      </c>
      <c r="U318" s="8">
        <v>1</v>
      </c>
      <c r="V318" s="8">
        <v>0</v>
      </c>
      <c r="W318" s="8">
        <v>1</v>
      </c>
      <c r="X318" s="8">
        <v>0</v>
      </c>
      <c r="Y318" s="8">
        <v>0</v>
      </c>
      <c r="Z318" s="8">
        <v>1</v>
      </c>
      <c r="AA318" s="8" t="s">
        <v>143</v>
      </c>
      <c r="AB318" s="8">
        <v>0</v>
      </c>
      <c r="AC318" s="8">
        <v>0</v>
      </c>
      <c r="AD318" s="8">
        <v>0</v>
      </c>
      <c r="AE318" s="8">
        <v>0</v>
      </c>
      <c r="AF318" s="8">
        <v>1</v>
      </c>
      <c r="AG318" s="8">
        <v>0</v>
      </c>
      <c r="AH318" s="8">
        <v>0</v>
      </c>
      <c r="AI318" s="8">
        <v>1</v>
      </c>
      <c r="AJ318" s="8">
        <v>1</v>
      </c>
      <c r="AK318" s="8">
        <v>0</v>
      </c>
      <c r="AL318" s="8">
        <v>1</v>
      </c>
      <c r="AM318" s="8">
        <v>1</v>
      </c>
      <c r="AN318" s="8">
        <v>0</v>
      </c>
      <c r="AO318" s="8">
        <v>0</v>
      </c>
      <c r="AP318" s="8">
        <v>0</v>
      </c>
      <c r="AQ318" s="8">
        <v>0</v>
      </c>
      <c r="AR318" s="8">
        <v>0</v>
      </c>
      <c r="AS318" s="8">
        <v>0</v>
      </c>
      <c r="AT318" s="8">
        <v>0</v>
      </c>
      <c r="AU318" s="8">
        <v>0</v>
      </c>
      <c r="AV318" s="8">
        <v>0</v>
      </c>
      <c r="AW318" s="8">
        <v>0</v>
      </c>
      <c r="AX318" s="8">
        <v>0</v>
      </c>
      <c r="AY318" s="8">
        <v>0</v>
      </c>
      <c r="AZ318" s="8">
        <v>0</v>
      </c>
      <c r="BA318" s="8">
        <v>0</v>
      </c>
      <c r="BB318" s="8">
        <v>0</v>
      </c>
      <c r="BC318" s="8">
        <v>0</v>
      </c>
      <c r="BD318" s="8">
        <v>0</v>
      </c>
      <c r="BE318" s="8">
        <v>0</v>
      </c>
      <c r="BF318" s="8">
        <v>0</v>
      </c>
      <c r="BG318" s="8">
        <v>0</v>
      </c>
      <c r="BH318" s="8">
        <v>0</v>
      </c>
      <c r="BI318" s="8">
        <v>0</v>
      </c>
      <c r="BJ318" s="8">
        <v>0</v>
      </c>
      <c r="BK318" s="8">
        <v>1</v>
      </c>
      <c r="BL318" s="8">
        <v>0</v>
      </c>
      <c r="BM318" s="8">
        <v>0</v>
      </c>
      <c r="BN318" s="8">
        <v>0</v>
      </c>
      <c r="BO318" s="8">
        <v>0</v>
      </c>
      <c r="BP318" s="8">
        <v>0</v>
      </c>
      <c r="BQ318" s="8">
        <v>0</v>
      </c>
      <c r="BR318" s="8">
        <v>0</v>
      </c>
      <c r="BS318" s="8">
        <f t="shared" si="436"/>
        <v>5</v>
      </c>
      <c r="BT318" s="8"/>
      <c r="BU318" s="2">
        <f t="shared" si="437"/>
        <v>2</v>
      </c>
      <c r="BV318" s="2">
        <f t="shared" si="403"/>
        <v>3</v>
      </c>
      <c r="BW318" s="2">
        <f t="shared" si="404"/>
        <v>0</v>
      </c>
      <c r="BX318" s="2">
        <f t="shared" si="407"/>
        <v>0</v>
      </c>
      <c r="BY318" s="2">
        <f t="shared" si="405"/>
        <v>0</v>
      </c>
      <c r="BZ318" s="2">
        <f t="shared" ref="BZ318:CA318" si="440">SUM(AQ318)</f>
        <v>0</v>
      </c>
      <c r="CA318" s="2">
        <f t="shared" si="440"/>
        <v>0</v>
      </c>
      <c r="CB318" s="2">
        <f t="shared" si="431"/>
        <v>0</v>
      </c>
    </row>
    <row r="319" spans="1:80" ht="16" x14ac:dyDescent="0.2">
      <c r="A319" s="13" t="s">
        <v>140</v>
      </c>
      <c r="B319" s="10" t="s">
        <v>141</v>
      </c>
      <c r="C319" s="5">
        <v>1</v>
      </c>
      <c r="D319" s="10">
        <v>1</v>
      </c>
      <c r="E319" s="5">
        <v>0</v>
      </c>
      <c r="F319" s="10">
        <v>2012</v>
      </c>
      <c r="G319" s="10" t="s">
        <v>74</v>
      </c>
      <c r="H319" s="7" t="str">
        <f t="shared" si="399"/>
        <v>Yes</v>
      </c>
      <c r="I319" s="54" t="s">
        <v>56</v>
      </c>
      <c r="J319" s="8">
        <v>2</v>
      </c>
      <c r="K319" s="8" t="s">
        <v>63</v>
      </c>
      <c r="L319" s="8" t="s">
        <v>64</v>
      </c>
      <c r="M319" s="8" t="s">
        <v>64</v>
      </c>
      <c r="N319" s="8">
        <v>0</v>
      </c>
      <c r="O319" s="8">
        <v>0</v>
      </c>
      <c r="P319" s="8">
        <v>0</v>
      </c>
      <c r="Q319" s="8" t="s">
        <v>146</v>
      </c>
      <c r="R319" s="14" t="s">
        <v>144</v>
      </c>
      <c r="S319" s="6">
        <v>1</v>
      </c>
      <c r="T319" s="8">
        <v>0</v>
      </c>
      <c r="U319" s="8">
        <v>1</v>
      </c>
      <c r="V319" s="8">
        <v>0</v>
      </c>
      <c r="W319" s="8">
        <v>1</v>
      </c>
      <c r="X319" s="8">
        <v>0</v>
      </c>
      <c r="Y319" s="8">
        <v>0</v>
      </c>
      <c r="Z319" s="8">
        <v>1</v>
      </c>
      <c r="AA319" s="8" t="s">
        <v>143</v>
      </c>
      <c r="AB319" s="8">
        <v>0</v>
      </c>
      <c r="AC319" s="8">
        <v>0</v>
      </c>
      <c r="AD319" s="8">
        <v>0</v>
      </c>
      <c r="AE319" s="8">
        <v>0</v>
      </c>
      <c r="AF319" s="8">
        <v>1</v>
      </c>
      <c r="AG319" s="8">
        <v>0</v>
      </c>
      <c r="AH319" s="8">
        <v>0</v>
      </c>
      <c r="AI319" s="8">
        <v>1</v>
      </c>
      <c r="AJ319" s="8">
        <v>1</v>
      </c>
      <c r="AK319" s="8">
        <v>0</v>
      </c>
      <c r="AL319" s="8">
        <v>1</v>
      </c>
      <c r="AM319" s="8">
        <v>1</v>
      </c>
      <c r="AN319" s="8">
        <v>0</v>
      </c>
      <c r="AO319" s="8">
        <v>0</v>
      </c>
      <c r="AP319" s="8">
        <v>0</v>
      </c>
      <c r="AQ319" s="8">
        <v>0</v>
      </c>
      <c r="AR319" s="8">
        <v>0</v>
      </c>
      <c r="AS319" s="8">
        <v>0</v>
      </c>
      <c r="AT319" s="8">
        <v>0</v>
      </c>
      <c r="AU319" s="8">
        <v>0</v>
      </c>
      <c r="AV319" s="8">
        <v>0</v>
      </c>
      <c r="AW319" s="8">
        <v>0</v>
      </c>
      <c r="AX319" s="8">
        <v>0</v>
      </c>
      <c r="AY319" s="8">
        <v>0</v>
      </c>
      <c r="AZ319" s="8">
        <v>0</v>
      </c>
      <c r="BA319" s="8">
        <v>0</v>
      </c>
      <c r="BB319" s="8">
        <v>0</v>
      </c>
      <c r="BC319" s="8">
        <v>0</v>
      </c>
      <c r="BD319" s="8">
        <v>0</v>
      </c>
      <c r="BE319" s="8">
        <v>0</v>
      </c>
      <c r="BF319" s="8">
        <v>0</v>
      </c>
      <c r="BG319" s="8">
        <v>0</v>
      </c>
      <c r="BH319" s="8">
        <v>0</v>
      </c>
      <c r="BI319" s="8">
        <v>0</v>
      </c>
      <c r="BJ319" s="8">
        <v>0</v>
      </c>
      <c r="BK319" s="8">
        <v>1</v>
      </c>
      <c r="BL319" s="8">
        <v>0</v>
      </c>
      <c r="BM319" s="8">
        <v>0</v>
      </c>
      <c r="BN319" s="8">
        <v>0</v>
      </c>
      <c r="BO319" s="8">
        <v>0</v>
      </c>
      <c r="BP319" s="8">
        <v>0</v>
      </c>
      <c r="BQ319" s="8">
        <v>0</v>
      </c>
      <c r="BR319" s="8">
        <v>0</v>
      </c>
      <c r="BS319" s="8">
        <f t="shared" si="436"/>
        <v>5</v>
      </c>
      <c r="BT319" s="8"/>
      <c r="BU319" s="2">
        <f t="shared" si="437"/>
        <v>2</v>
      </c>
      <c r="BV319" s="2">
        <f t="shared" si="403"/>
        <v>3</v>
      </c>
      <c r="BW319" s="2">
        <f t="shared" si="404"/>
        <v>0</v>
      </c>
      <c r="BX319" s="2">
        <f t="shared" si="407"/>
        <v>0</v>
      </c>
      <c r="BY319" s="2">
        <f t="shared" si="405"/>
        <v>0</v>
      </c>
      <c r="BZ319" s="2">
        <f t="shared" ref="BZ319:CA319" si="441">SUM(AQ319)</f>
        <v>0</v>
      </c>
      <c r="CA319" s="2">
        <f t="shared" si="441"/>
        <v>0</v>
      </c>
      <c r="CB319" s="2">
        <f t="shared" si="431"/>
        <v>0</v>
      </c>
    </row>
    <row r="320" spans="1:80" ht="16" x14ac:dyDescent="0.2">
      <c r="A320" s="13" t="s">
        <v>140</v>
      </c>
      <c r="B320" s="10" t="s">
        <v>141</v>
      </c>
      <c r="C320" s="5">
        <v>1</v>
      </c>
      <c r="D320" s="10">
        <v>1</v>
      </c>
      <c r="E320" s="5">
        <v>0</v>
      </c>
      <c r="F320" s="10">
        <v>2012</v>
      </c>
      <c r="G320" s="10" t="s">
        <v>75</v>
      </c>
      <c r="H320" s="7" t="str">
        <f t="shared" si="399"/>
        <v>No</v>
      </c>
      <c r="I320" s="54" t="s">
        <v>55</v>
      </c>
      <c r="J320" s="8">
        <v>2</v>
      </c>
      <c r="K320" s="8" t="s">
        <v>63</v>
      </c>
      <c r="L320" s="8" t="s">
        <v>64</v>
      </c>
      <c r="M320" s="8" t="s">
        <v>64</v>
      </c>
      <c r="N320" s="8">
        <v>0</v>
      </c>
      <c r="O320" s="8">
        <v>0</v>
      </c>
      <c r="P320" s="8">
        <v>0</v>
      </c>
      <c r="Q320" s="8" t="s">
        <v>146</v>
      </c>
      <c r="R320" s="14" t="s">
        <v>144</v>
      </c>
      <c r="S320" s="6">
        <v>1</v>
      </c>
      <c r="T320" s="8">
        <v>0</v>
      </c>
      <c r="U320" s="8">
        <v>1</v>
      </c>
      <c r="V320" s="8">
        <v>0</v>
      </c>
      <c r="W320" s="8">
        <v>1</v>
      </c>
      <c r="X320" s="8">
        <v>0</v>
      </c>
      <c r="Y320" s="8">
        <v>0</v>
      </c>
      <c r="Z320" s="8">
        <v>1</v>
      </c>
      <c r="AA320" s="8" t="s">
        <v>143</v>
      </c>
      <c r="AB320" s="8">
        <v>0</v>
      </c>
      <c r="AC320" s="8">
        <v>0</v>
      </c>
      <c r="AD320" s="8">
        <v>0</v>
      </c>
      <c r="AE320" s="8">
        <v>0</v>
      </c>
      <c r="AF320" s="8">
        <v>1</v>
      </c>
      <c r="AG320" s="8">
        <v>0</v>
      </c>
      <c r="AH320" s="8">
        <v>0</v>
      </c>
      <c r="AI320" s="8">
        <v>1</v>
      </c>
      <c r="AJ320" s="8">
        <v>1</v>
      </c>
      <c r="AK320" s="8">
        <v>0</v>
      </c>
      <c r="AL320" s="8">
        <v>1</v>
      </c>
      <c r="AM320" s="8">
        <v>1</v>
      </c>
      <c r="AN320" s="8">
        <v>0</v>
      </c>
      <c r="AO320" s="8">
        <v>0</v>
      </c>
      <c r="AP320" s="8">
        <v>0</v>
      </c>
      <c r="AQ320" s="8">
        <v>0</v>
      </c>
      <c r="AR320" s="8">
        <v>0</v>
      </c>
      <c r="AS320" s="8">
        <v>0</v>
      </c>
      <c r="AT320" s="8">
        <v>0</v>
      </c>
      <c r="AU320" s="8">
        <v>0</v>
      </c>
      <c r="AV320" s="8">
        <v>0</v>
      </c>
      <c r="AW320" s="8">
        <v>0</v>
      </c>
      <c r="AX320" s="8">
        <v>0</v>
      </c>
      <c r="AY320" s="8">
        <v>0</v>
      </c>
      <c r="AZ320" s="8">
        <v>0</v>
      </c>
      <c r="BA320" s="8">
        <v>0</v>
      </c>
      <c r="BB320" s="8">
        <v>0</v>
      </c>
      <c r="BC320" s="8">
        <v>0</v>
      </c>
      <c r="BD320" s="8">
        <v>0</v>
      </c>
      <c r="BE320" s="8">
        <v>0</v>
      </c>
      <c r="BF320" s="8">
        <v>0</v>
      </c>
      <c r="BG320" s="8">
        <v>0</v>
      </c>
      <c r="BH320" s="8">
        <v>0</v>
      </c>
      <c r="BI320" s="8">
        <v>0</v>
      </c>
      <c r="BJ320" s="8">
        <v>0</v>
      </c>
      <c r="BK320" s="8">
        <v>1</v>
      </c>
      <c r="BL320" s="8">
        <v>0</v>
      </c>
      <c r="BM320" s="8">
        <v>0</v>
      </c>
      <c r="BN320" s="8">
        <v>0</v>
      </c>
      <c r="BO320" s="8">
        <v>0</v>
      </c>
      <c r="BP320" s="8">
        <v>0</v>
      </c>
      <c r="BQ320" s="8">
        <v>0</v>
      </c>
      <c r="BR320" s="8">
        <v>0</v>
      </c>
      <c r="BS320" s="8">
        <f t="shared" si="436"/>
        <v>5</v>
      </c>
      <c r="BT320" s="8"/>
      <c r="BU320" s="2">
        <f t="shared" si="437"/>
        <v>2</v>
      </c>
      <c r="BV320" s="2">
        <f t="shared" si="403"/>
        <v>3</v>
      </c>
      <c r="BW320" s="2">
        <f t="shared" si="404"/>
        <v>0</v>
      </c>
      <c r="BX320" s="2">
        <f t="shared" si="407"/>
        <v>0</v>
      </c>
      <c r="BY320" s="2">
        <f t="shared" si="405"/>
        <v>0</v>
      </c>
      <c r="BZ320" s="2">
        <f t="shared" ref="BZ320:CA320" si="442">SUM(AQ320)</f>
        <v>0</v>
      </c>
      <c r="CA320" s="2">
        <f t="shared" si="442"/>
        <v>0</v>
      </c>
      <c r="CB320" s="2">
        <f t="shared" si="431"/>
        <v>0</v>
      </c>
    </row>
    <row r="321" spans="1:80" ht="16" x14ac:dyDescent="0.2">
      <c r="A321" s="3" t="s">
        <v>140</v>
      </c>
      <c r="B321" s="10" t="s">
        <v>141</v>
      </c>
      <c r="C321" s="5">
        <v>1</v>
      </c>
      <c r="D321" s="10">
        <v>1</v>
      </c>
      <c r="E321" s="5">
        <v>0</v>
      </c>
      <c r="F321" s="10">
        <v>2012</v>
      </c>
      <c r="G321" s="10" t="s">
        <v>76</v>
      </c>
      <c r="H321" s="7" t="str">
        <f t="shared" si="399"/>
        <v>Yes</v>
      </c>
      <c r="I321" s="54" t="s">
        <v>56</v>
      </c>
      <c r="J321" s="8">
        <v>2</v>
      </c>
      <c r="K321" s="8" t="s">
        <v>63</v>
      </c>
      <c r="L321" s="8" t="s">
        <v>64</v>
      </c>
      <c r="M321" s="8" t="s">
        <v>64</v>
      </c>
      <c r="N321" s="8">
        <v>0</v>
      </c>
      <c r="O321" s="8">
        <v>0</v>
      </c>
      <c r="P321" s="8">
        <v>0</v>
      </c>
      <c r="Q321" s="8" t="s">
        <v>146</v>
      </c>
      <c r="R321" s="14" t="s">
        <v>144</v>
      </c>
      <c r="S321" s="6">
        <v>1</v>
      </c>
      <c r="T321" s="8">
        <v>0</v>
      </c>
      <c r="U321" s="8">
        <v>1</v>
      </c>
      <c r="V321" s="8">
        <v>0</v>
      </c>
      <c r="W321" s="8">
        <v>1</v>
      </c>
      <c r="X321" s="8">
        <v>0</v>
      </c>
      <c r="Y321" s="8">
        <v>0</v>
      </c>
      <c r="Z321" s="8">
        <v>1</v>
      </c>
      <c r="AA321" s="8" t="s">
        <v>143</v>
      </c>
      <c r="AB321" s="8">
        <v>0</v>
      </c>
      <c r="AC321" s="8">
        <v>0</v>
      </c>
      <c r="AD321" s="8">
        <v>0</v>
      </c>
      <c r="AE321" s="8">
        <v>0</v>
      </c>
      <c r="AF321" s="8">
        <v>1</v>
      </c>
      <c r="AG321" s="8">
        <v>0</v>
      </c>
      <c r="AH321" s="8">
        <v>0</v>
      </c>
      <c r="AI321" s="8">
        <v>1</v>
      </c>
      <c r="AJ321" s="8">
        <v>1</v>
      </c>
      <c r="AK321" s="8">
        <v>0</v>
      </c>
      <c r="AL321" s="8">
        <v>1</v>
      </c>
      <c r="AM321" s="8">
        <v>1</v>
      </c>
      <c r="AN321" s="8">
        <v>0</v>
      </c>
      <c r="AO321" s="8">
        <v>0</v>
      </c>
      <c r="AP321" s="8">
        <v>0</v>
      </c>
      <c r="AQ321" s="8">
        <v>1</v>
      </c>
      <c r="AR321" s="8">
        <v>0</v>
      </c>
      <c r="AS321" s="8">
        <v>0</v>
      </c>
      <c r="AT321" s="8">
        <v>1</v>
      </c>
      <c r="AU321" s="8">
        <v>1</v>
      </c>
      <c r="AV321" s="8">
        <v>0</v>
      </c>
      <c r="AW321" s="8">
        <v>1</v>
      </c>
      <c r="AX321" s="8">
        <v>0</v>
      </c>
      <c r="AY321" s="8">
        <v>1</v>
      </c>
      <c r="AZ321" s="8">
        <v>0</v>
      </c>
      <c r="BA321" s="8">
        <v>0</v>
      </c>
      <c r="BB321" s="8">
        <v>0</v>
      </c>
      <c r="BC321" s="8">
        <v>0</v>
      </c>
      <c r="BD321" s="8">
        <v>0</v>
      </c>
      <c r="BE321" s="8">
        <v>1</v>
      </c>
      <c r="BF321" s="8">
        <v>0</v>
      </c>
      <c r="BG321" s="8">
        <v>0</v>
      </c>
      <c r="BH321" s="8">
        <v>0</v>
      </c>
      <c r="BI321" s="8">
        <v>0</v>
      </c>
      <c r="BJ321" s="8">
        <v>1</v>
      </c>
      <c r="BK321" s="8">
        <v>1</v>
      </c>
      <c r="BL321" s="8">
        <v>0</v>
      </c>
      <c r="BM321" s="8">
        <v>1</v>
      </c>
      <c r="BN321" s="8">
        <v>0</v>
      </c>
      <c r="BO321" s="8">
        <v>0</v>
      </c>
      <c r="BP321" s="8">
        <v>0</v>
      </c>
      <c r="BQ321" s="8">
        <v>1</v>
      </c>
      <c r="BR321" s="8">
        <v>0</v>
      </c>
      <c r="BS321" s="8">
        <f t="shared" si="436"/>
        <v>14</v>
      </c>
      <c r="BT321" s="8"/>
      <c r="BU321" s="2">
        <f t="shared" si="437"/>
        <v>2</v>
      </c>
      <c r="BV321" s="2">
        <f t="shared" si="403"/>
        <v>3</v>
      </c>
      <c r="BW321" s="2">
        <f t="shared" si="404"/>
        <v>0</v>
      </c>
      <c r="BX321" s="2">
        <f t="shared" si="407"/>
        <v>7</v>
      </c>
      <c r="BY321" s="2">
        <f t="shared" si="405"/>
        <v>0</v>
      </c>
      <c r="BZ321" s="2">
        <f t="shared" ref="BZ321:CA321" si="443">SUM(AQ321)</f>
        <v>1</v>
      </c>
      <c r="CA321" s="2">
        <f t="shared" si="443"/>
        <v>0</v>
      </c>
      <c r="CB321" s="2">
        <f t="shared" si="431"/>
        <v>1</v>
      </c>
    </row>
    <row r="322" spans="1:80" ht="16" x14ac:dyDescent="0.2">
      <c r="A322" s="3" t="s">
        <v>140</v>
      </c>
      <c r="B322" s="10" t="s">
        <v>141</v>
      </c>
      <c r="C322" s="5">
        <v>1</v>
      </c>
      <c r="D322" s="10">
        <v>1</v>
      </c>
      <c r="E322" s="5">
        <v>0</v>
      </c>
      <c r="F322" s="10">
        <v>2012</v>
      </c>
      <c r="G322" s="10" t="s">
        <v>77</v>
      </c>
      <c r="H322" s="7" t="str">
        <f t="shared" si="399"/>
        <v>No</v>
      </c>
      <c r="I322" s="54" t="s">
        <v>55</v>
      </c>
      <c r="J322" s="8">
        <v>2</v>
      </c>
      <c r="K322" s="8" t="s">
        <v>63</v>
      </c>
      <c r="L322" s="8" t="s">
        <v>64</v>
      </c>
      <c r="M322" s="8" t="s">
        <v>64</v>
      </c>
      <c r="N322" s="8">
        <v>0</v>
      </c>
      <c r="O322" s="8">
        <v>0</v>
      </c>
      <c r="P322" s="8">
        <v>0</v>
      </c>
      <c r="Q322" s="8" t="s">
        <v>146</v>
      </c>
      <c r="R322" s="14" t="s">
        <v>144</v>
      </c>
      <c r="S322" s="6">
        <v>1</v>
      </c>
      <c r="T322" s="8">
        <v>0</v>
      </c>
      <c r="U322" s="8">
        <v>1</v>
      </c>
      <c r="V322" s="8">
        <v>0</v>
      </c>
      <c r="W322" s="8">
        <v>1</v>
      </c>
      <c r="X322" s="8">
        <v>0</v>
      </c>
      <c r="Y322" s="8">
        <v>0</v>
      </c>
      <c r="Z322" s="8">
        <v>1</v>
      </c>
      <c r="AA322" s="8" t="s">
        <v>143</v>
      </c>
      <c r="AB322" s="8">
        <v>0</v>
      </c>
      <c r="AC322" s="8">
        <v>0</v>
      </c>
      <c r="AD322" s="8">
        <v>0</v>
      </c>
      <c r="AE322" s="8">
        <v>0</v>
      </c>
      <c r="AF322" s="8">
        <v>1</v>
      </c>
      <c r="AG322" s="8">
        <v>0</v>
      </c>
      <c r="AH322" s="8">
        <v>0</v>
      </c>
      <c r="AI322" s="8">
        <v>1</v>
      </c>
      <c r="AJ322" s="8">
        <v>1</v>
      </c>
      <c r="AK322" s="8">
        <v>0</v>
      </c>
      <c r="AL322" s="8">
        <v>1</v>
      </c>
      <c r="AM322" s="8">
        <v>1</v>
      </c>
      <c r="AN322" s="8">
        <v>0</v>
      </c>
      <c r="AO322" s="8">
        <v>0</v>
      </c>
      <c r="AP322" s="8">
        <v>0</v>
      </c>
      <c r="AQ322" s="8">
        <v>1</v>
      </c>
      <c r="AR322" s="8">
        <v>0</v>
      </c>
      <c r="AS322" s="8">
        <v>0</v>
      </c>
      <c r="AT322" s="8">
        <v>1</v>
      </c>
      <c r="AU322" s="8">
        <v>1</v>
      </c>
      <c r="AV322" s="8">
        <v>0</v>
      </c>
      <c r="AW322" s="8">
        <v>1</v>
      </c>
      <c r="AX322" s="8">
        <v>0</v>
      </c>
      <c r="AY322" s="8">
        <v>1</v>
      </c>
      <c r="AZ322" s="8">
        <v>0</v>
      </c>
      <c r="BA322" s="8">
        <v>0</v>
      </c>
      <c r="BB322" s="8">
        <v>0</v>
      </c>
      <c r="BC322" s="8">
        <v>0</v>
      </c>
      <c r="BD322" s="8">
        <v>0</v>
      </c>
      <c r="BE322" s="8">
        <v>1</v>
      </c>
      <c r="BF322" s="8">
        <v>0</v>
      </c>
      <c r="BG322" s="8">
        <v>0</v>
      </c>
      <c r="BH322" s="8">
        <v>0</v>
      </c>
      <c r="BI322" s="8">
        <v>0</v>
      </c>
      <c r="BJ322" s="8">
        <v>1</v>
      </c>
      <c r="BK322" s="8">
        <v>1</v>
      </c>
      <c r="BL322" s="8">
        <v>0</v>
      </c>
      <c r="BM322" s="8">
        <v>1</v>
      </c>
      <c r="BN322" s="8">
        <v>0</v>
      </c>
      <c r="BO322" s="8">
        <v>0</v>
      </c>
      <c r="BP322" s="8">
        <v>0</v>
      </c>
      <c r="BQ322" s="8">
        <v>1</v>
      </c>
      <c r="BR322" s="8">
        <v>0</v>
      </c>
      <c r="BS322" s="8">
        <f t="shared" si="436"/>
        <v>14</v>
      </c>
      <c r="BT322" s="8"/>
      <c r="BU322" s="2">
        <f t="shared" si="437"/>
        <v>2</v>
      </c>
      <c r="BV322" s="2">
        <f t="shared" si="403"/>
        <v>3</v>
      </c>
      <c r="BW322" s="2">
        <f t="shared" si="404"/>
        <v>0</v>
      </c>
      <c r="BX322" s="2">
        <f t="shared" si="407"/>
        <v>7</v>
      </c>
      <c r="BY322" s="2">
        <f t="shared" si="405"/>
        <v>0</v>
      </c>
      <c r="BZ322" s="2">
        <f t="shared" ref="BZ322:CA322" si="444">SUM(AQ322)</f>
        <v>1</v>
      </c>
      <c r="CA322" s="2">
        <f t="shared" si="444"/>
        <v>0</v>
      </c>
      <c r="CB322" s="2">
        <f t="shared" si="431"/>
        <v>1</v>
      </c>
    </row>
    <row r="323" spans="1:80" ht="16" x14ac:dyDescent="0.2">
      <c r="A323" s="3" t="s">
        <v>140</v>
      </c>
      <c r="B323" s="10" t="s">
        <v>141</v>
      </c>
      <c r="C323" s="5">
        <v>1</v>
      </c>
      <c r="D323" s="10">
        <v>1</v>
      </c>
      <c r="E323" s="5">
        <v>0</v>
      </c>
      <c r="F323" s="10">
        <v>2012</v>
      </c>
      <c r="G323" s="10" t="s">
        <v>78</v>
      </c>
      <c r="H323" s="7" t="str">
        <f t="shared" si="399"/>
        <v>Yes</v>
      </c>
      <c r="I323" s="54" t="s">
        <v>56</v>
      </c>
      <c r="J323" s="8">
        <v>2</v>
      </c>
      <c r="K323" s="8" t="s">
        <v>63</v>
      </c>
      <c r="L323" s="8" t="s">
        <v>64</v>
      </c>
      <c r="M323" s="8" t="s">
        <v>64</v>
      </c>
      <c r="N323" s="8">
        <v>0</v>
      </c>
      <c r="O323" s="8">
        <v>0</v>
      </c>
      <c r="P323" s="8">
        <v>0</v>
      </c>
      <c r="Q323" s="8" t="s">
        <v>95</v>
      </c>
      <c r="R323" s="14" t="s">
        <v>144</v>
      </c>
      <c r="S323" s="8">
        <v>1</v>
      </c>
      <c r="T323" s="8">
        <v>0</v>
      </c>
      <c r="U323" s="8">
        <v>1</v>
      </c>
      <c r="V323" s="8">
        <v>0</v>
      </c>
      <c r="W323" s="8">
        <v>1</v>
      </c>
      <c r="X323" s="8">
        <v>0</v>
      </c>
      <c r="Y323" s="8">
        <v>0</v>
      </c>
      <c r="Z323" s="8">
        <v>1</v>
      </c>
      <c r="AA323" s="8" t="s">
        <v>143</v>
      </c>
      <c r="AB323" s="8">
        <v>0</v>
      </c>
      <c r="AC323" s="8">
        <v>0</v>
      </c>
      <c r="AD323" s="8">
        <v>0</v>
      </c>
      <c r="AE323" s="8">
        <v>0</v>
      </c>
      <c r="AF323" s="8">
        <v>1</v>
      </c>
      <c r="AG323" s="8">
        <v>0.5</v>
      </c>
      <c r="AH323" s="8">
        <v>0</v>
      </c>
      <c r="AI323" s="8">
        <v>1</v>
      </c>
      <c r="AJ323" s="8">
        <v>1</v>
      </c>
      <c r="AK323" s="8">
        <v>0</v>
      </c>
      <c r="AL323" s="8">
        <v>1</v>
      </c>
      <c r="AM323" s="8">
        <v>1</v>
      </c>
      <c r="AN323" s="8">
        <v>1</v>
      </c>
      <c r="AO323" s="8">
        <v>0</v>
      </c>
      <c r="AP323" s="8">
        <v>0</v>
      </c>
      <c r="AQ323" s="8">
        <v>1</v>
      </c>
      <c r="AR323" s="8">
        <v>0</v>
      </c>
      <c r="AS323" s="8">
        <v>0</v>
      </c>
      <c r="AT323" s="8">
        <v>1</v>
      </c>
      <c r="AU323" s="8">
        <v>1</v>
      </c>
      <c r="AV323" s="8">
        <v>1</v>
      </c>
      <c r="AW323" s="8">
        <v>1</v>
      </c>
      <c r="AX323" s="8">
        <v>0</v>
      </c>
      <c r="AY323" s="8">
        <v>1</v>
      </c>
      <c r="AZ323" s="8">
        <v>0</v>
      </c>
      <c r="BA323" s="8">
        <v>1</v>
      </c>
      <c r="BB323" s="8">
        <v>1</v>
      </c>
      <c r="BC323" s="8">
        <v>0</v>
      </c>
      <c r="BD323" s="8">
        <v>0</v>
      </c>
      <c r="BE323" s="8">
        <v>1</v>
      </c>
      <c r="BF323" s="8">
        <v>0</v>
      </c>
      <c r="BG323" s="8">
        <v>0</v>
      </c>
      <c r="BH323" s="8">
        <v>0</v>
      </c>
      <c r="BI323" s="8">
        <v>0</v>
      </c>
      <c r="BJ323" s="8">
        <v>1</v>
      </c>
      <c r="BK323" s="8">
        <v>1</v>
      </c>
      <c r="BL323" s="8">
        <v>0</v>
      </c>
      <c r="BM323" s="8">
        <v>1</v>
      </c>
      <c r="BN323" s="8">
        <v>1</v>
      </c>
      <c r="BO323" s="8">
        <v>0</v>
      </c>
      <c r="BP323" s="8">
        <v>0</v>
      </c>
      <c r="BQ323" s="8">
        <v>1</v>
      </c>
      <c r="BR323" s="8">
        <v>0</v>
      </c>
      <c r="BS323" s="8">
        <f t="shared" si="436"/>
        <v>19</v>
      </c>
      <c r="BT323" s="8"/>
      <c r="BU323" s="2">
        <f t="shared" si="437"/>
        <v>2</v>
      </c>
      <c r="BV323" s="2">
        <f t="shared" si="403"/>
        <v>3</v>
      </c>
      <c r="BW323" s="2">
        <f t="shared" si="404"/>
        <v>1</v>
      </c>
      <c r="BX323" s="2">
        <f t="shared" si="407"/>
        <v>10</v>
      </c>
      <c r="BY323" s="2">
        <f t="shared" si="405"/>
        <v>1</v>
      </c>
      <c r="BZ323" s="2">
        <f t="shared" ref="BZ323:CA323" si="445">SUM(AQ323)</f>
        <v>1</v>
      </c>
      <c r="CA323" s="2">
        <f t="shared" si="445"/>
        <v>0</v>
      </c>
      <c r="CB323" s="2">
        <f t="shared" si="431"/>
        <v>1</v>
      </c>
    </row>
    <row r="324" spans="1:80" ht="15" customHeight="1" x14ac:dyDescent="0.2">
      <c r="A324" s="3" t="s">
        <v>140</v>
      </c>
      <c r="B324" s="10" t="s">
        <v>141</v>
      </c>
      <c r="C324" s="5">
        <v>1</v>
      </c>
      <c r="D324" s="10">
        <v>1</v>
      </c>
      <c r="E324" s="5">
        <v>0</v>
      </c>
      <c r="F324" s="10">
        <v>2012</v>
      </c>
      <c r="G324" s="10" t="s">
        <v>79</v>
      </c>
      <c r="H324" s="7" t="str">
        <f t="shared" si="399"/>
        <v>Yes</v>
      </c>
      <c r="I324" s="54" t="s">
        <v>56</v>
      </c>
      <c r="J324" s="8">
        <v>3</v>
      </c>
      <c r="K324" s="8" t="s">
        <v>63</v>
      </c>
      <c r="L324" s="8" t="s">
        <v>64</v>
      </c>
      <c r="M324" s="8" t="s">
        <v>64</v>
      </c>
      <c r="N324" s="8">
        <v>1</v>
      </c>
      <c r="O324" s="8">
        <v>0</v>
      </c>
      <c r="P324" s="8">
        <v>1</v>
      </c>
      <c r="Q324" s="8" t="s">
        <v>147</v>
      </c>
      <c r="R324" s="9">
        <v>0.03</v>
      </c>
      <c r="S324" s="8">
        <v>1</v>
      </c>
      <c r="T324" s="8">
        <v>0</v>
      </c>
      <c r="U324" s="8">
        <v>1</v>
      </c>
      <c r="V324" s="8">
        <v>0</v>
      </c>
      <c r="W324" s="8">
        <v>1</v>
      </c>
      <c r="X324" s="8">
        <v>0</v>
      </c>
      <c r="Y324" s="8">
        <v>0</v>
      </c>
      <c r="Z324" s="8">
        <v>1</v>
      </c>
      <c r="AA324" s="8" t="s">
        <v>143</v>
      </c>
      <c r="AB324" s="8">
        <v>0</v>
      </c>
      <c r="AC324" s="8">
        <v>0</v>
      </c>
      <c r="AD324" s="8">
        <v>0</v>
      </c>
      <c r="AE324" s="8">
        <v>1</v>
      </c>
      <c r="AF324" s="8">
        <v>1</v>
      </c>
      <c r="AG324" s="8">
        <v>0.5</v>
      </c>
      <c r="AH324" s="8">
        <v>1</v>
      </c>
      <c r="AI324" s="8">
        <v>1</v>
      </c>
      <c r="AJ324" s="8">
        <v>1</v>
      </c>
      <c r="AK324" s="8">
        <v>1</v>
      </c>
      <c r="AL324" s="8">
        <v>1</v>
      </c>
      <c r="AM324" s="8">
        <v>1</v>
      </c>
      <c r="AN324" s="8">
        <v>1</v>
      </c>
      <c r="AO324" s="8">
        <v>0</v>
      </c>
      <c r="AP324" s="8">
        <v>1</v>
      </c>
      <c r="AQ324" s="8">
        <v>1</v>
      </c>
      <c r="AR324" s="8">
        <v>1</v>
      </c>
      <c r="AS324" s="8">
        <v>0</v>
      </c>
      <c r="AT324" s="8">
        <v>1</v>
      </c>
      <c r="AU324" s="8">
        <v>1</v>
      </c>
      <c r="AV324" s="8">
        <v>1</v>
      </c>
      <c r="AW324" s="8">
        <v>1</v>
      </c>
      <c r="AX324" s="8">
        <v>0</v>
      </c>
      <c r="AY324" s="8">
        <v>1</v>
      </c>
      <c r="AZ324" s="8">
        <v>0</v>
      </c>
      <c r="BA324" s="8">
        <v>1</v>
      </c>
      <c r="BB324" s="8">
        <v>1</v>
      </c>
      <c r="BC324" s="8">
        <v>0</v>
      </c>
      <c r="BD324" s="8">
        <v>0</v>
      </c>
      <c r="BE324" s="8">
        <v>1</v>
      </c>
      <c r="BF324" s="8">
        <v>0</v>
      </c>
      <c r="BG324" s="8">
        <v>0</v>
      </c>
      <c r="BH324" s="8">
        <v>0</v>
      </c>
      <c r="BI324" s="8">
        <v>0</v>
      </c>
      <c r="BJ324" s="8">
        <v>1</v>
      </c>
      <c r="BK324" s="8">
        <v>1</v>
      </c>
      <c r="BL324" s="8">
        <v>0</v>
      </c>
      <c r="BM324" s="8">
        <v>1</v>
      </c>
      <c r="BN324" s="8">
        <v>1</v>
      </c>
      <c r="BO324" s="8">
        <v>0</v>
      </c>
      <c r="BP324" s="8">
        <v>0</v>
      </c>
      <c r="BQ324" s="8">
        <v>1</v>
      </c>
      <c r="BR324" s="8">
        <v>0</v>
      </c>
      <c r="BS324" s="8">
        <f t="shared" si="436"/>
        <v>22</v>
      </c>
      <c r="BT324" s="8"/>
      <c r="BU324" s="2">
        <f t="shared" si="437"/>
        <v>2</v>
      </c>
      <c r="BV324" s="2">
        <f t="shared" si="403"/>
        <v>5</v>
      </c>
      <c r="BW324" s="2">
        <f t="shared" si="404"/>
        <v>1</v>
      </c>
      <c r="BX324" s="2">
        <f t="shared" si="407"/>
        <v>10</v>
      </c>
      <c r="BY324" s="2">
        <f t="shared" si="405"/>
        <v>1</v>
      </c>
      <c r="BZ324" s="2">
        <f t="shared" ref="BZ324:CA324" si="446">SUM(AQ324)</f>
        <v>1</v>
      </c>
      <c r="CA324" s="2">
        <f t="shared" si="446"/>
        <v>1</v>
      </c>
      <c r="CB324" s="2">
        <f t="shared" si="431"/>
        <v>1</v>
      </c>
    </row>
    <row r="325" spans="1:80" ht="15" customHeight="1" x14ac:dyDescent="0.2">
      <c r="A325" s="3" t="s">
        <v>140</v>
      </c>
      <c r="B325" s="10" t="s">
        <v>141</v>
      </c>
      <c r="C325" s="5">
        <v>1</v>
      </c>
      <c r="D325" s="10">
        <v>1</v>
      </c>
      <c r="E325" s="5">
        <v>0</v>
      </c>
      <c r="F325" s="10">
        <v>2012</v>
      </c>
      <c r="G325" s="10" t="s">
        <v>80</v>
      </c>
      <c r="H325" s="7" t="str">
        <f t="shared" si="399"/>
        <v>Yes</v>
      </c>
      <c r="I325" s="54" t="s">
        <v>56</v>
      </c>
      <c r="J325" s="8">
        <v>3</v>
      </c>
      <c r="K325" s="8" t="s">
        <v>63</v>
      </c>
      <c r="L325" s="8" t="s">
        <v>64</v>
      </c>
      <c r="M325" s="8" t="s">
        <v>64</v>
      </c>
      <c r="N325" s="8">
        <v>1</v>
      </c>
      <c r="O325" s="8">
        <v>0</v>
      </c>
      <c r="P325" s="8">
        <v>1</v>
      </c>
      <c r="Q325" s="8" t="s">
        <v>147</v>
      </c>
      <c r="R325" s="9">
        <v>0.03</v>
      </c>
      <c r="S325" s="8">
        <v>1</v>
      </c>
      <c r="T325" s="8">
        <v>0</v>
      </c>
      <c r="U325" s="8">
        <v>1</v>
      </c>
      <c r="V325" s="8">
        <v>0</v>
      </c>
      <c r="W325" s="8">
        <v>1</v>
      </c>
      <c r="X325" s="8">
        <v>0</v>
      </c>
      <c r="Y325" s="8">
        <v>0</v>
      </c>
      <c r="Z325" s="8">
        <v>1</v>
      </c>
      <c r="AA325" s="8" t="s">
        <v>143</v>
      </c>
      <c r="AB325" s="8">
        <v>0</v>
      </c>
      <c r="AC325" s="8">
        <v>0</v>
      </c>
      <c r="AD325" s="8">
        <v>0</v>
      </c>
      <c r="AE325" s="8">
        <v>1</v>
      </c>
      <c r="AF325" s="8">
        <v>1</v>
      </c>
      <c r="AG325" s="8">
        <v>0.5</v>
      </c>
      <c r="AH325" s="8">
        <v>1</v>
      </c>
      <c r="AI325" s="8">
        <v>1</v>
      </c>
      <c r="AJ325" s="8">
        <v>1</v>
      </c>
      <c r="AK325" s="8">
        <v>1</v>
      </c>
      <c r="AL325" s="8">
        <v>1</v>
      </c>
      <c r="AM325" s="8">
        <v>1</v>
      </c>
      <c r="AN325" s="8">
        <v>1</v>
      </c>
      <c r="AO325" s="8">
        <v>0</v>
      </c>
      <c r="AP325" s="8">
        <v>1</v>
      </c>
      <c r="AQ325" s="8">
        <v>1</v>
      </c>
      <c r="AR325" s="8">
        <v>1</v>
      </c>
      <c r="AS325" s="8">
        <v>0</v>
      </c>
      <c r="AT325" s="8">
        <v>1</v>
      </c>
      <c r="AU325" s="8">
        <v>1</v>
      </c>
      <c r="AV325" s="8">
        <v>1</v>
      </c>
      <c r="AW325" s="8">
        <v>1</v>
      </c>
      <c r="AX325" s="8">
        <v>0</v>
      </c>
      <c r="AY325" s="8">
        <v>1</v>
      </c>
      <c r="AZ325" s="8">
        <v>0</v>
      </c>
      <c r="BA325" s="8">
        <v>1</v>
      </c>
      <c r="BB325" s="8">
        <v>1</v>
      </c>
      <c r="BC325" s="8">
        <v>0</v>
      </c>
      <c r="BD325" s="8">
        <v>0</v>
      </c>
      <c r="BE325" s="8">
        <v>1</v>
      </c>
      <c r="BF325" s="8">
        <v>0</v>
      </c>
      <c r="BG325" s="8">
        <v>0</v>
      </c>
      <c r="BH325" s="8">
        <v>0</v>
      </c>
      <c r="BI325" s="8">
        <v>0</v>
      </c>
      <c r="BJ325" s="8">
        <v>1</v>
      </c>
      <c r="BK325" s="8">
        <v>1</v>
      </c>
      <c r="BL325" s="8">
        <v>0</v>
      </c>
      <c r="BM325" s="8">
        <v>1</v>
      </c>
      <c r="BN325" s="8">
        <v>1</v>
      </c>
      <c r="BO325" s="8">
        <v>0</v>
      </c>
      <c r="BP325" s="8">
        <v>0</v>
      </c>
      <c r="BQ325" s="8">
        <v>1</v>
      </c>
      <c r="BR325" s="8">
        <v>0</v>
      </c>
      <c r="BS325" s="8">
        <f t="shared" si="436"/>
        <v>22</v>
      </c>
      <c r="BT325" s="8"/>
      <c r="BU325" s="2">
        <f t="shared" si="437"/>
        <v>2</v>
      </c>
      <c r="BV325" s="2">
        <f t="shared" si="403"/>
        <v>5</v>
      </c>
      <c r="BW325" s="2">
        <f t="shared" si="404"/>
        <v>1</v>
      </c>
      <c r="BX325" s="2">
        <f t="shared" si="407"/>
        <v>10</v>
      </c>
      <c r="BY325" s="2">
        <f t="shared" si="405"/>
        <v>1</v>
      </c>
      <c r="BZ325" s="2">
        <f t="shared" ref="BZ325:CA325" si="447">SUM(AQ325)</f>
        <v>1</v>
      </c>
      <c r="CA325" s="2">
        <f t="shared" si="447"/>
        <v>1</v>
      </c>
      <c r="CB325" s="2">
        <f t="shared" si="431"/>
        <v>1</v>
      </c>
    </row>
    <row r="326" spans="1:80" ht="15" customHeight="1" x14ac:dyDescent="0.2">
      <c r="A326" s="3" t="s">
        <v>140</v>
      </c>
      <c r="B326" s="10" t="s">
        <v>141</v>
      </c>
      <c r="C326" s="5">
        <v>1</v>
      </c>
      <c r="D326" s="10">
        <v>1</v>
      </c>
      <c r="E326" s="5">
        <v>0</v>
      </c>
      <c r="F326" s="10">
        <v>2012</v>
      </c>
      <c r="G326" s="10">
        <v>2022</v>
      </c>
      <c r="H326" s="7" t="s">
        <v>82</v>
      </c>
      <c r="I326" s="54" t="s">
        <v>145</v>
      </c>
      <c r="J326" s="8">
        <v>3</v>
      </c>
      <c r="K326" s="8" t="s">
        <v>63</v>
      </c>
      <c r="L326" s="8" t="s">
        <v>64</v>
      </c>
      <c r="M326" s="8" t="s">
        <v>64</v>
      </c>
      <c r="N326" s="8">
        <v>1</v>
      </c>
      <c r="O326" s="8">
        <v>0</v>
      </c>
      <c r="P326" s="8">
        <v>1</v>
      </c>
      <c r="Q326" s="8" t="s">
        <v>147</v>
      </c>
      <c r="R326" s="9">
        <v>0.03</v>
      </c>
      <c r="S326" s="8">
        <v>1</v>
      </c>
      <c r="T326" s="8">
        <v>0</v>
      </c>
      <c r="U326" s="8">
        <v>1</v>
      </c>
      <c r="V326" s="8">
        <v>0</v>
      </c>
      <c r="W326" s="8">
        <v>1</v>
      </c>
      <c r="X326" s="8">
        <v>0</v>
      </c>
      <c r="Y326" s="8">
        <v>0</v>
      </c>
      <c r="Z326" s="8">
        <v>1</v>
      </c>
      <c r="AA326" s="8" t="s">
        <v>143</v>
      </c>
      <c r="AB326" s="8">
        <v>0</v>
      </c>
      <c r="AC326" s="8">
        <v>0</v>
      </c>
      <c r="AD326" s="8">
        <v>0</v>
      </c>
      <c r="AE326" s="8">
        <v>1</v>
      </c>
      <c r="AF326" s="8">
        <v>1</v>
      </c>
      <c r="AG326" s="8">
        <v>0.5</v>
      </c>
      <c r="AH326" s="8">
        <v>1</v>
      </c>
      <c r="AI326" s="8">
        <v>1</v>
      </c>
      <c r="AJ326" s="8">
        <v>1</v>
      </c>
      <c r="AK326" s="8">
        <v>1</v>
      </c>
      <c r="AL326" s="8">
        <v>1</v>
      </c>
      <c r="AM326" s="8">
        <v>1</v>
      </c>
      <c r="AN326" s="8">
        <v>1</v>
      </c>
      <c r="AO326" s="8">
        <v>0</v>
      </c>
      <c r="AP326" s="8">
        <v>1</v>
      </c>
      <c r="AQ326" s="8">
        <v>1</v>
      </c>
      <c r="AR326" s="8">
        <v>1</v>
      </c>
      <c r="AS326" s="8">
        <v>0</v>
      </c>
      <c r="AT326" s="8">
        <v>1</v>
      </c>
      <c r="AU326" s="8">
        <v>1</v>
      </c>
      <c r="AV326" s="8">
        <v>1</v>
      </c>
      <c r="AW326" s="8">
        <v>1</v>
      </c>
      <c r="AX326" s="8">
        <v>0</v>
      </c>
      <c r="AY326" s="8">
        <v>1</v>
      </c>
      <c r="AZ326" s="8">
        <v>0</v>
      </c>
      <c r="BA326" s="8">
        <v>1</v>
      </c>
      <c r="BB326" s="8">
        <v>1</v>
      </c>
      <c r="BC326" s="8">
        <v>0</v>
      </c>
      <c r="BD326" s="8">
        <v>0</v>
      </c>
      <c r="BE326" s="8">
        <v>1</v>
      </c>
      <c r="BF326" s="8">
        <v>0</v>
      </c>
      <c r="BG326" s="8">
        <v>0</v>
      </c>
      <c r="BH326" s="8">
        <v>0</v>
      </c>
      <c r="BI326" s="8">
        <v>0</v>
      </c>
      <c r="BJ326" s="8">
        <v>1</v>
      </c>
      <c r="BK326" s="8">
        <v>1</v>
      </c>
      <c r="BL326" s="8">
        <v>0</v>
      </c>
      <c r="BM326" s="8">
        <v>1</v>
      </c>
      <c r="BN326" s="8">
        <v>1</v>
      </c>
      <c r="BO326" s="8">
        <v>0</v>
      </c>
      <c r="BP326" s="8">
        <v>0</v>
      </c>
      <c r="BQ326" s="8">
        <v>1</v>
      </c>
      <c r="BR326" s="8">
        <v>0</v>
      </c>
      <c r="BS326" s="8">
        <f t="shared" ref="BS326" si="448">SUM(AI326:BR326)</f>
        <v>22</v>
      </c>
      <c r="BT326" s="8"/>
      <c r="BU326" s="2">
        <f t="shared" ref="BU326" si="449">SUM(AI326,BK326)</f>
        <v>2</v>
      </c>
      <c r="BV326" s="2">
        <f t="shared" ref="BV326" si="450">SUM(AK326, AL326, AM326,AJ326,BL326,BO326, AP326)</f>
        <v>5</v>
      </c>
      <c r="BW326" s="2">
        <f t="shared" ref="BW326" si="451">SUM(AN326, AO326, AS326)</f>
        <v>1</v>
      </c>
      <c r="BX326" s="2">
        <f t="shared" ref="BX326" si="452">SUM(AU326,AV326,AW326,AX326,AY326,AZ326,BA326,BB326,BC326,BD326,BE326,BF326,BG326,BH326,BI326,BJ326,BQ326,BR326,BM326)</f>
        <v>10</v>
      </c>
      <c r="BY326" s="2">
        <f t="shared" ref="BY326" si="453">SUM(BP326, BN326)</f>
        <v>1</v>
      </c>
      <c r="BZ326" s="2">
        <f t="shared" ref="BZ326" si="454">SUM(AQ326)</f>
        <v>1</v>
      </c>
      <c r="CA326" s="2">
        <f t="shared" ref="CA326" si="455">SUM(AR326)</f>
        <v>1</v>
      </c>
      <c r="CB326" s="2">
        <f t="shared" ref="CB326" si="456">SUM(AT326)</f>
        <v>1</v>
      </c>
    </row>
    <row r="327" spans="1:80" ht="15" customHeight="1" x14ac:dyDescent="0.2">
      <c r="A327" s="3" t="s">
        <v>140</v>
      </c>
      <c r="B327" s="10" t="s">
        <v>141</v>
      </c>
      <c r="C327" s="5">
        <v>1</v>
      </c>
      <c r="D327" s="10">
        <v>1</v>
      </c>
      <c r="E327" s="5">
        <v>0</v>
      </c>
      <c r="F327" s="10">
        <v>2012</v>
      </c>
      <c r="G327" s="10">
        <v>2023</v>
      </c>
      <c r="H327" s="7" t="s">
        <v>98</v>
      </c>
      <c r="I327" s="54" t="s">
        <v>55</v>
      </c>
      <c r="J327" s="8">
        <v>3</v>
      </c>
      <c r="K327" s="8" t="s">
        <v>63</v>
      </c>
      <c r="L327" s="8" t="s">
        <v>64</v>
      </c>
      <c r="M327" s="8" t="s">
        <v>64</v>
      </c>
      <c r="N327" s="8">
        <v>1</v>
      </c>
      <c r="O327" s="8">
        <v>0</v>
      </c>
      <c r="P327" s="8">
        <v>1</v>
      </c>
      <c r="Q327" s="8" t="s">
        <v>147</v>
      </c>
      <c r="R327" s="9">
        <v>0.03</v>
      </c>
      <c r="S327" s="8">
        <v>1</v>
      </c>
      <c r="T327" s="8">
        <v>0</v>
      </c>
      <c r="U327" s="8">
        <v>1</v>
      </c>
      <c r="V327" s="8">
        <v>0</v>
      </c>
      <c r="W327" s="8">
        <v>1</v>
      </c>
      <c r="X327" s="8">
        <v>0</v>
      </c>
      <c r="Y327" s="8">
        <v>0</v>
      </c>
      <c r="Z327" s="8">
        <v>1</v>
      </c>
      <c r="AA327" s="8" t="s">
        <v>143</v>
      </c>
      <c r="AB327" s="8">
        <v>0</v>
      </c>
      <c r="AC327" s="8">
        <v>0</v>
      </c>
      <c r="AD327" s="8">
        <v>0</v>
      </c>
      <c r="AE327" s="8">
        <v>1</v>
      </c>
      <c r="AF327" s="8">
        <v>1</v>
      </c>
      <c r="AG327" s="8">
        <v>0.5</v>
      </c>
      <c r="AH327" s="8">
        <v>1</v>
      </c>
      <c r="AI327" s="8">
        <v>1</v>
      </c>
      <c r="AJ327" s="8">
        <v>1</v>
      </c>
      <c r="AK327" s="8">
        <v>1</v>
      </c>
      <c r="AL327" s="8">
        <v>1</v>
      </c>
      <c r="AM327" s="8">
        <v>1</v>
      </c>
      <c r="AN327" s="8">
        <v>1</v>
      </c>
      <c r="AO327" s="8">
        <v>0</v>
      </c>
      <c r="AP327" s="8">
        <v>1</v>
      </c>
      <c r="AQ327" s="8">
        <v>1</v>
      </c>
      <c r="AR327" s="8">
        <v>1</v>
      </c>
      <c r="AS327" s="8">
        <v>0</v>
      </c>
      <c r="AT327" s="8">
        <v>1</v>
      </c>
      <c r="AU327" s="8">
        <v>1</v>
      </c>
      <c r="AV327" s="8">
        <v>1</v>
      </c>
      <c r="AW327" s="8">
        <v>1</v>
      </c>
      <c r="AX327" s="8">
        <v>0</v>
      </c>
      <c r="AY327" s="8">
        <v>1</v>
      </c>
      <c r="AZ327" s="8">
        <v>0</v>
      </c>
      <c r="BA327" s="8">
        <v>1</v>
      </c>
      <c r="BB327" s="8">
        <v>1</v>
      </c>
      <c r="BC327" s="8">
        <v>0</v>
      </c>
      <c r="BD327" s="8">
        <v>0</v>
      </c>
      <c r="BE327" s="8">
        <v>1</v>
      </c>
      <c r="BF327" s="8">
        <v>0</v>
      </c>
      <c r="BG327" s="8">
        <v>0</v>
      </c>
      <c r="BH327" s="8">
        <v>0</v>
      </c>
      <c r="BI327" s="8">
        <v>0</v>
      </c>
      <c r="BJ327" s="8">
        <v>1</v>
      </c>
      <c r="BK327" s="8">
        <v>1</v>
      </c>
      <c r="BL327" s="8">
        <v>0</v>
      </c>
      <c r="BM327" s="8">
        <v>1</v>
      </c>
      <c r="BN327" s="8">
        <v>1</v>
      </c>
      <c r="BO327" s="8">
        <v>0</v>
      </c>
      <c r="BP327" s="8">
        <v>0</v>
      </c>
      <c r="BQ327" s="8">
        <v>1</v>
      </c>
      <c r="BR327" s="8">
        <v>0</v>
      </c>
      <c r="BS327" s="8">
        <f t="shared" ref="BS327" si="457">SUM(AI327:BR327)</f>
        <v>22</v>
      </c>
      <c r="BT327" s="8"/>
      <c r="BU327" s="2">
        <f t="shared" ref="BU327" si="458">SUM(AI327,BK327)</f>
        <v>2</v>
      </c>
      <c r="BV327" s="2">
        <f t="shared" ref="BV327" si="459">SUM(AK327, AL327, AM327,AJ327,BL327,BO327, AP327)</f>
        <v>5</v>
      </c>
      <c r="BW327" s="2">
        <f t="shared" ref="BW327" si="460">SUM(AN327, AO327, AS327)</f>
        <v>1</v>
      </c>
      <c r="BX327" s="2">
        <f t="shared" ref="BX327" si="461">SUM(AU327,AV327,AW327,AX327,AY327,AZ327,BA327,BB327,BC327,BD327,BE327,BF327,BG327,BH327,BI327,BJ327,BQ327,BR327,BM327)</f>
        <v>10</v>
      </c>
      <c r="BY327" s="2">
        <f t="shared" ref="BY327" si="462">SUM(BP327, BN327)</f>
        <v>1</v>
      </c>
      <c r="BZ327" s="2">
        <f t="shared" ref="BZ327" si="463">SUM(AQ327)</f>
        <v>1</v>
      </c>
      <c r="CA327" s="2">
        <f t="shared" ref="CA327" si="464">SUM(AR327)</f>
        <v>1</v>
      </c>
      <c r="CB327" s="2">
        <f t="shared" ref="CB327" si="465">SUM(AT327)</f>
        <v>1</v>
      </c>
    </row>
    <row r="328" spans="1:80" ht="16" x14ac:dyDescent="0.2">
      <c r="A328" s="3" t="s">
        <v>148</v>
      </c>
      <c r="B328" s="10">
        <v>392</v>
      </c>
      <c r="C328" s="5">
        <v>1</v>
      </c>
      <c r="D328" s="10">
        <v>0</v>
      </c>
      <c r="E328" s="5">
        <v>0</v>
      </c>
      <c r="F328" s="10">
        <v>1950</v>
      </c>
      <c r="G328" s="10" t="s">
        <v>86</v>
      </c>
      <c r="H328" s="7" t="str">
        <f t="shared" si="399"/>
        <v>No</v>
      </c>
      <c r="I328" s="54" t="s">
        <v>55</v>
      </c>
      <c r="J328" s="8">
        <v>1</v>
      </c>
      <c r="K328" s="8" t="s">
        <v>63</v>
      </c>
      <c r="L328" s="8" t="s">
        <v>64</v>
      </c>
      <c r="M328" s="8" t="s">
        <v>52</v>
      </c>
      <c r="N328" s="8">
        <v>0</v>
      </c>
      <c r="O328" s="8">
        <v>0</v>
      </c>
      <c r="P328" s="8">
        <v>0</v>
      </c>
      <c r="Q328" s="8" t="s">
        <v>65</v>
      </c>
      <c r="R328" s="9">
        <v>0.1</v>
      </c>
      <c r="S328" s="8">
        <v>1</v>
      </c>
      <c r="T328" s="8">
        <v>0</v>
      </c>
      <c r="U328" s="8">
        <v>1</v>
      </c>
      <c r="V328" s="8">
        <v>1</v>
      </c>
      <c r="W328" s="8">
        <v>1</v>
      </c>
      <c r="X328" s="8">
        <v>0</v>
      </c>
      <c r="Y328" s="8">
        <v>0</v>
      </c>
      <c r="Z328" s="8">
        <v>1</v>
      </c>
      <c r="AA328" s="8" t="s">
        <v>149</v>
      </c>
      <c r="AB328" s="8">
        <v>0</v>
      </c>
      <c r="AC328" s="8">
        <v>0</v>
      </c>
      <c r="AD328" s="8">
        <v>1</v>
      </c>
      <c r="AE328" s="8">
        <v>0</v>
      </c>
      <c r="AF328" s="8">
        <v>0</v>
      </c>
      <c r="AG328" s="8">
        <v>0</v>
      </c>
      <c r="AH328" s="8">
        <v>0</v>
      </c>
      <c r="AI328" s="8">
        <v>1</v>
      </c>
      <c r="AJ328" s="8">
        <v>1</v>
      </c>
      <c r="AK328" s="8">
        <v>1</v>
      </c>
      <c r="AL328" s="8">
        <v>1</v>
      </c>
      <c r="AM328" s="8">
        <v>1</v>
      </c>
      <c r="AN328" s="8">
        <v>1</v>
      </c>
      <c r="AO328" s="8">
        <v>1</v>
      </c>
      <c r="AP328" s="8">
        <v>1</v>
      </c>
      <c r="AQ328" s="8">
        <v>1</v>
      </c>
      <c r="AR328" s="8">
        <v>1</v>
      </c>
      <c r="AS328" s="8">
        <v>1</v>
      </c>
      <c r="AT328" s="8">
        <v>0</v>
      </c>
      <c r="AU328" s="8">
        <v>0</v>
      </c>
      <c r="AV328" s="8">
        <v>0</v>
      </c>
      <c r="AW328" s="8">
        <v>0</v>
      </c>
      <c r="AX328" s="8">
        <v>1</v>
      </c>
      <c r="AY328" s="8">
        <v>0</v>
      </c>
      <c r="AZ328" s="8">
        <v>0</v>
      </c>
      <c r="BA328" s="8">
        <v>0</v>
      </c>
      <c r="BB328" s="8">
        <v>1</v>
      </c>
      <c r="BC328" s="8">
        <v>0</v>
      </c>
      <c r="BD328" s="8">
        <v>0</v>
      </c>
      <c r="BE328" s="8">
        <v>0</v>
      </c>
      <c r="BF328" s="8">
        <v>0</v>
      </c>
      <c r="BG328" s="8">
        <v>0</v>
      </c>
      <c r="BH328" s="8">
        <v>0</v>
      </c>
      <c r="BI328" s="8">
        <v>0</v>
      </c>
      <c r="BJ328" s="8">
        <v>0</v>
      </c>
      <c r="BK328" s="8">
        <v>1</v>
      </c>
      <c r="BL328" s="8">
        <v>1</v>
      </c>
      <c r="BM328" s="8">
        <v>1</v>
      </c>
      <c r="BN328" s="8">
        <v>0</v>
      </c>
      <c r="BO328" s="8">
        <v>1</v>
      </c>
      <c r="BP328" s="8">
        <v>0</v>
      </c>
      <c r="BQ328" s="8">
        <v>0</v>
      </c>
      <c r="BR328" s="8">
        <v>0</v>
      </c>
      <c r="BS328" s="8">
        <f t="shared" si="436"/>
        <v>17</v>
      </c>
      <c r="BT328" s="8"/>
      <c r="BU328" s="2">
        <f t="shared" si="437"/>
        <v>2</v>
      </c>
      <c r="BV328" s="2">
        <f t="shared" si="403"/>
        <v>7</v>
      </c>
      <c r="BW328" s="2">
        <f t="shared" si="404"/>
        <v>3</v>
      </c>
      <c r="BX328" s="2">
        <f t="shared" si="407"/>
        <v>3</v>
      </c>
      <c r="BY328" s="2">
        <f t="shared" si="405"/>
        <v>0</v>
      </c>
      <c r="BZ328" s="2">
        <f t="shared" ref="BZ328:CA328" si="466">SUM(AQ328)</f>
        <v>1</v>
      </c>
      <c r="CA328" s="2">
        <f t="shared" si="466"/>
        <v>1</v>
      </c>
      <c r="CB328" s="2">
        <f t="shared" si="431"/>
        <v>0</v>
      </c>
    </row>
    <row r="329" spans="1:80" ht="16" x14ac:dyDescent="0.2">
      <c r="A329" s="3" t="s">
        <v>148</v>
      </c>
      <c r="B329" s="10">
        <v>392</v>
      </c>
      <c r="C329" s="5">
        <v>1</v>
      </c>
      <c r="D329" s="10">
        <v>0</v>
      </c>
      <c r="E329" s="5">
        <v>0</v>
      </c>
      <c r="F329" s="10">
        <v>1950</v>
      </c>
      <c r="G329" s="10" t="s">
        <v>90</v>
      </c>
      <c r="H329" s="7" t="str">
        <f t="shared" si="399"/>
        <v>No</v>
      </c>
      <c r="I329" s="54" t="s">
        <v>55</v>
      </c>
      <c r="J329" s="8">
        <v>1</v>
      </c>
      <c r="K329" s="8" t="s">
        <v>63</v>
      </c>
      <c r="L329" s="8" t="s">
        <v>64</v>
      </c>
      <c r="M329" s="8" t="s">
        <v>52</v>
      </c>
      <c r="N329" s="8">
        <v>0</v>
      </c>
      <c r="O329" s="8">
        <v>0</v>
      </c>
      <c r="P329" s="8">
        <v>0</v>
      </c>
      <c r="Q329" s="8" t="s">
        <v>65</v>
      </c>
      <c r="R329" s="9">
        <v>0.1</v>
      </c>
      <c r="S329" s="8">
        <v>1</v>
      </c>
      <c r="T329" s="8">
        <v>0</v>
      </c>
      <c r="U329" s="8">
        <v>1</v>
      </c>
      <c r="V329" s="8">
        <v>1</v>
      </c>
      <c r="W329" s="8">
        <v>1</v>
      </c>
      <c r="X329" s="8">
        <v>0</v>
      </c>
      <c r="Y329" s="8">
        <v>0</v>
      </c>
      <c r="Z329" s="8">
        <v>1</v>
      </c>
      <c r="AA329" s="8" t="s">
        <v>149</v>
      </c>
      <c r="AB329" s="8">
        <v>0</v>
      </c>
      <c r="AC329" s="8">
        <v>0</v>
      </c>
      <c r="AD329" s="8">
        <v>1</v>
      </c>
      <c r="AE329" s="8">
        <v>0</v>
      </c>
      <c r="AF329" s="8">
        <v>0</v>
      </c>
      <c r="AG329" s="8">
        <v>0</v>
      </c>
      <c r="AH329" s="8">
        <v>0</v>
      </c>
      <c r="AI329" s="8">
        <v>1</v>
      </c>
      <c r="AJ329" s="8">
        <v>1</v>
      </c>
      <c r="AK329" s="8">
        <v>1</v>
      </c>
      <c r="AL329" s="8">
        <v>1</v>
      </c>
      <c r="AM329" s="8">
        <v>1</v>
      </c>
      <c r="AN329" s="8">
        <v>1</v>
      </c>
      <c r="AO329" s="8">
        <v>1</v>
      </c>
      <c r="AP329" s="8">
        <v>1</v>
      </c>
      <c r="AQ329" s="8">
        <v>1</v>
      </c>
      <c r="AR329" s="8">
        <v>1</v>
      </c>
      <c r="AS329" s="8">
        <v>1</v>
      </c>
      <c r="AT329" s="8">
        <v>0</v>
      </c>
      <c r="AU329" s="8">
        <v>0</v>
      </c>
      <c r="AV329" s="8">
        <v>0</v>
      </c>
      <c r="AW329" s="8">
        <v>0</v>
      </c>
      <c r="AX329" s="8">
        <v>1</v>
      </c>
      <c r="AY329" s="8">
        <v>0</v>
      </c>
      <c r="AZ329" s="8">
        <v>0</v>
      </c>
      <c r="BA329" s="8">
        <v>0</v>
      </c>
      <c r="BB329" s="8">
        <v>1</v>
      </c>
      <c r="BC329" s="8">
        <v>0</v>
      </c>
      <c r="BD329" s="8">
        <v>0</v>
      </c>
      <c r="BE329" s="8">
        <v>0</v>
      </c>
      <c r="BF329" s="8">
        <v>0</v>
      </c>
      <c r="BG329" s="8">
        <v>0</v>
      </c>
      <c r="BH329" s="8">
        <v>0</v>
      </c>
      <c r="BI329" s="8">
        <v>0</v>
      </c>
      <c r="BJ329" s="8">
        <v>0</v>
      </c>
      <c r="BK329" s="8">
        <v>1</v>
      </c>
      <c r="BL329" s="8">
        <v>1</v>
      </c>
      <c r="BM329" s="8">
        <v>1</v>
      </c>
      <c r="BN329" s="8">
        <v>0</v>
      </c>
      <c r="BO329" s="8">
        <v>1</v>
      </c>
      <c r="BP329" s="8">
        <v>0</v>
      </c>
      <c r="BQ329" s="8">
        <v>0</v>
      </c>
      <c r="BR329" s="8">
        <v>0</v>
      </c>
      <c r="BS329" s="8">
        <f t="shared" si="436"/>
        <v>17</v>
      </c>
      <c r="BT329" s="8"/>
      <c r="BU329" s="2">
        <f t="shared" si="437"/>
        <v>2</v>
      </c>
      <c r="BV329" s="2">
        <f t="shared" si="403"/>
        <v>7</v>
      </c>
      <c r="BW329" s="2">
        <f t="shared" si="404"/>
        <v>3</v>
      </c>
      <c r="BX329" s="2">
        <f t="shared" si="407"/>
        <v>3</v>
      </c>
      <c r="BY329" s="2">
        <f t="shared" si="405"/>
        <v>0</v>
      </c>
      <c r="BZ329" s="2">
        <f t="shared" ref="BZ329:CA329" si="467">SUM(AQ329)</f>
        <v>1</v>
      </c>
      <c r="CA329" s="2">
        <f t="shared" si="467"/>
        <v>1</v>
      </c>
      <c r="CB329" s="2">
        <f t="shared" si="431"/>
        <v>0</v>
      </c>
    </row>
    <row r="330" spans="1:80" ht="16" x14ac:dyDescent="0.2">
      <c r="A330" s="3" t="s">
        <v>148</v>
      </c>
      <c r="B330" s="10">
        <v>392</v>
      </c>
      <c r="C330" s="5">
        <v>1</v>
      </c>
      <c r="D330" s="10">
        <v>0</v>
      </c>
      <c r="E330" s="5">
        <v>0</v>
      </c>
      <c r="F330" s="10">
        <v>1950</v>
      </c>
      <c r="G330" s="10" t="s">
        <v>91</v>
      </c>
      <c r="H330" s="7" t="str">
        <f t="shared" si="399"/>
        <v>Yes</v>
      </c>
      <c r="I330" s="54" t="s">
        <v>56</v>
      </c>
      <c r="J330" s="8">
        <v>1</v>
      </c>
      <c r="K330" s="8" t="s">
        <v>63</v>
      </c>
      <c r="L330" s="8" t="s">
        <v>64</v>
      </c>
      <c r="M330" s="8" t="s">
        <v>52</v>
      </c>
      <c r="N330" s="8">
        <v>0</v>
      </c>
      <c r="O330" s="8">
        <v>1</v>
      </c>
      <c r="P330" s="8">
        <v>0</v>
      </c>
      <c r="Q330" s="8" t="s">
        <v>65</v>
      </c>
      <c r="R330" s="9">
        <v>0.1</v>
      </c>
      <c r="S330" s="8">
        <v>1</v>
      </c>
      <c r="T330" s="8">
        <v>0</v>
      </c>
      <c r="U330" s="8">
        <v>1</v>
      </c>
      <c r="V330" s="8">
        <v>1</v>
      </c>
      <c r="W330" s="8">
        <v>1</v>
      </c>
      <c r="X330" s="8">
        <v>0</v>
      </c>
      <c r="Y330" s="8">
        <v>0</v>
      </c>
      <c r="Z330" s="8">
        <v>1</v>
      </c>
      <c r="AA330" s="8" t="s">
        <v>149</v>
      </c>
      <c r="AB330" s="8">
        <v>0</v>
      </c>
      <c r="AC330" s="8">
        <v>0</v>
      </c>
      <c r="AD330" s="8">
        <v>1</v>
      </c>
      <c r="AE330" s="8">
        <v>0</v>
      </c>
      <c r="AF330" s="8">
        <v>0</v>
      </c>
      <c r="AG330" s="8">
        <v>0</v>
      </c>
      <c r="AH330" s="8">
        <v>0</v>
      </c>
      <c r="AI330" s="8">
        <v>1</v>
      </c>
      <c r="AJ330" s="8">
        <v>1</v>
      </c>
      <c r="AK330" s="8">
        <v>1</v>
      </c>
      <c r="AL330" s="8">
        <v>1</v>
      </c>
      <c r="AM330" s="8">
        <v>1</v>
      </c>
      <c r="AN330" s="8">
        <v>1</v>
      </c>
      <c r="AO330" s="8">
        <v>1</v>
      </c>
      <c r="AP330" s="8">
        <v>1</v>
      </c>
      <c r="AQ330" s="8">
        <v>1</v>
      </c>
      <c r="AR330" s="8">
        <v>1</v>
      </c>
      <c r="AS330" s="8">
        <v>1</v>
      </c>
      <c r="AT330" s="8">
        <v>0</v>
      </c>
      <c r="AU330" s="8">
        <v>0</v>
      </c>
      <c r="AV330" s="8">
        <v>0</v>
      </c>
      <c r="AW330" s="8">
        <v>0</v>
      </c>
      <c r="AX330" s="8">
        <v>1</v>
      </c>
      <c r="AY330" s="8">
        <v>0</v>
      </c>
      <c r="AZ330" s="8">
        <v>0</v>
      </c>
      <c r="BA330" s="8">
        <v>0</v>
      </c>
      <c r="BB330" s="8">
        <v>1</v>
      </c>
      <c r="BC330" s="8">
        <v>0</v>
      </c>
      <c r="BD330" s="8">
        <v>0</v>
      </c>
      <c r="BE330" s="8">
        <v>0</v>
      </c>
      <c r="BF330" s="8">
        <v>0</v>
      </c>
      <c r="BG330" s="8">
        <v>0</v>
      </c>
      <c r="BH330" s="8">
        <v>0</v>
      </c>
      <c r="BI330" s="8">
        <v>0</v>
      </c>
      <c r="BJ330" s="8">
        <v>0</v>
      </c>
      <c r="BK330" s="8">
        <v>1</v>
      </c>
      <c r="BL330" s="8">
        <v>1</v>
      </c>
      <c r="BM330" s="8">
        <v>1</v>
      </c>
      <c r="BN330" s="8">
        <v>0</v>
      </c>
      <c r="BO330" s="8">
        <v>1</v>
      </c>
      <c r="BP330" s="8">
        <v>0</v>
      </c>
      <c r="BQ330" s="8">
        <v>0</v>
      </c>
      <c r="BR330" s="8">
        <v>0</v>
      </c>
      <c r="BS330" s="8">
        <f t="shared" si="436"/>
        <v>17</v>
      </c>
      <c r="BT330" s="8"/>
      <c r="BU330" s="2">
        <f t="shared" si="437"/>
        <v>2</v>
      </c>
      <c r="BV330" s="2">
        <f t="shared" si="403"/>
        <v>7</v>
      </c>
      <c r="BW330" s="2">
        <f t="shared" si="404"/>
        <v>3</v>
      </c>
      <c r="BX330" s="2">
        <f t="shared" si="407"/>
        <v>3</v>
      </c>
      <c r="BY330" s="2">
        <f t="shared" si="405"/>
        <v>0</v>
      </c>
      <c r="BZ330" s="2">
        <f t="shared" ref="BZ330:CA330" si="468">SUM(AQ330)</f>
        <v>1</v>
      </c>
      <c r="CA330" s="2">
        <f t="shared" si="468"/>
        <v>1</v>
      </c>
      <c r="CB330" s="2">
        <f t="shared" si="431"/>
        <v>0</v>
      </c>
    </row>
    <row r="331" spans="1:80" ht="16" x14ac:dyDescent="0.2">
      <c r="A331" s="3" t="s">
        <v>148</v>
      </c>
      <c r="B331" s="10">
        <v>392</v>
      </c>
      <c r="C331" s="5">
        <v>1</v>
      </c>
      <c r="D331" s="10">
        <v>0</v>
      </c>
      <c r="E331" s="5">
        <v>0</v>
      </c>
      <c r="F331" s="10">
        <v>1950</v>
      </c>
      <c r="G331" s="10" t="s">
        <v>93</v>
      </c>
      <c r="H331" s="7" t="str">
        <f t="shared" si="399"/>
        <v>No</v>
      </c>
      <c r="I331" s="54" t="s">
        <v>55</v>
      </c>
      <c r="J331" s="8">
        <v>1</v>
      </c>
      <c r="K331" s="8" t="s">
        <v>63</v>
      </c>
      <c r="L331" s="8" t="s">
        <v>64</v>
      </c>
      <c r="M331" s="8" t="s">
        <v>52</v>
      </c>
      <c r="N331" s="8">
        <v>0</v>
      </c>
      <c r="O331" s="8">
        <v>1</v>
      </c>
      <c r="P331" s="8">
        <v>0</v>
      </c>
      <c r="Q331" s="8" t="s">
        <v>65</v>
      </c>
      <c r="R331" s="9">
        <v>0.1</v>
      </c>
      <c r="S331" s="8">
        <v>1</v>
      </c>
      <c r="T331" s="8">
        <v>0</v>
      </c>
      <c r="U331" s="8">
        <v>1</v>
      </c>
      <c r="V331" s="8">
        <v>1</v>
      </c>
      <c r="W331" s="8">
        <v>1</v>
      </c>
      <c r="X331" s="8">
        <v>0</v>
      </c>
      <c r="Y331" s="8">
        <v>0</v>
      </c>
      <c r="Z331" s="8">
        <v>1</v>
      </c>
      <c r="AA331" s="8" t="s">
        <v>149</v>
      </c>
      <c r="AB331" s="8">
        <v>0</v>
      </c>
      <c r="AC331" s="8">
        <v>0</v>
      </c>
      <c r="AD331" s="8">
        <v>1</v>
      </c>
      <c r="AE331" s="8">
        <v>0</v>
      </c>
      <c r="AF331" s="8">
        <v>0</v>
      </c>
      <c r="AG331" s="8">
        <v>0</v>
      </c>
      <c r="AH331" s="8">
        <v>0</v>
      </c>
      <c r="AI331" s="8">
        <v>1</v>
      </c>
      <c r="AJ331" s="8">
        <v>1</v>
      </c>
      <c r="AK331" s="8">
        <v>1</v>
      </c>
      <c r="AL331" s="8">
        <v>1</v>
      </c>
      <c r="AM331" s="8">
        <v>1</v>
      </c>
      <c r="AN331" s="8">
        <v>1</v>
      </c>
      <c r="AO331" s="8">
        <v>1</v>
      </c>
      <c r="AP331" s="8">
        <v>1</v>
      </c>
      <c r="AQ331" s="8">
        <v>1</v>
      </c>
      <c r="AR331" s="8">
        <v>1</v>
      </c>
      <c r="AS331" s="8">
        <v>1</v>
      </c>
      <c r="AT331" s="8">
        <v>0</v>
      </c>
      <c r="AU331" s="8">
        <v>0</v>
      </c>
      <c r="AV331" s="8">
        <v>0</v>
      </c>
      <c r="AW331" s="8">
        <v>0</v>
      </c>
      <c r="AX331" s="8">
        <v>1</v>
      </c>
      <c r="AY331" s="8">
        <v>0</v>
      </c>
      <c r="AZ331" s="8">
        <v>0</v>
      </c>
      <c r="BA331" s="8">
        <v>0</v>
      </c>
      <c r="BB331" s="8">
        <v>1</v>
      </c>
      <c r="BC331" s="8">
        <v>0</v>
      </c>
      <c r="BD331" s="8">
        <v>0</v>
      </c>
      <c r="BE331" s="8">
        <v>0</v>
      </c>
      <c r="BF331" s="8">
        <v>0</v>
      </c>
      <c r="BG331" s="8">
        <v>0</v>
      </c>
      <c r="BH331" s="8">
        <v>0</v>
      </c>
      <c r="BI331" s="8">
        <v>0</v>
      </c>
      <c r="BJ331" s="8">
        <v>0</v>
      </c>
      <c r="BK331" s="8">
        <v>1</v>
      </c>
      <c r="BL331" s="8">
        <v>1</v>
      </c>
      <c r="BM331" s="8">
        <v>1</v>
      </c>
      <c r="BN331" s="8">
        <v>0</v>
      </c>
      <c r="BO331" s="8">
        <v>1</v>
      </c>
      <c r="BP331" s="8">
        <v>0</v>
      </c>
      <c r="BQ331" s="8">
        <v>0</v>
      </c>
      <c r="BR331" s="8">
        <v>0</v>
      </c>
      <c r="BS331" s="8">
        <f t="shared" si="436"/>
        <v>17</v>
      </c>
      <c r="BT331" s="8"/>
      <c r="BU331" s="2">
        <f t="shared" si="437"/>
        <v>2</v>
      </c>
      <c r="BV331" s="2">
        <f t="shared" si="403"/>
        <v>7</v>
      </c>
      <c r="BW331" s="2">
        <f t="shared" si="404"/>
        <v>3</v>
      </c>
      <c r="BX331" s="2">
        <f t="shared" si="407"/>
        <v>3</v>
      </c>
      <c r="BY331" s="2">
        <f t="shared" si="405"/>
        <v>0</v>
      </c>
      <c r="BZ331" s="2">
        <f t="shared" ref="BZ331:CA331" si="469">SUM(AQ331)</f>
        <v>1</v>
      </c>
      <c r="CA331" s="2">
        <f t="shared" si="469"/>
        <v>1</v>
      </c>
      <c r="CB331" s="2">
        <f t="shared" si="431"/>
        <v>0</v>
      </c>
    </row>
    <row r="332" spans="1:80" ht="16" x14ac:dyDescent="0.2">
      <c r="A332" s="3" t="s">
        <v>148</v>
      </c>
      <c r="B332" s="10">
        <v>392</v>
      </c>
      <c r="C332" s="5">
        <v>1</v>
      </c>
      <c r="D332" s="10">
        <v>0</v>
      </c>
      <c r="E332" s="5">
        <v>0</v>
      </c>
      <c r="F332" s="10">
        <v>1950</v>
      </c>
      <c r="G332" s="10" t="s">
        <v>70</v>
      </c>
      <c r="H332" s="7" t="str">
        <f t="shared" si="399"/>
        <v>No</v>
      </c>
      <c r="I332" s="54" t="s">
        <v>55</v>
      </c>
      <c r="J332" s="8">
        <v>1</v>
      </c>
      <c r="K332" s="8" t="s">
        <v>63</v>
      </c>
      <c r="L332" s="8" t="s">
        <v>64</v>
      </c>
      <c r="M332" s="8" t="s">
        <v>52</v>
      </c>
      <c r="N332" s="8">
        <v>0</v>
      </c>
      <c r="O332" s="8">
        <v>1</v>
      </c>
      <c r="P332" s="8">
        <v>0</v>
      </c>
      <c r="Q332" s="8" t="s">
        <v>65</v>
      </c>
      <c r="R332" s="9">
        <v>0.1</v>
      </c>
      <c r="S332" s="8">
        <v>1</v>
      </c>
      <c r="T332" s="8">
        <v>0</v>
      </c>
      <c r="U332" s="8">
        <v>1</v>
      </c>
      <c r="V332" s="8">
        <v>1</v>
      </c>
      <c r="W332" s="8">
        <v>1</v>
      </c>
      <c r="X332" s="8">
        <v>0</v>
      </c>
      <c r="Y332" s="8">
        <v>0</v>
      </c>
      <c r="Z332" s="8">
        <v>1</v>
      </c>
      <c r="AA332" s="8" t="s">
        <v>149</v>
      </c>
      <c r="AB332" s="8">
        <v>0</v>
      </c>
      <c r="AC332" s="8">
        <v>0</v>
      </c>
      <c r="AD332" s="8">
        <v>1</v>
      </c>
      <c r="AE332" s="8">
        <v>0</v>
      </c>
      <c r="AF332" s="8">
        <v>0</v>
      </c>
      <c r="AG332" s="8">
        <v>0</v>
      </c>
      <c r="AH332" s="8">
        <v>0</v>
      </c>
      <c r="AI332" s="8">
        <v>1</v>
      </c>
      <c r="AJ332" s="8">
        <v>1</v>
      </c>
      <c r="AK332" s="8">
        <v>1</v>
      </c>
      <c r="AL332" s="8">
        <v>1</v>
      </c>
      <c r="AM332" s="8">
        <v>1</v>
      </c>
      <c r="AN332" s="8">
        <v>1</v>
      </c>
      <c r="AO332" s="8">
        <v>1</v>
      </c>
      <c r="AP332" s="8">
        <v>1</v>
      </c>
      <c r="AQ332" s="8">
        <v>1</v>
      </c>
      <c r="AR332" s="8">
        <v>1</v>
      </c>
      <c r="AS332" s="8">
        <v>1</v>
      </c>
      <c r="AT332" s="8">
        <v>0</v>
      </c>
      <c r="AU332" s="8">
        <v>0</v>
      </c>
      <c r="AV332" s="8">
        <v>0</v>
      </c>
      <c r="AW332" s="8">
        <v>0</v>
      </c>
      <c r="AX332" s="8">
        <v>1</v>
      </c>
      <c r="AY332" s="8">
        <v>0</v>
      </c>
      <c r="AZ332" s="8">
        <v>0</v>
      </c>
      <c r="BA332" s="8">
        <v>0</v>
      </c>
      <c r="BB332" s="8">
        <v>1</v>
      </c>
      <c r="BC332" s="8">
        <v>0</v>
      </c>
      <c r="BD332" s="8">
        <v>0</v>
      </c>
      <c r="BE332" s="8">
        <v>0</v>
      </c>
      <c r="BF332" s="8">
        <v>0</v>
      </c>
      <c r="BG332" s="8">
        <v>0</v>
      </c>
      <c r="BH332" s="8">
        <v>0</v>
      </c>
      <c r="BI332" s="8">
        <v>0</v>
      </c>
      <c r="BJ332" s="8">
        <v>0</v>
      </c>
      <c r="BK332" s="8">
        <v>1</v>
      </c>
      <c r="BL332" s="8">
        <v>1</v>
      </c>
      <c r="BM332" s="8">
        <v>1</v>
      </c>
      <c r="BN332" s="8">
        <v>0</v>
      </c>
      <c r="BO332" s="8">
        <v>1</v>
      </c>
      <c r="BP332" s="8">
        <v>0</v>
      </c>
      <c r="BQ332" s="8">
        <v>0</v>
      </c>
      <c r="BR332" s="8">
        <v>0</v>
      </c>
      <c r="BS332" s="8">
        <f t="shared" si="436"/>
        <v>17</v>
      </c>
      <c r="BT332" s="8"/>
      <c r="BU332" s="2">
        <f t="shared" si="437"/>
        <v>2</v>
      </c>
      <c r="BV332" s="2">
        <f t="shared" si="403"/>
        <v>7</v>
      </c>
      <c r="BW332" s="2">
        <f t="shared" si="404"/>
        <v>3</v>
      </c>
      <c r="BX332" s="2">
        <f t="shared" si="407"/>
        <v>3</v>
      </c>
      <c r="BY332" s="2">
        <f t="shared" si="405"/>
        <v>0</v>
      </c>
      <c r="BZ332" s="2">
        <f t="shared" ref="BZ332:CA332" si="470">SUM(AQ332)</f>
        <v>1</v>
      </c>
      <c r="CA332" s="2">
        <f t="shared" si="470"/>
        <v>1</v>
      </c>
      <c r="CB332" s="2">
        <f t="shared" si="431"/>
        <v>0</v>
      </c>
    </row>
    <row r="333" spans="1:80" ht="16" x14ac:dyDescent="0.2">
      <c r="A333" s="3" t="s">
        <v>148</v>
      </c>
      <c r="B333" s="10">
        <v>392</v>
      </c>
      <c r="C333" s="5">
        <v>1</v>
      </c>
      <c r="D333" s="10">
        <v>0</v>
      </c>
      <c r="E333" s="5">
        <v>0</v>
      </c>
      <c r="F333" s="10">
        <v>1950</v>
      </c>
      <c r="G333" s="10" t="s">
        <v>71</v>
      </c>
      <c r="H333" s="7" t="str">
        <f t="shared" si="399"/>
        <v>No</v>
      </c>
      <c r="I333" s="54" t="s">
        <v>55</v>
      </c>
      <c r="J333" s="8">
        <v>1</v>
      </c>
      <c r="K333" s="8" t="s">
        <v>63</v>
      </c>
      <c r="L333" s="8" t="s">
        <v>64</v>
      </c>
      <c r="M333" s="8" t="s">
        <v>52</v>
      </c>
      <c r="N333" s="8">
        <v>0</v>
      </c>
      <c r="O333" s="8">
        <v>1</v>
      </c>
      <c r="P333" s="8">
        <v>0</v>
      </c>
      <c r="Q333" s="8" t="s">
        <v>65</v>
      </c>
      <c r="R333" s="9">
        <v>0.1</v>
      </c>
      <c r="S333" s="8">
        <v>1</v>
      </c>
      <c r="T333" s="8">
        <v>0</v>
      </c>
      <c r="U333" s="8">
        <v>1</v>
      </c>
      <c r="V333" s="8">
        <v>1</v>
      </c>
      <c r="W333" s="8">
        <v>1</v>
      </c>
      <c r="X333" s="8">
        <v>0</v>
      </c>
      <c r="Y333" s="8">
        <v>0</v>
      </c>
      <c r="Z333" s="8">
        <v>1</v>
      </c>
      <c r="AA333" s="8" t="s">
        <v>149</v>
      </c>
      <c r="AB333" s="8">
        <v>0</v>
      </c>
      <c r="AC333" s="8">
        <v>0</v>
      </c>
      <c r="AD333" s="8">
        <v>1</v>
      </c>
      <c r="AE333" s="8">
        <v>0</v>
      </c>
      <c r="AF333" s="8">
        <v>0</v>
      </c>
      <c r="AG333" s="8">
        <v>0</v>
      </c>
      <c r="AH333" s="8">
        <v>0</v>
      </c>
      <c r="AI333" s="8">
        <v>1</v>
      </c>
      <c r="AJ333" s="8">
        <v>1</v>
      </c>
      <c r="AK333" s="8">
        <v>1</v>
      </c>
      <c r="AL333" s="8">
        <v>1</v>
      </c>
      <c r="AM333" s="8">
        <v>1</v>
      </c>
      <c r="AN333" s="8">
        <v>1</v>
      </c>
      <c r="AO333" s="8">
        <v>1</v>
      </c>
      <c r="AP333" s="8">
        <v>1</v>
      </c>
      <c r="AQ333" s="8">
        <v>1</v>
      </c>
      <c r="AR333" s="8">
        <v>1</v>
      </c>
      <c r="AS333" s="8">
        <v>1</v>
      </c>
      <c r="AT333" s="8">
        <v>0</v>
      </c>
      <c r="AU333" s="8">
        <v>0</v>
      </c>
      <c r="AV333" s="8">
        <v>0</v>
      </c>
      <c r="AW333" s="8">
        <v>0</v>
      </c>
      <c r="AX333" s="8">
        <v>1</v>
      </c>
      <c r="AY333" s="8">
        <v>0</v>
      </c>
      <c r="AZ333" s="8">
        <v>0</v>
      </c>
      <c r="BA333" s="8">
        <v>0</v>
      </c>
      <c r="BB333" s="8">
        <v>1</v>
      </c>
      <c r="BC333" s="8">
        <v>0</v>
      </c>
      <c r="BD333" s="8">
        <v>0</v>
      </c>
      <c r="BE333" s="8">
        <v>0</v>
      </c>
      <c r="BF333" s="8">
        <v>0</v>
      </c>
      <c r="BG333" s="8">
        <v>0</v>
      </c>
      <c r="BH333" s="8">
        <v>0</v>
      </c>
      <c r="BI333" s="8">
        <v>0</v>
      </c>
      <c r="BJ333" s="8">
        <v>0</v>
      </c>
      <c r="BK333" s="8">
        <v>1</v>
      </c>
      <c r="BL333" s="8">
        <v>1</v>
      </c>
      <c r="BM333" s="8">
        <v>1</v>
      </c>
      <c r="BN333" s="8">
        <v>0</v>
      </c>
      <c r="BO333" s="8">
        <v>1</v>
      </c>
      <c r="BP333" s="8">
        <v>0</v>
      </c>
      <c r="BQ333" s="8">
        <v>0</v>
      </c>
      <c r="BR333" s="8">
        <v>0</v>
      </c>
      <c r="BS333" s="8">
        <f t="shared" si="436"/>
        <v>17</v>
      </c>
      <c r="BT333" s="8"/>
      <c r="BU333" s="2">
        <f t="shared" si="437"/>
        <v>2</v>
      </c>
      <c r="BV333" s="2">
        <f t="shared" si="403"/>
        <v>7</v>
      </c>
      <c r="BW333" s="2">
        <f t="shared" si="404"/>
        <v>3</v>
      </c>
      <c r="BX333" s="2">
        <f t="shared" si="407"/>
        <v>3</v>
      </c>
      <c r="BY333" s="2">
        <f t="shared" si="405"/>
        <v>0</v>
      </c>
      <c r="BZ333" s="2">
        <f t="shared" ref="BZ333:CA333" si="471">SUM(AQ333)</f>
        <v>1</v>
      </c>
      <c r="CA333" s="2">
        <f t="shared" si="471"/>
        <v>1</v>
      </c>
      <c r="CB333" s="2">
        <f t="shared" si="431"/>
        <v>0</v>
      </c>
    </row>
    <row r="334" spans="1:80" ht="16" x14ac:dyDescent="0.2">
      <c r="A334" s="3" t="s">
        <v>148</v>
      </c>
      <c r="B334" s="10">
        <v>392</v>
      </c>
      <c r="C334" s="5">
        <v>1</v>
      </c>
      <c r="D334" s="10">
        <v>0</v>
      </c>
      <c r="E334" s="5">
        <v>0</v>
      </c>
      <c r="F334" s="10">
        <v>1950</v>
      </c>
      <c r="G334" s="10" t="s">
        <v>72</v>
      </c>
      <c r="H334" s="7" t="str">
        <f t="shared" si="399"/>
        <v>No</v>
      </c>
      <c r="I334" s="54" t="s">
        <v>55</v>
      </c>
      <c r="J334" s="8">
        <v>1</v>
      </c>
      <c r="K334" s="8" t="s">
        <v>63</v>
      </c>
      <c r="L334" s="8" t="s">
        <v>64</v>
      </c>
      <c r="M334" s="8" t="s">
        <v>52</v>
      </c>
      <c r="N334" s="8">
        <v>0</v>
      </c>
      <c r="O334" s="8">
        <v>1</v>
      </c>
      <c r="P334" s="8">
        <v>0</v>
      </c>
      <c r="Q334" s="8" t="s">
        <v>65</v>
      </c>
      <c r="R334" s="9">
        <v>0.1</v>
      </c>
      <c r="S334" s="8">
        <v>1</v>
      </c>
      <c r="T334" s="8">
        <v>0</v>
      </c>
      <c r="U334" s="8">
        <v>1</v>
      </c>
      <c r="V334" s="8">
        <v>1</v>
      </c>
      <c r="W334" s="8">
        <v>1</v>
      </c>
      <c r="X334" s="8">
        <v>0</v>
      </c>
      <c r="Y334" s="8">
        <v>0</v>
      </c>
      <c r="Z334" s="8">
        <v>1</v>
      </c>
      <c r="AA334" s="8" t="s">
        <v>149</v>
      </c>
      <c r="AB334" s="8">
        <v>0</v>
      </c>
      <c r="AC334" s="8">
        <v>0</v>
      </c>
      <c r="AD334" s="8">
        <v>1</v>
      </c>
      <c r="AE334" s="8">
        <v>0</v>
      </c>
      <c r="AF334" s="8">
        <v>0</v>
      </c>
      <c r="AG334" s="8">
        <v>0</v>
      </c>
      <c r="AH334" s="8">
        <v>0</v>
      </c>
      <c r="AI334" s="8">
        <v>1</v>
      </c>
      <c r="AJ334" s="8">
        <v>1</v>
      </c>
      <c r="AK334" s="8">
        <v>1</v>
      </c>
      <c r="AL334" s="8">
        <v>1</v>
      </c>
      <c r="AM334" s="8">
        <v>1</v>
      </c>
      <c r="AN334" s="8">
        <v>1</v>
      </c>
      <c r="AO334" s="8">
        <v>1</v>
      </c>
      <c r="AP334" s="8">
        <v>1</v>
      </c>
      <c r="AQ334" s="8">
        <v>1</v>
      </c>
      <c r="AR334" s="8">
        <v>1</v>
      </c>
      <c r="AS334" s="8">
        <v>1</v>
      </c>
      <c r="AT334" s="8">
        <v>0</v>
      </c>
      <c r="AU334" s="8">
        <v>0</v>
      </c>
      <c r="AV334" s="8">
        <v>0</v>
      </c>
      <c r="AW334" s="8">
        <v>0</v>
      </c>
      <c r="AX334" s="8">
        <v>1</v>
      </c>
      <c r="AY334" s="8">
        <v>0</v>
      </c>
      <c r="AZ334" s="8">
        <v>0</v>
      </c>
      <c r="BA334" s="8">
        <v>0</v>
      </c>
      <c r="BB334" s="8">
        <v>1</v>
      </c>
      <c r="BC334" s="8">
        <v>0</v>
      </c>
      <c r="BD334" s="8">
        <v>0</v>
      </c>
      <c r="BE334" s="8">
        <v>0</v>
      </c>
      <c r="BF334" s="8">
        <v>0</v>
      </c>
      <c r="BG334" s="8">
        <v>0</v>
      </c>
      <c r="BH334" s="8">
        <v>0</v>
      </c>
      <c r="BI334" s="8">
        <v>0</v>
      </c>
      <c r="BJ334" s="8">
        <v>0</v>
      </c>
      <c r="BK334" s="8">
        <v>1</v>
      </c>
      <c r="BL334" s="8">
        <v>1</v>
      </c>
      <c r="BM334" s="8">
        <v>1</v>
      </c>
      <c r="BN334" s="8">
        <v>0</v>
      </c>
      <c r="BO334" s="8">
        <v>1</v>
      </c>
      <c r="BP334" s="8">
        <v>0</v>
      </c>
      <c r="BQ334" s="8">
        <v>0</v>
      </c>
      <c r="BR334" s="8">
        <v>0</v>
      </c>
      <c r="BS334" s="8">
        <f t="shared" si="436"/>
        <v>17</v>
      </c>
      <c r="BT334" s="8"/>
      <c r="BU334" s="2">
        <f t="shared" si="437"/>
        <v>2</v>
      </c>
      <c r="BV334" s="2">
        <f t="shared" si="403"/>
        <v>7</v>
      </c>
      <c r="BW334" s="2">
        <f t="shared" si="404"/>
        <v>3</v>
      </c>
      <c r="BX334" s="2">
        <f t="shared" si="407"/>
        <v>3</v>
      </c>
      <c r="BY334" s="2">
        <f t="shared" si="405"/>
        <v>0</v>
      </c>
      <c r="BZ334" s="2">
        <f t="shared" ref="BZ334:CA334" si="472">SUM(AQ334)</f>
        <v>1</v>
      </c>
      <c r="CA334" s="2">
        <f t="shared" si="472"/>
        <v>1</v>
      </c>
      <c r="CB334" s="2">
        <f t="shared" si="431"/>
        <v>0</v>
      </c>
    </row>
    <row r="335" spans="1:80" ht="16" x14ac:dyDescent="0.2">
      <c r="A335" s="3" t="s">
        <v>148</v>
      </c>
      <c r="B335" s="10">
        <v>392</v>
      </c>
      <c r="C335" s="5">
        <v>1</v>
      </c>
      <c r="D335" s="10">
        <v>0</v>
      </c>
      <c r="E335" s="5">
        <v>0</v>
      </c>
      <c r="F335" s="10">
        <v>1950</v>
      </c>
      <c r="G335" s="10" t="s">
        <v>73</v>
      </c>
      <c r="H335" s="7" t="str">
        <f t="shared" si="399"/>
        <v>Yes</v>
      </c>
      <c r="I335" s="54" t="s">
        <v>56</v>
      </c>
      <c r="J335" s="8">
        <v>1</v>
      </c>
      <c r="K335" s="8" t="s">
        <v>63</v>
      </c>
      <c r="L335" s="8" t="s">
        <v>64</v>
      </c>
      <c r="M335" s="8" t="s">
        <v>52</v>
      </c>
      <c r="N335" s="8">
        <v>0</v>
      </c>
      <c r="O335" s="8">
        <v>1</v>
      </c>
      <c r="P335" s="8">
        <v>0</v>
      </c>
      <c r="Q335" s="8" t="s">
        <v>65</v>
      </c>
      <c r="R335" s="9">
        <v>0.1</v>
      </c>
      <c r="S335" s="8">
        <v>1</v>
      </c>
      <c r="T335" s="8">
        <v>0</v>
      </c>
      <c r="U335" s="8">
        <v>1</v>
      </c>
      <c r="V335" s="8">
        <v>1</v>
      </c>
      <c r="W335" s="8">
        <v>1</v>
      </c>
      <c r="X335" s="8">
        <v>0</v>
      </c>
      <c r="Y335" s="8">
        <v>0</v>
      </c>
      <c r="Z335" s="8">
        <v>1</v>
      </c>
      <c r="AA335" s="8" t="s">
        <v>149</v>
      </c>
      <c r="AB335" s="8">
        <v>0</v>
      </c>
      <c r="AC335" s="8">
        <v>0</v>
      </c>
      <c r="AD335" s="8">
        <v>1</v>
      </c>
      <c r="AE335" s="8">
        <v>0</v>
      </c>
      <c r="AF335" s="8">
        <v>0</v>
      </c>
      <c r="AG335" s="8">
        <v>0</v>
      </c>
      <c r="AH335" s="8">
        <v>0</v>
      </c>
      <c r="AI335" s="8">
        <v>1</v>
      </c>
      <c r="AJ335" s="8">
        <v>1</v>
      </c>
      <c r="AK335" s="8">
        <v>1</v>
      </c>
      <c r="AL335" s="8">
        <v>1</v>
      </c>
      <c r="AM335" s="8">
        <v>1</v>
      </c>
      <c r="AN335" s="8">
        <v>1</v>
      </c>
      <c r="AO335" s="8">
        <v>1</v>
      </c>
      <c r="AP335" s="8">
        <v>1</v>
      </c>
      <c r="AQ335" s="8">
        <v>1</v>
      </c>
      <c r="AR335" s="8">
        <v>1</v>
      </c>
      <c r="AS335" s="8">
        <v>1</v>
      </c>
      <c r="AT335" s="8">
        <v>0</v>
      </c>
      <c r="AU335" s="8">
        <v>0</v>
      </c>
      <c r="AV335" s="8">
        <v>0</v>
      </c>
      <c r="AW335" s="8">
        <v>0</v>
      </c>
      <c r="AX335" s="8">
        <v>1</v>
      </c>
      <c r="AY335" s="8">
        <v>0</v>
      </c>
      <c r="AZ335" s="8">
        <v>0</v>
      </c>
      <c r="BA335" s="8">
        <v>0</v>
      </c>
      <c r="BB335" s="8">
        <v>1</v>
      </c>
      <c r="BC335" s="8">
        <v>0</v>
      </c>
      <c r="BD335" s="8">
        <v>0</v>
      </c>
      <c r="BE335" s="8">
        <v>0</v>
      </c>
      <c r="BF335" s="8">
        <v>0</v>
      </c>
      <c r="BG335" s="8">
        <v>0</v>
      </c>
      <c r="BH335" s="8">
        <v>0</v>
      </c>
      <c r="BI335" s="8">
        <v>0</v>
      </c>
      <c r="BJ335" s="8">
        <v>0</v>
      </c>
      <c r="BK335" s="8">
        <v>1</v>
      </c>
      <c r="BL335" s="8">
        <v>1</v>
      </c>
      <c r="BM335" s="8">
        <v>1</v>
      </c>
      <c r="BN335" s="8">
        <v>0</v>
      </c>
      <c r="BO335" s="8">
        <v>1</v>
      </c>
      <c r="BP335" s="8">
        <v>0</v>
      </c>
      <c r="BQ335" s="8">
        <v>0</v>
      </c>
      <c r="BR335" s="8">
        <v>0</v>
      </c>
      <c r="BS335" s="8">
        <f t="shared" si="436"/>
        <v>17</v>
      </c>
      <c r="BT335" s="8"/>
      <c r="BU335" s="2">
        <f t="shared" si="437"/>
        <v>2</v>
      </c>
      <c r="BV335" s="2">
        <f t="shared" si="403"/>
        <v>7</v>
      </c>
      <c r="BW335" s="2">
        <f t="shared" si="404"/>
        <v>3</v>
      </c>
      <c r="BX335" s="2">
        <f t="shared" si="407"/>
        <v>3</v>
      </c>
      <c r="BY335" s="2">
        <f t="shared" si="405"/>
        <v>0</v>
      </c>
      <c r="BZ335" s="2">
        <f t="shared" ref="BZ335:CA335" si="473">SUM(AQ335)</f>
        <v>1</v>
      </c>
      <c r="CA335" s="2">
        <f t="shared" si="473"/>
        <v>1</v>
      </c>
      <c r="CB335" s="2">
        <f t="shared" si="431"/>
        <v>0</v>
      </c>
    </row>
    <row r="336" spans="1:80" ht="16" x14ac:dyDescent="0.2">
      <c r="A336" s="3" t="s">
        <v>148</v>
      </c>
      <c r="B336" s="10">
        <v>392</v>
      </c>
      <c r="C336" s="5">
        <v>1</v>
      </c>
      <c r="D336" s="10">
        <v>0</v>
      </c>
      <c r="E336" s="5">
        <v>0</v>
      </c>
      <c r="F336" s="10">
        <v>1950</v>
      </c>
      <c r="G336" s="10" t="s">
        <v>74</v>
      </c>
      <c r="H336" s="7" t="str">
        <f t="shared" si="399"/>
        <v>No</v>
      </c>
      <c r="I336" s="54" t="s">
        <v>55</v>
      </c>
      <c r="J336" s="8">
        <v>1</v>
      </c>
      <c r="K336" s="8" t="s">
        <v>63</v>
      </c>
      <c r="L336" s="8" t="s">
        <v>64</v>
      </c>
      <c r="M336" s="8" t="s">
        <v>52</v>
      </c>
      <c r="N336" s="8">
        <v>0</v>
      </c>
      <c r="O336" s="8">
        <v>1</v>
      </c>
      <c r="P336" s="8">
        <v>0</v>
      </c>
      <c r="Q336" s="8" t="s">
        <v>65</v>
      </c>
      <c r="R336" s="9">
        <v>0.1</v>
      </c>
      <c r="S336" s="8">
        <v>1</v>
      </c>
      <c r="T336" s="8">
        <v>0</v>
      </c>
      <c r="U336" s="8">
        <v>1</v>
      </c>
      <c r="V336" s="8">
        <v>1</v>
      </c>
      <c r="W336" s="8">
        <v>1</v>
      </c>
      <c r="X336" s="8">
        <v>0</v>
      </c>
      <c r="Y336" s="8">
        <v>0</v>
      </c>
      <c r="Z336" s="8">
        <v>1</v>
      </c>
      <c r="AA336" s="8" t="s">
        <v>149</v>
      </c>
      <c r="AB336" s="8">
        <v>0</v>
      </c>
      <c r="AC336" s="8">
        <v>0</v>
      </c>
      <c r="AD336" s="8">
        <v>1</v>
      </c>
      <c r="AE336" s="8">
        <v>0</v>
      </c>
      <c r="AF336" s="8">
        <v>0</v>
      </c>
      <c r="AG336" s="8">
        <v>0</v>
      </c>
      <c r="AH336" s="8">
        <v>0</v>
      </c>
      <c r="AI336" s="8">
        <v>1</v>
      </c>
      <c r="AJ336" s="8">
        <v>1</v>
      </c>
      <c r="AK336" s="8">
        <v>1</v>
      </c>
      <c r="AL336" s="8">
        <v>1</v>
      </c>
      <c r="AM336" s="8">
        <v>1</v>
      </c>
      <c r="AN336" s="8">
        <v>1</v>
      </c>
      <c r="AO336" s="8">
        <v>1</v>
      </c>
      <c r="AP336" s="8">
        <v>1</v>
      </c>
      <c r="AQ336" s="8">
        <v>1</v>
      </c>
      <c r="AR336" s="8">
        <v>1</v>
      </c>
      <c r="AS336" s="8">
        <v>1</v>
      </c>
      <c r="AT336" s="8">
        <v>0</v>
      </c>
      <c r="AU336" s="8">
        <v>0</v>
      </c>
      <c r="AV336" s="8">
        <v>0</v>
      </c>
      <c r="AW336" s="8">
        <v>0</v>
      </c>
      <c r="AX336" s="8">
        <v>1</v>
      </c>
      <c r="AY336" s="8">
        <v>0</v>
      </c>
      <c r="AZ336" s="8">
        <v>0</v>
      </c>
      <c r="BA336" s="8">
        <v>0</v>
      </c>
      <c r="BB336" s="8">
        <v>1</v>
      </c>
      <c r="BC336" s="8">
        <v>0</v>
      </c>
      <c r="BD336" s="8">
        <v>0</v>
      </c>
      <c r="BE336" s="8">
        <v>0</v>
      </c>
      <c r="BF336" s="8">
        <v>0</v>
      </c>
      <c r="BG336" s="8">
        <v>0</v>
      </c>
      <c r="BH336" s="8">
        <v>0</v>
      </c>
      <c r="BI336" s="8">
        <v>0</v>
      </c>
      <c r="BJ336" s="8">
        <v>0</v>
      </c>
      <c r="BK336" s="8">
        <v>1</v>
      </c>
      <c r="BL336" s="8">
        <v>1</v>
      </c>
      <c r="BM336" s="8">
        <v>1</v>
      </c>
      <c r="BN336" s="8">
        <v>0</v>
      </c>
      <c r="BO336" s="8">
        <v>1</v>
      </c>
      <c r="BP336" s="8">
        <v>0</v>
      </c>
      <c r="BQ336" s="8">
        <v>0</v>
      </c>
      <c r="BR336" s="8">
        <v>0</v>
      </c>
      <c r="BS336" s="8">
        <f t="shared" si="436"/>
        <v>17</v>
      </c>
      <c r="BT336" s="8"/>
      <c r="BU336" s="2">
        <f t="shared" si="437"/>
        <v>2</v>
      </c>
      <c r="BV336" s="2">
        <f t="shared" si="403"/>
        <v>7</v>
      </c>
      <c r="BW336" s="2">
        <f t="shared" si="404"/>
        <v>3</v>
      </c>
      <c r="BX336" s="2">
        <f t="shared" si="407"/>
        <v>3</v>
      </c>
      <c r="BY336" s="2">
        <f t="shared" si="405"/>
        <v>0</v>
      </c>
      <c r="BZ336" s="2">
        <f t="shared" ref="BZ336:CA336" si="474">SUM(AQ336)</f>
        <v>1</v>
      </c>
      <c r="CA336" s="2">
        <f t="shared" si="474"/>
        <v>1</v>
      </c>
      <c r="CB336" s="2">
        <f t="shared" si="431"/>
        <v>0</v>
      </c>
    </row>
    <row r="337" spans="1:80" ht="16" x14ac:dyDescent="0.2">
      <c r="A337" s="3" t="s">
        <v>148</v>
      </c>
      <c r="B337" s="10">
        <v>392</v>
      </c>
      <c r="C337" s="5">
        <v>1</v>
      </c>
      <c r="D337" s="10">
        <v>0</v>
      </c>
      <c r="E337" s="5">
        <v>0</v>
      </c>
      <c r="F337" s="10">
        <v>1950</v>
      </c>
      <c r="G337" s="10" t="s">
        <v>75</v>
      </c>
      <c r="H337" s="7" t="str">
        <f t="shared" si="399"/>
        <v>No</v>
      </c>
      <c r="I337" s="54" t="s">
        <v>55</v>
      </c>
      <c r="J337" s="8">
        <v>1</v>
      </c>
      <c r="K337" s="8" t="s">
        <v>63</v>
      </c>
      <c r="L337" s="8" t="s">
        <v>64</v>
      </c>
      <c r="M337" s="8" t="s">
        <v>52</v>
      </c>
      <c r="N337" s="8">
        <v>0</v>
      </c>
      <c r="O337" s="8">
        <v>1</v>
      </c>
      <c r="P337" s="8">
        <v>0</v>
      </c>
      <c r="Q337" s="8" t="s">
        <v>65</v>
      </c>
      <c r="R337" s="9">
        <v>0.1</v>
      </c>
      <c r="S337" s="8">
        <v>1</v>
      </c>
      <c r="T337" s="8">
        <v>0</v>
      </c>
      <c r="U337" s="8">
        <v>1</v>
      </c>
      <c r="V337" s="8">
        <v>1</v>
      </c>
      <c r="W337" s="8">
        <v>1</v>
      </c>
      <c r="X337" s="8">
        <v>0</v>
      </c>
      <c r="Y337" s="8">
        <v>0</v>
      </c>
      <c r="Z337" s="8">
        <v>1</v>
      </c>
      <c r="AA337" s="8" t="s">
        <v>149</v>
      </c>
      <c r="AB337" s="8">
        <v>0</v>
      </c>
      <c r="AC337" s="8">
        <v>0</v>
      </c>
      <c r="AD337" s="8">
        <v>1</v>
      </c>
      <c r="AE337" s="8">
        <v>0</v>
      </c>
      <c r="AF337" s="8">
        <v>0</v>
      </c>
      <c r="AG337" s="8">
        <v>0</v>
      </c>
      <c r="AH337" s="8">
        <v>0</v>
      </c>
      <c r="AI337" s="8">
        <v>1</v>
      </c>
      <c r="AJ337" s="8">
        <v>1</v>
      </c>
      <c r="AK337" s="8">
        <v>1</v>
      </c>
      <c r="AL337" s="8">
        <v>1</v>
      </c>
      <c r="AM337" s="8">
        <v>1</v>
      </c>
      <c r="AN337" s="8">
        <v>1</v>
      </c>
      <c r="AO337" s="8">
        <v>1</v>
      </c>
      <c r="AP337" s="8">
        <v>1</v>
      </c>
      <c r="AQ337" s="8">
        <v>1</v>
      </c>
      <c r="AR337" s="8">
        <v>1</v>
      </c>
      <c r="AS337" s="8">
        <v>1</v>
      </c>
      <c r="AT337" s="8">
        <v>0</v>
      </c>
      <c r="AU337" s="8">
        <v>0</v>
      </c>
      <c r="AV337" s="8">
        <v>0</v>
      </c>
      <c r="AW337" s="8">
        <v>0</v>
      </c>
      <c r="AX337" s="8">
        <v>1</v>
      </c>
      <c r="AY337" s="8">
        <v>0</v>
      </c>
      <c r="AZ337" s="8">
        <v>0</v>
      </c>
      <c r="BA337" s="8">
        <v>0</v>
      </c>
      <c r="BB337" s="8">
        <v>1</v>
      </c>
      <c r="BC337" s="8">
        <v>0</v>
      </c>
      <c r="BD337" s="8">
        <v>0</v>
      </c>
      <c r="BE337" s="8">
        <v>0</v>
      </c>
      <c r="BF337" s="8">
        <v>0</v>
      </c>
      <c r="BG337" s="8">
        <v>0</v>
      </c>
      <c r="BH337" s="8">
        <v>0</v>
      </c>
      <c r="BI337" s="8">
        <v>0</v>
      </c>
      <c r="BJ337" s="8">
        <v>0</v>
      </c>
      <c r="BK337" s="8">
        <v>1</v>
      </c>
      <c r="BL337" s="8">
        <v>1</v>
      </c>
      <c r="BM337" s="8">
        <v>1</v>
      </c>
      <c r="BN337" s="8">
        <v>0</v>
      </c>
      <c r="BO337" s="8">
        <v>1</v>
      </c>
      <c r="BP337" s="8">
        <v>0</v>
      </c>
      <c r="BQ337" s="8">
        <v>0</v>
      </c>
      <c r="BR337" s="8">
        <v>0</v>
      </c>
      <c r="BS337" s="8">
        <f t="shared" si="436"/>
        <v>17</v>
      </c>
      <c r="BT337" s="8"/>
      <c r="BU337" s="2">
        <f t="shared" si="437"/>
        <v>2</v>
      </c>
      <c r="BV337" s="2">
        <f t="shared" si="403"/>
        <v>7</v>
      </c>
      <c r="BW337" s="2">
        <f t="shared" si="404"/>
        <v>3</v>
      </c>
      <c r="BX337" s="2">
        <f t="shared" si="407"/>
        <v>3</v>
      </c>
      <c r="BY337" s="2">
        <f t="shared" si="405"/>
        <v>0</v>
      </c>
      <c r="BZ337" s="2">
        <f t="shared" ref="BZ337:CA337" si="475">SUM(AQ337)</f>
        <v>1</v>
      </c>
      <c r="CA337" s="2">
        <f t="shared" si="475"/>
        <v>1</v>
      </c>
      <c r="CB337" s="2">
        <f t="shared" si="431"/>
        <v>0</v>
      </c>
    </row>
    <row r="338" spans="1:80" ht="16" x14ac:dyDescent="0.2">
      <c r="A338" s="3" t="s">
        <v>148</v>
      </c>
      <c r="B338" s="10">
        <v>392</v>
      </c>
      <c r="C338" s="5">
        <v>1</v>
      </c>
      <c r="D338" s="10">
        <v>0</v>
      </c>
      <c r="E338" s="5">
        <v>0</v>
      </c>
      <c r="F338" s="10">
        <v>1950</v>
      </c>
      <c r="G338" s="10" t="s">
        <v>76</v>
      </c>
      <c r="H338" s="7" t="str">
        <f t="shared" si="399"/>
        <v>Yes</v>
      </c>
      <c r="I338" s="54" t="s">
        <v>56</v>
      </c>
      <c r="J338" s="8">
        <v>1</v>
      </c>
      <c r="K338" s="8" t="s">
        <v>63</v>
      </c>
      <c r="L338" s="8" t="s">
        <v>64</v>
      </c>
      <c r="M338" s="8" t="s">
        <v>52</v>
      </c>
      <c r="N338" s="8">
        <v>1</v>
      </c>
      <c r="O338" s="8">
        <v>1</v>
      </c>
      <c r="P338" s="8">
        <v>0</v>
      </c>
      <c r="Q338" s="8" t="s">
        <v>150</v>
      </c>
      <c r="R338" s="9">
        <v>0.1</v>
      </c>
      <c r="S338" s="8">
        <v>1</v>
      </c>
      <c r="T338" s="8">
        <v>0</v>
      </c>
      <c r="U338" s="8">
        <v>1</v>
      </c>
      <c r="V338" s="8">
        <v>1</v>
      </c>
      <c r="W338" s="8">
        <v>1</v>
      </c>
      <c r="X338" s="8">
        <v>0</v>
      </c>
      <c r="Y338" s="8">
        <v>0</v>
      </c>
      <c r="Z338" s="8">
        <v>1</v>
      </c>
      <c r="AA338" s="8" t="s">
        <v>149</v>
      </c>
      <c r="AB338" s="8">
        <v>0</v>
      </c>
      <c r="AC338" s="8">
        <v>0</v>
      </c>
      <c r="AD338" s="8">
        <v>1</v>
      </c>
      <c r="AE338" s="8">
        <v>0</v>
      </c>
      <c r="AF338" s="8">
        <v>0</v>
      </c>
      <c r="AG338" s="8">
        <v>0</v>
      </c>
      <c r="AH338" s="8">
        <v>0</v>
      </c>
      <c r="AI338" s="8">
        <v>1</v>
      </c>
      <c r="AJ338" s="8">
        <v>1</v>
      </c>
      <c r="AK338" s="8">
        <v>1</v>
      </c>
      <c r="AL338" s="8">
        <v>1</v>
      </c>
      <c r="AM338" s="8">
        <v>1</v>
      </c>
      <c r="AN338" s="8">
        <v>1</v>
      </c>
      <c r="AO338" s="8">
        <v>1</v>
      </c>
      <c r="AP338" s="8">
        <v>1</v>
      </c>
      <c r="AQ338" s="8">
        <v>1</v>
      </c>
      <c r="AR338" s="8">
        <v>1</v>
      </c>
      <c r="AS338" s="8">
        <v>1</v>
      </c>
      <c r="AT338" s="8">
        <v>0</v>
      </c>
      <c r="AU338" s="8">
        <v>1</v>
      </c>
      <c r="AV338" s="8">
        <v>0</v>
      </c>
      <c r="AW338" s="8">
        <v>0</v>
      </c>
      <c r="AX338" s="8">
        <v>1</v>
      </c>
      <c r="AY338" s="8">
        <v>0</v>
      </c>
      <c r="AZ338" s="8">
        <v>0</v>
      </c>
      <c r="BA338" s="8">
        <v>0</v>
      </c>
      <c r="BB338" s="8">
        <v>1</v>
      </c>
      <c r="BC338" s="8">
        <v>0</v>
      </c>
      <c r="BD338" s="8">
        <v>0</v>
      </c>
      <c r="BE338" s="8">
        <v>0</v>
      </c>
      <c r="BF338" s="8">
        <v>0</v>
      </c>
      <c r="BG338" s="8">
        <v>0</v>
      </c>
      <c r="BH338" s="8">
        <v>0</v>
      </c>
      <c r="BI338" s="8">
        <v>0</v>
      </c>
      <c r="BJ338" s="8">
        <v>0</v>
      </c>
      <c r="BK338" s="8">
        <v>1</v>
      </c>
      <c r="BL338" s="8">
        <v>1</v>
      </c>
      <c r="BM338" s="8">
        <v>1</v>
      </c>
      <c r="BN338" s="8">
        <v>0</v>
      </c>
      <c r="BO338" s="8">
        <v>1</v>
      </c>
      <c r="BP338" s="8">
        <v>0</v>
      </c>
      <c r="BQ338" s="8">
        <v>0</v>
      </c>
      <c r="BR338" s="8">
        <v>0</v>
      </c>
      <c r="BS338" s="8">
        <f t="shared" si="436"/>
        <v>18</v>
      </c>
      <c r="BT338" s="8"/>
      <c r="BU338" s="2">
        <f t="shared" si="437"/>
        <v>2</v>
      </c>
      <c r="BV338" s="2">
        <f t="shared" si="403"/>
        <v>7</v>
      </c>
      <c r="BW338" s="2">
        <f t="shared" si="404"/>
        <v>3</v>
      </c>
      <c r="BX338" s="2">
        <f t="shared" si="407"/>
        <v>4</v>
      </c>
      <c r="BY338" s="2">
        <f t="shared" si="405"/>
        <v>0</v>
      </c>
      <c r="BZ338" s="2">
        <f t="shared" ref="BZ338:CA338" si="476">SUM(AQ338)</f>
        <v>1</v>
      </c>
      <c r="CA338" s="2">
        <f t="shared" si="476"/>
        <v>1</v>
      </c>
      <c r="CB338" s="2">
        <f t="shared" si="431"/>
        <v>0</v>
      </c>
    </row>
    <row r="339" spans="1:80" ht="16" x14ac:dyDescent="0.2">
      <c r="A339" s="3" t="s">
        <v>148</v>
      </c>
      <c r="B339" s="10">
        <v>392</v>
      </c>
      <c r="C339" s="5">
        <v>1</v>
      </c>
      <c r="D339" s="10">
        <v>0</v>
      </c>
      <c r="E339" s="5">
        <v>0</v>
      </c>
      <c r="F339" s="10">
        <v>1950</v>
      </c>
      <c r="G339" s="10" t="s">
        <v>77</v>
      </c>
      <c r="H339" s="7" t="str">
        <f t="shared" si="399"/>
        <v>No</v>
      </c>
      <c r="I339" s="54" t="s">
        <v>55</v>
      </c>
      <c r="J339" s="8">
        <v>1</v>
      </c>
      <c r="K339" s="8" t="s">
        <v>63</v>
      </c>
      <c r="L339" s="8" t="s">
        <v>64</v>
      </c>
      <c r="M339" s="8" t="s">
        <v>52</v>
      </c>
      <c r="N339" s="8">
        <v>1</v>
      </c>
      <c r="O339" s="8">
        <v>1</v>
      </c>
      <c r="P339" s="8">
        <v>0</v>
      </c>
      <c r="Q339" s="8" t="s">
        <v>150</v>
      </c>
      <c r="R339" s="9">
        <v>0.1</v>
      </c>
      <c r="S339" s="8">
        <v>1</v>
      </c>
      <c r="T339" s="8">
        <v>0</v>
      </c>
      <c r="U339" s="8">
        <v>1</v>
      </c>
      <c r="V339" s="8">
        <v>1</v>
      </c>
      <c r="W339" s="8">
        <v>1</v>
      </c>
      <c r="X339" s="8">
        <v>0</v>
      </c>
      <c r="Y339" s="8">
        <v>0</v>
      </c>
      <c r="Z339" s="8">
        <v>1</v>
      </c>
      <c r="AA339" s="8" t="s">
        <v>149</v>
      </c>
      <c r="AB339" s="8">
        <v>0</v>
      </c>
      <c r="AC339" s="8">
        <v>0</v>
      </c>
      <c r="AD339" s="8">
        <v>1</v>
      </c>
      <c r="AE339" s="8">
        <v>0</v>
      </c>
      <c r="AF339" s="8">
        <v>0</v>
      </c>
      <c r="AG339" s="8">
        <v>0</v>
      </c>
      <c r="AH339" s="8">
        <v>0</v>
      </c>
      <c r="AI339" s="8">
        <v>1</v>
      </c>
      <c r="AJ339" s="8">
        <v>1</v>
      </c>
      <c r="AK339" s="8">
        <v>1</v>
      </c>
      <c r="AL339" s="8">
        <v>1</v>
      </c>
      <c r="AM339" s="8">
        <v>1</v>
      </c>
      <c r="AN339" s="8">
        <v>1</v>
      </c>
      <c r="AO339" s="8">
        <v>1</v>
      </c>
      <c r="AP339" s="8">
        <v>1</v>
      </c>
      <c r="AQ339" s="8">
        <v>1</v>
      </c>
      <c r="AR339" s="8">
        <v>1</v>
      </c>
      <c r="AS339" s="8">
        <v>1</v>
      </c>
      <c r="AT339" s="8">
        <v>0</v>
      </c>
      <c r="AU339" s="8">
        <v>1</v>
      </c>
      <c r="AV339" s="8">
        <v>0</v>
      </c>
      <c r="AW339" s="8">
        <v>0</v>
      </c>
      <c r="AX339" s="8">
        <v>1</v>
      </c>
      <c r="AY339" s="8">
        <v>0</v>
      </c>
      <c r="AZ339" s="8">
        <v>0</v>
      </c>
      <c r="BA339" s="8">
        <v>0</v>
      </c>
      <c r="BB339" s="8">
        <v>1</v>
      </c>
      <c r="BC339" s="8">
        <v>0</v>
      </c>
      <c r="BD339" s="8">
        <v>0</v>
      </c>
      <c r="BE339" s="8">
        <v>0</v>
      </c>
      <c r="BF339" s="8">
        <v>0</v>
      </c>
      <c r="BG339" s="8">
        <v>0</v>
      </c>
      <c r="BH339" s="8">
        <v>0</v>
      </c>
      <c r="BI339" s="8">
        <v>0</v>
      </c>
      <c r="BJ339" s="8">
        <v>0</v>
      </c>
      <c r="BK339" s="8">
        <v>1</v>
      </c>
      <c r="BL339" s="8">
        <v>1</v>
      </c>
      <c r="BM339" s="8">
        <v>1</v>
      </c>
      <c r="BN339" s="8">
        <v>0</v>
      </c>
      <c r="BO339" s="8">
        <v>1</v>
      </c>
      <c r="BP339" s="8">
        <v>0</v>
      </c>
      <c r="BQ339" s="8">
        <v>0</v>
      </c>
      <c r="BR339" s="8">
        <v>0</v>
      </c>
      <c r="BS339" s="8">
        <f t="shared" si="436"/>
        <v>18</v>
      </c>
      <c r="BT339" s="8"/>
      <c r="BU339" s="2">
        <f t="shared" si="437"/>
        <v>2</v>
      </c>
      <c r="BV339" s="2">
        <f t="shared" si="403"/>
        <v>7</v>
      </c>
      <c r="BW339" s="2">
        <f t="shared" si="404"/>
        <v>3</v>
      </c>
      <c r="BX339" s="2">
        <f t="shared" si="407"/>
        <v>4</v>
      </c>
      <c r="BY339" s="2">
        <f t="shared" si="405"/>
        <v>0</v>
      </c>
      <c r="BZ339" s="2">
        <f t="shared" ref="BZ339:CA339" si="477">SUM(AQ339)</f>
        <v>1</v>
      </c>
      <c r="CA339" s="2">
        <f t="shared" si="477"/>
        <v>1</v>
      </c>
      <c r="CB339" s="2">
        <f t="shared" si="431"/>
        <v>0</v>
      </c>
    </row>
    <row r="340" spans="1:80" ht="16" x14ac:dyDescent="0.2">
      <c r="A340" s="3" t="s">
        <v>148</v>
      </c>
      <c r="B340" s="10">
        <v>392</v>
      </c>
      <c r="C340" s="5">
        <v>1</v>
      </c>
      <c r="D340" s="10">
        <v>0</v>
      </c>
      <c r="E340" s="5">
        <v>0</v>
      </c>
      <c r="F340" s="10">
        <v>1950</v>
      </c>
      <c r="G340" s="10" t="s">
        <v>78</v>
      </c>
      <c r="H340" s="7" t="str">
        <f t="shared" si="399"/>
        <v>No</v>
      </c>
      <c r="I340" s="54" t="s">
        <v>55</v>
      </c>
      <c r="J340" s="8">
        <v>1</v>
      </c>
      <c r="K340" s="8" t="s">
        <v>63</v>
      </c>
      <c r="L340" s="8" t="s">
        <v>64</v>
      </c>
      <c r="M340" s="8" t="s">
        <v>52</v>
      </c>
      <c r="N340" s="8">
        <v>1</v>
      </c>
      <c r="O340" s="8">
        <v>1</v>
      </c>
      <c r="P340" s="8">
        <v>0</v>
      </c>
      <c r="Q340" s="8" t="s">
        <v>150</v>
      </c>
      <c r="R340" s="9">
        <v>0.1</v>
      </c>
      <c r="S340" s="8">
        <v>1</v>
      </c>
      <c r="T340" s="8">
        <v>0</v>
      </c>
      <c r="U340" s="8">
        <v>1</v>
      </c>
      <c r="V340" s="8">
        <v>1</v>
      </c>
      <c r="W340" s="8">
        <v>1</v>
      </c>
      <c r="X340" s="8">
        <v>0</v>
      </c>
      <c r="Y340" s="8">
        <v>0</v>
      </c>
      <c r="Z340" s="8">
        <v>1</v>
      </c>
      <c r="AA340" s="8" t="s">
        <v>149</v>
      </c>
      <c r="AB340" s="8">
        <v>0</v>
      </c>
      <c r="AC340" s="8">
        <v>0</v>
      </c>
      <c r="AD340" s="8">
        <v>1</v>
      </c>
      <c r="AE340" s="8">
        <v>0</v>
      </c>
      <c r="AF340" s="8">
        <v>0</v>
      </c>
      <c r="AG340" s="8">
        <v>0</v>
      </c>
      <c r="AH340" s="8">
        <v>0</v>
      </c>
      <c r="AI340" s="8">
        <v>1</v>
      </c>
      <c r="AJ340" s="8">
        <v>1</v>
      </c>
      <c r="AK340" s="8">
        <v>1</v>
      </c>
      <c r="AL340" s="8">
        <v>1</v>
      </c>
      <c r="AM340" s="8">
        <v>1</v>
      </c>
      <c r="AN340" s="8">
        <v>1</v>
      </c>
      <c r="AO340" s="8">
        <v>1</v>
      </c>
      <c r="AP340" s="8">
        <v>1</v>
      </c>
      <c r="AQ340" s="8">
        <v>1</v>
      </c>
      <c r="AR340" s="8">
        <v>1</v>
      </c>
      <c r="AS340" s="8">
        <v>1</v>
      </c>
      <c r="AT340" s="8">
        <v>0</v>
      </c>
      <c r="AU340" s="8">
        <v>1</v>
      </c>
      <c r="AV340" s="8">
        <v>0</v>
      </c>
      <c r="AW340" s="8">
        <v>0</v>
      </c>
      <c r="AX340" s="8">
        <v>1</v>
      </c>
      <c r="AY340" s="8">
        <v>0</v>
      </c>
      <c r="AZ340" s="8">
        <v>0</v>
      </c>
      <c r="BA340" s="8">
        <v>0</v>
      </c>
      <c r="BB340" s="8">
        <v>1</v>
      </c>
      <c r="BC340" s="8">
        <v>0</v>
      </c>
      <c r="BD340" s="8">
        <v>0</v>
      </c>
      <c r="BE340" s="8">
        <v>0</v>
      </c>
      <c r="BF340" s="8">
        <v>0</v>
      </c>
      <c r="BG340" s="8">
        <v>0</v>
      </c>
      <c r="BH340" s="8">
        <v>0</v>
      </c>
      <c r="BI340" s="8">
        <v>0</v>
      </c>
      <c r="BJ340" s="8">
        <v>0</v>
      </c>
      <c r="BK340" s="8">
        <v>1</v>
      </c>
      <c r="BL340" s="8">
        <v>1</v>
      </c>
      <c r="BM340" s="8">
        <v>1</v>
      </c>
      <c r="BN340" s="8">
        <v>0</v>
      </c>
      <c r="BO340" s="8">
        <v>1</v>
      </c>
      <c r="BP340" s="8">
        <v>0</v>
      </c>
      <c r="BQ340" s="8">
        <v>0</v>
      </c>
      <c r="BR340" s="8">
        <v>0</v>
      </c>
      <c r="BS340" s="8">
        <f t="shared" si="436"/>
        <v>18</v>
      </c>
      <c r="BT340" s="8"/>
      <c r="BU340" s="2">
        <f t="shared" si="437"/>
        <v>2</v>
      </c>
      <c r="BV340" s="2">
        <f t="shared" si="403"/>
        <v>7</v>
      </c>
      <c r="BW340" s="2">
        <f t="shared" si="404"/>
        <v>3</v>
      </c>
      <c r="BX340" s="2">
        <f t="shared" si="407"/>
        <v>4</v>
      </c>
      <c r="BY340" s="2">
        <f t="shared" si="405"/>
        <v>0</v>
      </c>
      <c r="BZ340" s="2">
        <f t="shared" ref="BZ340:CA340" si="478">SUM(AQ340)</f>
        <v>1</v>
      </c>
      <c r="CA340" s="2">
        <f t="shared" si="478"/>
        <v>1</v>
      </c>
      <c r="CB340" s="2">
        <f t="shared" si="431"/>
        <v>0</v>
      </c>
    </row>
    <row r="341" spans="1:80" ht="15" customHeight="1" x14ac:dyDescent="0.2">
      <c r="A341" s="3" t="s">
        <v>148</v>
      </c>
      <c r="B341" s="10">
        <v>392</v>
      </c>
      <c r="C341" s="5">
        <v>1</v>
      </c>
      <c r="D341" s="10">
        <v>0</v>
      </c>
      <c r="E341" s="5">
        <v>0</v>
      </c>
      <c r="F341" s="10">
        <v>1950</v>
      </c>
      <c r="G341" s="10" t="s">
        <v>79</v>
      </c>
      <c r="H341" s="7" t="str">
        <f t="shared" si="399"/>
        <v>Yes</v>
      </c>
      <c r="I341" s="54" t="s">
        <v>56</v>
      </c>
      <c r="J341" s="8">
        <v>1</v>
      </c>
      <c r="K341" s="8" t="s">
        <v>63</v>
      </c>
      <c r="L341" s="8" t="s">
        <v>64</v>
      </c>
      <c r="M341" s="8" t="s">
        <v>52</v>
      </c>
      <c r="N341" s="8">
        <v>0</v>
      </c>
      <c r="O341" s="8">
        <v>1</v>
      </c>
      <c r="P341" s="8">
        <v>0</v>
      </c>
      <c r="Q341" s="8" t="s">
        <v>101</v>
      </c>
      <c r="R341" s="9">
        <v>0.01</v>
      </c>
      <c r="S341" s="8">
        <v>1</v>
      </c>
      <c r="T341" s="8">
        <v>0</v>
      </c>
      <c r="U341" s="8">
        <v>1</v>
      </c>
      <c r="V341" s="8">
        <v>1</v>
      </c>
      <c r="W341" s="8">
        <v>1</v>
      </c>
      <c r="X341" s="8">
        <v>0</v>
      </c>
      <c r="Y341" s="8">
        <v>0</v>
      </c>
      <c r="Z341" s="8">
        <v>1</v>
      </c>
      <c r="AA341" s="8" t="s">
        <v>149</v>
      </c>
      <c r="AB341" s="8">
        <v>0</v>
      </c>
      <c r="AC341" s="8">
        <v>0</v>
      </c>
      <c r="AD341" s="8">
        <v>1</v>
      </c>
      <c r="AE341" s="8">
        <v>0</v>
      </c>
      <c r="AF341" s="8">
        <v>0</v>
      </c>
      <c r="AG341" s="8">
        <v>0</v>
      </c>
      <c r="AH341" s="8">
        <v>0</v>
      </c>
      <c r="AI341" s="8">
        <v>1</v>
      </c>
      <c r="AJ341" s="8">
        <v>1</v>
      </c>
      <c r="AK341" s="8">
        <v>1</v>
      </c>
      <c r="AL341" s="8">
        <v>1</v>
      </c>
      <c r="AM341" s="8">
        <v>1</v>
      </c>
      <c r="AN341" s="8">
        <v>0</v>
      </c>
      <c r="AO341" s="8">
        <v>1</v>
      </c>
      <c r="AP341" s="8">
        <v>1</v>
      </c>
      <c r="AQ341" s="8">
        <v>1</v>
      </c>
      <c r="AR341" s="8">
        <v>1</v>
      </c>
      <c r="AS341" s="8">
        <v>1</v>
      </c>
      <c r="AT341" s="8">
        <v>0</v>
      </c>
      <c r="AU341" s="8">
        <v>1</v>
      </c>
      <c r="AV341" s="8">
        <v>1</v>
      </c>
      <c r="AW341" s="8">
        <v>1</v>
      </c>
      <c r="AX341" s="8">
        <v>1</v>
      </c>
      <c r="AY341" s="8">
        <v>0</v>
      </c>
      <c r="AZ341" s="8">
        <v>0</v>
      </c>
      <c r="BA341" s="8">
        <v>0</v>
      </c>
      <c r="BB341" s="8">
        <v>1</v>
      </c>
      <c r="BC341" s="8">
        <v>0</v>
      </c>
      <c r="BD341" s="8">
        <v>0</v>
      </c>
      <c r="BE341" s="8">
        <v>1</v>
      </c>
      <c r="BF341" s="8">
        <v>0</v>
      </c>
      <c r="BG341" s="8">
        <v>1</v>
      </c>
      <c r="BH341" s="8">
        <v>0</v>
      </c>
      <c r="BI341" s="8">
        <v>0</v>
      </c>
      <c r="BJ341" s="8">
        <v>0</v>
      </c>
      <c r="BK341" s="8">
        <v>1</v>
      </c>
      <c r="BL341" s="8">
        <v>1</v>
      </c>
      <c r="BM341" s="8">
        <v>1</v>
      </c>
      <c r="BN341" s="8">
        <v>0</v>
      </c>
      <c r="BO341" s="8">
        <v>1</v>
      </c>
      <c r="BP341" s="8">
        <v>0</v>
      </c>
      <c r="BQ341" s="8">
        <v>1</v>
      </c>
      <c r="BR341" s="8">
        <v>0</v>
      </c>
      <c r="BS341" s="8">
        <f t="shared" si="436"/>
        <v>22</v>
      </c>
      <c r="BT341" s="8"/>
      <c r="BU341" s="2">
        <f t="shared" si="437"/>
        <v>2</v>
      </c>
      <c r="BV341" s="2">
        <f t="shared" si="403"/>
        <v>7</v>
      </c>
      <c r="BW341" s="2">
        <f t="shared" si="404"/>
        <v>2</v>
      </c>
      <c r="BX341" s="2">
        <f t="shared" si="407"/>
        <v>9</v>
      </c>
      <c r="BY341" s="2">
        <f t="shared" si="405"/>
        <v>0</v>
      </c>
      <c r="BZ341" s="2">
        <f t="shared" ref="BZ341:CA341" si="479">SUM(AQ341)</f>
        <v>1</v>
      </c>
      <c r="CA341" s="2">
        <f t="shared" si="479"/>
        <v>1</v>
      </c>
      <c r="CB341" s="2">
        <f t="shared" si="431"/>
        <v>0</v>
      </c>
    </row>
    <row r="342" spans="1:80" ht="15" customHeight="1" x14ac:dyDescent="0.2">
      <c r="A342" s="3" t="s">
        <v>148</v>
      </c>
      <c r="B342" s="10">
        <v>392</v>
      </c>
      <c r="C342" s="5">
        <v>1</v>
      </c>
      <c r="D342" s="10">
        <v>0</v>
      </c>
      <c r="E342" s="5">
        <v>0</v>
      </c>
      <c r="F342" s="10">
        <v>1950</v>
      </c>
      <c r="G342" s="10" t="s">
        <v>80</v>
      </c>
      <c r="H342" s="7" t="str">
        <f t="shared" si="399"/>
        <v>Yes</v>
      </c>
      <c r="I342" s="54" t="s">
        <v>56</v>
      </c>
      <c r="J342" s="8">
        <v>1</v>
      </c>
      <c r="K342" s="8" t="s">
        <v>63</v>
      </c>
      <c r="L342" s="8" t="s">
        <v>64</v>
      </c>
      <c r="M342" s="8" t="s">
        <v>52</v>
      </c>
      <c r="N342" s="8">
        <v>0</v>
      </c>
      <c r="O342" s="8">
        <v>1</v>
      </c>
      <c r="P342" s="8">
        <v>1</v>
      </c>
      <c r="Q342" s="8" t="s">
        <v>101</v>
      </c>
      <c r="R342" s="9">
        <v>0.01</v>
      </c>
      <c r="S342" s="8">
        <v>1</v>
      </c>
      <c r="T342" s="8">
        <v>0</v>
      </c>
      <c r="U342" s="8">
        <v>1</v>
      </c>
      <c r="V342" s="8">
        <v>1</v>
      </c>
      <c r="W342" s="8">
        <v>1</v>
      </c>
      <c r="X342" s="8">
        <v>0</v>
      </c>
      <c r="Y342" s="8">
        <v>0</v>
      </c>
      <c r="Z342" s="8">
        <v>1</v>
      </c>
      <c r="AA342" s="8" t="s">
        <v>149</v>
      </c>
      <c r="AB342" s="8">
        <v>0</v>
      </c>
      <c r="AC342" s="8">
        <v>0</v>
      </c>
      <c r="AD342" s="8">
        <v>1</v>
      </c>
      <c r="AE342" s="8">
        <v>1</v>
      </c>
      <c r="AF342" s="8">
        <v>0</v>
      </c>
      <c r="AG342" s="8">
        <v>0</v>
      </c>
      <c r="AH342" s="8">
        <v>0</v>
      </c>
      <c r="AI342" s="8">
        <v>1</v>
      </c>
      <c r="AJ342" s="8">
        <v>1</v>
      </c>
      <c r="AK342" s="8">
        <v>1</v>
      </c>
      <c r="AL342" s="8">
        <v>1</v>
      </c>
      <c r="AM342" s="8">
        <v>1</v>
      </c>
      <c r="AN342" s="8">
        <v>0</v>
      </c>
      <c r="AO342" s="8">
        <v>1</v>
      </c>
      <c r="AP342" s="8">
        <v>1</v>
      </c>
      <c r="AQ342" s="8">
        <v>1</v>
      </c>
      <c r="AR342" s="8">
        <v>1</v>
      </c>
      <c r="AS342" s="8">
        <v>1</v>
      </c>
      <c r="AT342" s="8">
        <v>0</v>
      </c>
      <c r="AU342" s="8">
        <v>1</v>
      </c>
      <c r="AV342" s="8">
        <v>1</v>
      </c>
      <c r="AW342" s="8">
        <v>1</v>
      </c>
      <c r="AX342" s="8">
        <v>1</v>
      </c>
      <c r="AY342" s="8">
        <v>0</v>
      </c>
      <c r="AZ342" s="8">
        <v>0</v>
      </c>
      <c r="BA342" s="8">
        <v>0</v>
      </c>
      <c r="BB342" s="8">
        <v>1</v>
      </c>
      <c r="BC342" s="8">
        <v>0</v>
      </c>
      <c r="BD342" s="8">
        <v>0</v>
      </c>
      <c r="BE342" s="8">
        <v>1</v>
      </c>
      <c r="BF342" s="8">
        <v>0</v>
      </c>
      <c r="BG342" s="8">
        <v>1</v>
      </c>
      <c r="BH342" s="8">
        <v>0</v>
      </c>
      <c r="BI342" s="8">
        <v>0</v>
      </c>
      <c r="BJ342" s="8">
        <v>0</v>
      </c>
      <c r="BK342" s="8">
        <v>1</v>
      </c>
      <c r="BL342" s="8">
        <v>1</v>
      </c>
      <c r="BM342" s="8">
        <v>1</v>
      </c>
      <c r="BN342" s="8">
        <v>0</v>
      </c>
      <c r="BO342" s="8">
        <v>1</v>
      </c>
      <c r="BP342" s="8">
        <v>0</v>
      </c>
      <c r="BQ342" s="8">
        <v>1</v>
      </c>
      <c r="BR342" s="8">
        <v>0</v>
      </c>
      <c r="BS342" s="8">
        <f t="shared" si="436"/>
        <v>22</v>
      </c>
      <c r="BT342" s="8"/>
      <c r="BU342" s="2">
        <f t="shared" si="437"/>
        <v>2</v>
      </c>
      <c r="BV342" s="2">
        <f t="shared" si="403"/>
        <v>7</v>
      </c>
      <c r="BW342" s="2">
        <f t="shared" si="404"/>
        <v>2</v>
      </c>
      <c r="BX342" s="2">
        <f t="shared" si="407"/>
        <v>9</v>
      </c>
      <c r="BY342" s="2">
        <f t="shared" si="405"/>
        <v>0</v>
      </c>
      <c r="BZ342" s="2">
        <f t="shared" ref="BZ342:CA342" si="480">SUM(AQ342)</f>
        <v>1</v>
      </c>
      <c r="CA342" s="2">
        <f t="shared" si="480"/>
        <v>1</v>
      </c>
      <c r="CB342" s="2">
        <f t="shared" si="431"/>
        <v>0</v>
      </c>
    </row>
    <row r="343" spans="1:80" ht="16" x14ac:dyDescent="0.2">
      <c r="A343" s="3" t="s">
        <v>148</v>
      </c>
      <c r="B343" s="10">
        <v>392</v>
      </c>
      <c r="C343" s="5">
        <v>1</v>
      </c>
      <c r="D343" s="10">
        <v>0</v>
      </c>
      <c r="E343" s="5">
        <v>0</v>
      </c>
      <c r="F343" s="10">
        <v>1950</v>
      </c>
      <c r="G343" s="10">
        <v>2022</v>
      </c>
      <c r="H343" s="7" t="s">
        <v>82</v>
      </c>
      <c r="I343" s="54" t="s">
        <v>56</v>
      </c>
      <c r="J343" s="8">
        <v>1</v>
      </c>
      <c r="K343" s="8" t="s">
        <v>63</v>
      </c>
      <c r="L343" s="8" t="s">
        <v>64</v>
      </c>
      <c r="M343" s="8" t="s">
        <v>151</v>
      </c>
      <c r="N343" s="8">
        <v>0</v>
      </c>
      <c r="O343" s="8">
        <v>1</v>
      </c>
      <c r="P343" s="8">
        <v>1</v>
      </c>
      <c r="Q343" s="8" t="s">
        <v>101</v>
      </c>
      <c r="R343" s="9">
        <v>0.01</v>
      </c>
      <c r="S343" s="8">
        <v>1</v>
      </c>
      <c r="T343" s="8">
        <v>0</v>
      </c>
      <c r="U343" s="8">
        <v>1</v>
      </c>
      <c r="V343" s="8">
        <v>1</v>
      </c>
      <c r="W343" s="8">
        <v>1</v>
      </c>
      <c r="X343" s="8">
        <v>0</v>
      </c>
      <c r="Y343" s="8">
        <v>0</v>
      </c>
      <c r="Z343" s="8">
        <v>1</v>
      </c>
      <c r="AA343" s="8" t="s">
        <v>149</v>
      </c>
      <c r="AB343" s="8">
        <v>0</v>
      </c>
      <c r="AC343" s="8">
        <v>0</v>
      </c>
      <c r="AD343" s="8">
        <v>1</v>
      </c>
      <c r="AE343" s="8">
        <v>1</v>
      </c>
      <c r="AF343" s="8">
        <v>0</v>
      </c>
      <c r="AG343" s="8">
        <v>0</v>
      </c>
      <c r="AH343" s="8">
        <v>0</v>
      </c>
      <c r="AI343" s="8">
        <v>1</v>
      </c>
      <c r="AJ343" s="8">
        <v>1</v>
      </c>
      <c r="AK343" s="8">
        <v>1</v>
      </c>
      <c r="AL343" s="8">
        <v>1</v>
      </c>
      <c r="AM343" s="8">
        <v>1</v>
      </c>
      <c r="AN343" s="8">
        <v>0</v>
      </c>
      <c r="AO343" s="8">
        <v>1</v>
      </c>
      <c r="AP343" s="8">
        <v>1</v>
      </c>
      <c r="AQ343" s="8">
        <v>1</v>
      </c>
      <c r="AR343" s="8">
        <v>1</v>
      </c>
      <c r="AS343" s="8">
        <v>1</v>
      </c>
      <c r="AT343" s="8">
        <v>0</v>
      </c>
      <c r="AU343" s="8">
        <v>1</v>
      </c>
      <c r="AV343" s="8">
        <v>1</v>
      </c>
      <c r="AW343" s="8">
        <v>1</v>
      </c>
      <c r="AX343" s="8">
        <v>1</v>
      </c>
      <c r="AY343" s="8">
        <v>0</v>
      </c>
      <c r="AZ343" s="8">
        <v>0</v>
      </c>
      <c r="BA343" s="8">
        <v>0</v>
      </c>
      <c r="BB343" s="8">
        <v>1</v>
      </c>
      <c r="BC343" s="8">
        <v>0</v>
      </c>
      <c r="BD343" s="8">
        <v>0</v>
      </c>
      <c r="BE343" s="8">
        <v>1</v>
      </c>
      <c r="BF343" s="8">
        <v>0</v>
      </c>
      <c r="BG343" s="8">
        <v>1</v>
      </c>
      <c r="BH343" s="8">
        <v>0</v>
      </c>
      <c r="BI343" s="8">
        <v>0</v>
      </c>
      <c r="BJ343" s="8">
        <v>0</v>
      </c>
      <c r="BK343" s="8">
        <v>1</v>
      </c>
      <c r="BL343" s="8">
        <v>1</v>
      </c>
      <c r="BM343" s="8">
        <v>1</v>
      </c>
      <c r="BN343" s="8">
        <v>0</v>
      </c>
      <c r="BO343" s="8">
        <v>1</v>
      </c>
      <c r="BP343" s="8">
        <v>0</v>
      </c>
      <c r="BQ343" s="8">
        <v>1</v>
      </c>
      <c r="BR343" s="8">
        <v>0</v>
      </c>
      <c r="BS343" s="8">
        <f t="shared" si="436"/>
        <v>22</v>
      </c>
      <c r="BT343" s="8"/>
      <c r="BU343" s="2">
        <f t="shared" ref="BU343" si="481">SUM(AI343,BK343)</f>
        <v>2</v>
      </c>
      <c r="BV343" s="2">
        <f t="shared" ref="BV343" si="482">SUM(AK343, AL343, AM343,AJ343,BL343,BO343, AP343)</f>
        <v>7</v>
      </c>
      <c r="BW343" s="2">
        <f t="shared" ref="BW343" si="483">SUM(AN343, AO343, AS343)</f>
        <v>2</v>
      </c>
      <c r="BX343" s="2">
        <f t="shared" ref="BX343" si="484">SUM(AU343,AV343,AW343,AX343,AY343,AZ343,BA343,BB343,BC343,BD343,BE343,BF343,BG343,BH343,BI343,BJ343,BQ343,BR343,BM343)</f>
        <v>9</v>
      </c>
      <c r="BY343" s="2">
        <f t="shared" ref="BY343" si="485">SUM(BP343, BN343)</f>
        <v>0</v>
      </c>
      <c r="BZ343" s="2">
        <f t="shared" ref="BZ343" si="486">SUM(AQ343)</f>
        <v>1</v>
      </c>
      <c r="CA343" s="2">
        <f t="shared" ref="CA343" si="487">SUM(AR343)</f>
        <v>1</v>
      </c>
      <c r="CB343" s="2">
        <f t="shared" ref="CB343" si="488">SUM(AT343)</f>
        <v>0</v>
      </c>
    </row>
    <row r="344" spans="1:80" ht="16" x14ac:dyDescent="0.2">
      <c r="A344" s="3" t="s">
        <v>148</v>
      </c>
      <c r="B344" s="10">
        <v>392</v>
      </c>
      <c r="C344" s="5">
        <v>1</v>
      </c>
      <c r="D344" s="10">
        <v>0</v>
      </c>
      <c r="E344" s="5">
        <v>0</v>
      </c>
      <c r="F344" s="10">
        <v>1950</v>
      </c>
      <c r="G344" s="10">
        <v>2023</v>
      </c>
      <c r="H344" s="7" t="s">
        <v>98</v>
      </c>
      <c r="I344" s="54" t="s">
        <v>56</v>
      </c>
      <c r="J344" s="8">
        <v>1</v>
      </c>
      <c r="K344" s="8" t="s">
        <v>63</v>
      </c>
      <c r="L344" s="8" t="s">
        <v>64</v>
      </c>
      <c r="M344" s="8" t="s">
        <v>151</v>
      </c>
      <c r="N344" s="8">
        <v>0</v>
      </c>
      <c r="O344" s="8">
        <v>1</v>
      </c>
      <c r="P344" s="8">
        <v>1</v>
      </c>
      <c r="Q344" s="8" t="s">
        <v>101</v>
      </c>
      <c r="R344" s="9">
        <v>0.01</v>
      </c>
      <c r="S344" s="8">
        <v>1</v>
      </c>
      <c r="T344" s="8">
        <v>0</v>
      </c>
      <c r="U344" s="8">
        <v>1</v>
      </c>
      <c r="V344" s="8">
        <v>1</v>
      </c>
      <c r="W344" s="8">
        <v>1</v>
      </c>
      <c r="X344" s="8">
        <v>0</v>
      </c>
      <c r="Y344" s="8">
        <v>0</v>
      </c>
      <c r="Z344" s="8">
        <v>1</v>
      </c>
      <c r="AA344" s="8" t="s">
        <v>149</v>
      </c>
      <c r="AB344" s="8">
        <v>0</v>
      </c>
      <c r="AC344" s="8">
        <v>0</v>
      </c>
      <c r="AD344" s="8">
        <v>1</v>
      </c>
      <c r="AE344" s="8">
        <v>1</v>
      </c>
      <c r="AF344" s="8">
        <v>0</v>
      </c>
      <c r="AG344" s="8">
        <v>0</v>
      </c>
      <c r="AH344" s="8">
        <v>0</v>
      </c>
      <c r="AI344" s="8">
        <v>1</v>
      </c>
      <c r="AJ344" s="8">
        <v>1</v>
      </c>
      <c r="AK344" s="8">
        <v>1</v>
      </c>
      <c r="AL344" s="8">
        <v>1</v>
      </c>
      <c r="AM344" s="8">
        <v>1</v>
      </c>
      <c r="AN344" s="8">
        <v>0</v>
      </c>
      <c r="AO344" s="8">
        <v>1</v>
      </c>
      <c r="AP344" s="8">
        <v>1</v>
      </c>
      <c r="AQ344" s="8">
        <v>1</v>
      </c>
      <c r="AR344" s="8">
        <v>1</v>
      </c>
      <c r="AS344" s="8">
        <v>1</v>
      </c>
      <c r="AT344" s="8">
        <v>0</v>
      </c>
      <c r="AU344" s="8">
        <v>1</v>
      </c>
      <c r="AV344" s="8">
        <v>1</v>
      </c>
      <c r="AW344" s="8">
        <v>1</v>
      </c>
      <c r="AX344" s="8">
        <v>1</v>
      </c>
      <c r="AY344" s="8">
        <v>0</v>
      </c>
      <c r="AZ344" s="8">
        <v>0</v>
      </c>
      <c r="BA344" s="8">
        <v>0</v>
      </c>
      <c r="BB344" s="8">
        <v>1</v>
      </c>
      <c r="BC344" s="8">
        <v>0</v>
      </c>
      <c r="BD344" s="8">
        <v>0</v>
      </c>
      <c r="BE344" s="8">
        <v>1</v>
      </c>
      <c r="BF344" s="8">
        <v>0</v>
      </c>
      <c r="BG344" s="8">
        <v>1</v>
      </c>
      <c r="BH344" s="8">
        <v>0</v>
      </c>
      <c r="BI344" s="8">
        <v>0</v>
      </c>
      <c r="BJ344" s="8">
        <v>0</v>
      </c>
      <c r="BK344" s="8">
        <v>1</v>
      </c>
      <c r="BL344" s="8">
        <v>1</v>
      </c>
      <c r="BM344" s="8">
        <v>1</v>
      </c>
      <c r="BN344" s="8">
        <v>0</v>
      </c>
      <c r="BO344" s="8">
        <v>1</v>
      </c>
      <c r="BP344" s="8">
        <v>0</v>
      </c>
      <c r="BQ344" s="8">
        <v>1</v>
      </c>
      <c r="BR344" s="8">
        <v>0</v>
      </c>
      <c r="BS344" s="8">
        <f t="shared" ref="BS344" si="489">SUM(AI344:BR344)</f>
        <v>22</v>
      </c>
      <c r="BT344" s="8"/>
      <c r="BU344" s="2">
        <f t="shared" ref="BU344" si="490">SUM(AI344,BK344)</f>
        <v>2</v>
      </c>
      <c r="BV344" s="2">
        <f t="shared" ref="BV344" si="491">SUM(AK344, AL344, AM344,AJ344,BL344,BO344, AP344)</f>
        <v>7</v>
      </c>
      <c r="BW344" s="2">
        <f t="shared" ref="BW344" si="492">SUM(AN344, AO344, AS344)</f>
        <v>2</v>
      </c>
      <c r="BX344" s="2">
        <f t="shared" ref="BX344" si="493">SUM(AU344,AV344,AW344,AX344,AY344,AZ344,BA344,BB344,BC344,BD344,BE344,BF344,BG344,BH344,BI344,BJ344,BQ344,BR344,BM344)</f>
        <v>9</v>
      </c>
      <c r="BY344" s="2">
        <f t="shared" ref="BY344" si="494">SUM(BP344, BN344)</f>
        <v>0</v>
      </c>
      <c r="BZ344" s="2">
        <f t="shared" ref="BZ344" si="495">SUM(AQ344)</f>
        <v>1</v>
      </c>
      <c r="CA344" s="2">
        <f t="shared" ref="CA344" si="496">SUM(AR344)</f>
        <v>1</v>
      </c>
      <c r="CB344" s="2">
        <f t="shared" ref="CB344" si="497">SUM(AT344)</f>
        <v>0</v>
      </c>
    </row>
    <row r="345" spans="1:80" ht="16" x14ac:dyDescent="0.2">
      <c r="A345" s="3" t="s">
        <v>152</v>
      </c>
      <c r="B345" s="4">
        <v>428</v>
      </c>
      <c r="C345" s="5">
        <v>1</v>
      </c>
      <c r="D345" s="5">
        <v>1</v>
      </c>
      <c r="E345" s="5">
        <v>0</v>
      </c>
      <c r="F345" s="10">
        <v>2000</v>
      </c>
      <c r="G345" s="10" t="s">
        <v>86</v>
      </c>
      <c r="H345" s="7" t="str">
        <f t="shared" si="399"/>
        <v>No</v>
      </c>
      <c r="I345" s="54" t="s">
        <v>55</v>
      </c>
      <c r="J345" s="8">
        <v>0</v>
      </c>
      <c r="K345" s="8"/>
      <c r="L345" s="8"/>
      <c r="M345" s="8"/>
      <c r="N345" s="8"/>
      <c r="O345" s="8"/>
      <c r="P345" s="8"/>
      <c r="Q345" s="8"/>
      <c r="R345" s="6"/>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2">
        <f t="shared" si="437"/>
        <v>0</v>
      </c>
      <c r="BV345" s="2">
        <f t="shared" si="403"/>
        <v>0</v>
      </c>
      <c r="BW345" s="2">
        <f t="shared" si="404"/>
        <v>0</v>
      </c>
      <c r="BX345" s="2">
        <f t="shared" si="407"/>
        <v>0</v>
      </c>
      <c r="BY345" s="2">
        <f t="shared" si="405"/>
        <v>0</v>
      </c>
      <c r="BZ345" s="2">
        <f t="shared" ref="BZ345:CA345" si="498">SUM(AQ345)</f>
        <v>0</v>
      </c>
      <c r="CA345" s="2">
        <f t="shared" si="498"/>
        <v>0</v>
      </c>
      <c r="CB345" s="2">
        <f t="shared" si="431"/>
        <v>0</v>
      </c>
    </row>
    <row r="346" spans="1:80" ht="16" x14ac:dyDescent="0.2">
      <c r="A346" s="3" t="s">
        <v>152</v>
      </c>
      <c r="B346" s="4">
        <v>428</v>
      </c>
      <c r="C346" s="5">
        <v>1</v>
      </c>
      <c r="D346" s="5">
        <v>1</v>
      </c>
      <c r="E346" s="5">
        <v>0</v>
      </c>
      <c r="F346" s="10">
        <v>2000</v>
      </c>
      <c r="G346" s="10" t="s">
        <v>90</v>
      </c>
      <c r="H346" s="7" t="str">
        <f t="shared" si="399"/>
        <v>No</v>
      </c>
      <c r="I346" s="54" t="s">
        <v>55</v>
      </c>
      <c r="J346" s="8">
        <v>0</v>
      </c>
      <c r="K346" s="8"/>
      <c r="L346" s="8"/>
      <c r="M346" s="8"/>
      <c r="N346" s="8"/>
      <c r="O346" s="8"/>
      <c r="P346" s="8"/>
      <c r="Q346" s="8"/>
      <c r="R346" s="6"/>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2">
        <f t="shared" si="437"/>
        <v>0</v>
      </c>
      <c r="BV346" s="2">
        <f t="shared" si="403"/>
        <v>0</v>
      </c>
      <c r="BW346" s="2">
        <f t="shared" si="404"/>
        <v>0</v>
      </c>
      <c r="BX346" s="2">
        <f t="shared" si="407"/>
        <v>0</v>
      </c>
      <c r="BY346" s="2">
        <f t="shared" si="405"/>
        <v>0</v>
      </c>
      <c r="BZ346" s="2">
        <f t="shared" ref="BZ346:CA346" si="499">SUM(AQ346)</f>
        <v>0</v>
      </c>
      <c r="CA346" s="2">
        <f t="shared" si="499"/>
        <v>0</v>
      </c>
      <c r="CB346" s="2">
        <f t="shared" si="431"/>
        <v>0</v>
      </c>
    </row>
    <row r="347" spans="1:80" ht="16" x14ac:dyDescent="0.2">
      <c r="A347" s="3" t="s">
        <v>152</v>
      </c>
      <c r="B347" s="4">
        <v>428</v>
      </c>
      <c r="C347" s="5">
        <v>1</v>
      </c>
      <c r="D347" s="5">
        <v>1</v>
      </c>
      <c r="E347" s="5">
        <v>0</v>
      </c>
      <c r="F347" s="10">
        <v>2000</v>
      </c>
      <c r="G347" s="10" t="s">
        <v>91</v>
      </c>
      <c r="H347" s="7" t="str">
        <f t="shared" si="399"/>
        <v>No</v>
      </c>
      <c r="I347" s="54" t="s">
        <v>55</v>
      </c>
      <c r="J347" s="8">
        <v>0</v>
      </c>
      <c r="K347" s="8"/>
      <c r="L347" s="8"/>
      <c r="M347" s="8"/>
      <c r="N347" s="8"/>
      <c r="O347" s="8"/>
      <c r="P347" s="8"/>
      <c r="Q347" s="8"/>
      <c r="R347" s="6"/>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2">
        <f t="shared" si="437"/>
        <v>0</v>
      </c>
      <c r="BV347" s="2">
        <f t="shared" si="403"/>
        <v>0</v>
      </c>
      <c r="BW347" s="2">
        <f t="shared" si="404"/>
        <v>0</v>
      </c>
      <c r="BX347" s="2">
        <f t="shared" si="407"/>
        <v>0</v>
      </c>
      <c r="BY347" s="2">
        <f t="shared" si="405"/>
        <v>0</v>
      </c>
      <c r="BZ347" s="2">
        <f t="shared" ref="BZ347:CA347" si="500">SUM(AQ347)</f>
        <v>0</v>
      </c>
      <c r="CA347" s="2">
        <f t="shared" si="500"/>
        <v>0</v>
      </c>
      <c r="CB347" s="2">
        <f t="shared" si="431"/>
        <v>0</v>
      </c>
    </row>
    <row r="348" spans="1:80" ht="16" x14ac:dyDescent="0.2">
      <c r="A348" s="3" t="s">
        <v>152</v>
      </c>
      <c r="B348" s="4">
        <v>428</v>
      </c>
      <c r="C348" s="5">
        <v>1</v>
      </c>
      <c r="D348" s="5">
        <v>1</v>
      </c>
      <c r="E348" s="5">
        <v>0</v>
      </c>
      <c r="F348" s="10">
        <v>2000</v>
      </c>
      <c r="G348" s="10" t="s">
        <v>93</v>
      </c>
      <c r="H348" s="7" t="str">
        <f t="shared" si="399"/>
        <v>No</v>
      </c>
      <c r="I348" s="54" t="s">
        <v>55</v>
      </c>
      <c r="J348" s="8">
        <v>0</v>
      </c>
      <c r="K348" s="8"/>
      <c r="L348" s="8"/>
      <c r="M348" s="8"/>
      <c r="N348" s="8"/>
      <c r="O348" s="8"/>
      <c r="P348" s="8"/>
      <c r="Q348" s="8"/>
      <c r="R348" s="6"/>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2">
        <f t="shared" si="437"/>
        <v>0</v>
      </c>
      <c r="BV348" s="2">
        <f t="shared" si="403"/>
        <v>0</v>
      </c>
      <c r="BW348" s="2">
        <f t="shared" si="404"/>
        <v>0</v>
      </c>
      <c r="BX348" s="2">
        <f t="shared" si="407"/>
        <v>0</v>
      </c>
      <c r="BY348" s="2">
        <f t="shared" si="405"/>
        <v>0</v>
      </c>
      <c r="BZ348" s="2">
        <f t="shared" ref="BZ348:CA348" si="501">SUM(AQ348)</f>
        <v>0</v>
      </c>
      <c r="CA348" s="2">
        <f t="shared" si="501"/>
        <v>0</v>
      </c>
      <c r="CB348" s="2">
        <f t="shared" si="431"/>
        <v>0</v>
      </c>
    </row>
    <row r="349" spans="1:80" ht="16" x14ac:dyDescent="0.2">
      <c r="A349" s="3" t="s">
        <v>152</v>
      </c>
      <c r="B349" s="4">
        <v>428</v>
      </c>
      <c r="C349" s="5">
        <v>1</v>
      </c>
      <c r="D349" s="5">
        <v>1</v>
      </c>
      <c r="E349" s="5">
        <v>0</v>
      </c>
      <c r="F349" s="10">
        <v>2000</v>
      </c>
      <c r="G349" s="10" t="s">
        <v>70</v>
      </c>
      <c r="H349" s="7" t="str">
        <f t="shared" si="399"/>
        <v>No</v>
      </c>
      <c r="I349" s="54" t="s">
        <v>55</v>
      </c>
      <c r="J349" s="8">
        <v>0</v>
      </c>
      <c r="K349" s="8"/>
      <c r="L349" s="8"/>
      <c r="M349" s="8"/>
      <c r="N349" s="8"/>
      <c r="O349" s="8"/>
      <c r="P349" s="8"/>
      <c r="Q349" s="8"/>
      <c r="R349" s="6"/>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2">
        <f t="shared" si="437"/>
        <v>0</v>
      </c>
      <c r="BV349" s="2">
        <f t="shared" si="403"/>
        <v>0</v>
      </c>
      <c r="BW349" s="2">
        <f t="shared" si="404"/>
        <v>0</v>
      </c>
      <c r="BX349" s="2">
        <f t="shared" si="407"/>
        <v>0</v>
      </c>
      <c r="BY349" s="2">
        <f t="shared" si="405"/>
        <v>0</v>
      </c>
      <c r="BZ349" s="2">
        <f t="shared" ref="BZ349:CA349" si="502">SUM(AQ349)</f>
        <v>0</v>
      </c>
      <c r="CA349" s="2">
        <f t="shared" si="502"/>
        <v>0</v>
      </c>
      <c r="CB349" s="2">
        <f t="shared" si="431"/>
        <v>0</v>
      </c>
    </row>
    <row r="350" spans="1:80" ht="16" x14ac:dyDescent="0.2">
      <c r="A350" s="3" t="s">
        <v>152</v>
      </c>
      <c r="B350" s="4">
        <v>428</v>
      </c>
      <c r="C350" s="5">
        <v>1</v>
      </c>
      <c r="D350" s="5">
        <v>1</v>
      </c>
      <c r="E350" s="5">
        <v>0</v>
      </c>
      <c r="F350" s="10">
        <v>2000</v>
      </c>
      <c r="G350" s="10" t="s">
        <v>71</v>
      </c>
      <c r="H350" s="7" t="str">
        <f t="shared" si="399"/>
        <v>No</v>
      </c>
      <c r="I350" s="54" t="s">
        <v>55</v>
      </c>
      <c r="J350" s="8">
        <v>0</v>
      </c>
      <c r="K350" s="8"/>
      <c r="L350" s="8"/>
      <c r="M350" s="8"/>
      <c r="N350" s="8"/>
      <c r="O350" s="8"/>
      <c r="P350" s="8"/>
      <c r="Q350" s="8"/>
      <c r="R350" s="6"/>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2">
        <f t="shared" si="437"/>
        <v>0</v>
      </c>
      <c r="BV350" s="2">
        <f t="shared" si="403"/>
        <v>0</v>
      </c>
      <c r="BW350" s="2">
        <f t="shared" si="404"/>
        <v>0</v>
      </c>
      <c r="BX350" s="2">
        <f t="shared" si="407"/>
        <v>0</v>
      </c>
      <c r="BY350" s="2">
        <f t="shared" si="405"/>
        <v>0</v>
      </c>
      <c r="BZ350" s="2">
        <f t="shared" ref="BZ350:CA350" si="503">SUM(AQ350)</f>
        <v>0</v>
      </c>
      <c r="CA350" s="2">
        <f t="shared" si="503"/>
        <v>0</v>
      </c>
      <c r="CB350" s="2">
        <f t="shared" si="431"/>
        <v>0</v>
      </c>
    </row>
    <row r="351" spans="1:80" ht="16" x14ac:dyDescent="0.2">
      <c r="A351" s="3" t="s">
        <v>152</v>
      </c>
      <c r="B351" s="4">
        <v>428</v>
      </c>
      <c r="C351" s="5">
        <v>1</v>
      </c>
      <c r="D351" s="5">
        <v>1</v>
      </c>
      <c r="E351" s="5">
        <v>0</v>
      </c>
      <c r="F351" s="10">
        <v>2000</v>
      </c>
      <c r="G351" s="10" t="s">
        <v>72</v>
      </c>
      <c r="H351" s="7" t="str">
        <f t="shared" si="399"/>
        <v>No</v>
      </c>
      <c r="I351" s="54" t="s">
        <v>55</v>
      </c>
      <c r="J351" s="8">
        <v>0</v>
      </c>
      <c r="K351" s="8"/>
      <c r="L351" s="8"/>
      <c r="M351" s="8"/>
      <c r="N351" s="8"/>
      <c r="O351" s="8"/>
      <c r="P351" s="8"/>
      <c r="Q351" s="8"/>
      <c r="R351" s="6"/>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2">
        <f t="shared" si="437"/>
        <v>0</v>
      </c>
      <c r="BV351" s="2">
        <f t="shared" si="403"/>
        <v>0</v>
      </c>
      <c r="BW351" s="2">
        <f t="shared" si="404"/>
        <v>0</v>
      </c>
      <c r="BX351" s="2">
        <f t="shared" si="407"/>
        <v>0</v>
      </c>
      <c r="BY351" s="2">
        <f t="shared" si="405"/>
        <v>0</v>
      </c>
      <c r="BZ351" s="2">
        <f t="shared" ref="BZ351:CA351" si="504">SUM(AQ351)</f>
        <v>0</v>
      </c>
      <c r="CA351" s="2">
        <f t="shared" si="504"/>
        <v>0</v>
      </c>
      <c r="CB351" s="2">
        <f t="shared" si="431"/>
        <v>0</v>
      </c>
    </row>
    <row r="352" spans="1:80" ht="16" x14ac:dyDescent="0.2">
      <c r="A352" s="3" t="s">
        <v>152</v>
      </c>
      <c r="B352" s="4">
        <v>428</v>
      </c>
      <c r="C352" s="5">
        <v>1</v>
      </c>
      <c r="D352" s="5">
        <v>1</v>
      </c>
      <c r="E352" s="5">
        <v>0</v>
      </c>
      <c r="F352" s="10">
        <v>2000</v>
      </c>
      <c r="G352" s="10" t="s">
        <v>73</v>
      </c>
      <c r="H352" s="7" t="str">
        <f t="shared" si="399"/>
        <v>No</v>
      </c>
      <c r="I352" s="54" t="s">
        <v>55</v>
      </c>
      <c r="J352" s="8">
        <v>0</v>
      </c>
      <c r="K352" s="8"/>
      <c r="L352" s="8"/>
      <c r="M352" s="8"/>
      <c r="N352" s="8"/>
      <c r="O352" s="8"/>
      <c r="P352" s="8"/>
      <c r="Q352" s="8"/>
      <c r="R352" s="6"/>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2">
        <f t="shared" si="437"/>
        <v>0</v>
      </c>
      <c r="BV352" s="2">
        <f t="shared" si="403"/>
        <v>0</v>
      </c>
      <c r="BW352" s="2">
        <f t="shared" si="404"/>
        <v>0</v>
      </c>
      <c r="BX352" s="2">
        <f t="shared" si="407"/>
        <v>0</v>
      </c>
      <c r="BY352" s="2">
        <f t="shared" si="405"/>
        <v>0</v>
      </c>
      <c r="BZ352" s="2">
        <f t="shared" ref="BZ352:CA352" si="505">SUM(AQ352)</f>
        <v>0</v>
      </c>
      <c r="CA352" s="2">
        <f t="shared" si="505"/>
        <v>0</v>
      </c>
      <c r="CB352" s="2">
        <f t="shared" si="431"/>
        <v>0</v>
      </c>
    </row>
    <row r="353" spans="1:80" ht="16" x14ac:dyDescent="0.2">
      <c r="A353" s="3" t="s">
        <v>152</v>
      </c>
      <c r="B353" s="4">
        <v>428</v>
      </c>
      <c r="C353" s="5">
        <v>1</v>
      </c>
      <c r="D353" s="5">
        <v>1</v>
      </c>
      <c r="E353" s="5">
        <v>0</v>
      </c>
      <c r="F353" s="10">
        <v>2000</v>
      </c>
      <c r="G353" s="10" t="s">
        <v>74</v>
      </c>
      <c r="H353" s="7" t="str">
        <f t="shared" si="399"/>
        <v>No</v>
      </c>
      <c r="I353" s="54" t="s">
        <v>55</v>
      </c>
      <c r="J353" s="8">
        <v>0</v>
      </c>
      <c r="K353" s="8"/>
      <c r="L353" s="8"/>
      <c r="M353" s="8"/>
      <c r="N353" s="8"/>
      <c r="O353" s="8"/>
      <c r="P353" s="8"/>
      <c r="Q353" s="8"/>
      <c r="R353" s="6"/>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2">
        <f t="shared" si="437"/>
        <v>0</v>
      </c>
      <c r="BV353" s="2">
        <f t="shared" si="403"/>
        <v>0</v>
      </c>
      <c r="BW353" s="2">
        <f t="shared" si="404"/>
        <v>0</v>
      </c>
      <c r="BX353" s="2">
        <f t="shared" si="407"/>
        <v>0</v>
      </c>
      <c r="BY353" s="2">
        <f t="shared" si="405"/>
        <v>0</v>
      </c>
      <c r="BZ353" s="2">
        <f t="shared" ref="BZ353:CA353" si="506">SUM(AQ353)</f>
        <v>0</v>
      </c>
      <c r="CA353" s="2">
        <f t="shared" si="506"/>
        <v>0</v>
      </c>
      <c r="CB353" s="2">
        <f t="shared" si="431"/>
        <v>0</v>
      </c>
    </row>
    <row r="354" spans="1:80" ht="16" x14ac:dyDescent="0.2">
      <c r="A354" s="3" t="s">
        <v>152</v>
      </c>
      <c r="B354" s="4">
        <v>428</v>
      </c>
      <c r="C354" s="5">
        <v>1</v>
      </c>
      <c r="D354" s="5">
        <v>1</v>
      </c>
      <c r="E354" s="5">
        <v>0</v>
      </c>
      <c r="F354" s="10">
        <v>2000</v>
      </c>
      <c r="G354" s="10" t="s">
        <v>75</v>
      </c>
      <c r="H354" s="7" t="str">
        <f t="shared" si="399"/>
        <v>No</v>
      </c>
      <c r="I354" s="54" t="s">
        <v>55</v>
      </c>
      <c r="J354" s="8">
        <v>0</v>
      </c>
      <c r="K354" s="8"/>
      <c r="L354" s="8"/>
      <c r="M354" s="8"/>
      <c r="N354" s="8"/>
      <c r="O354" s="8"/>
      <c r="P354" s="8"/>
      <c r="Q354" s="8"/>
      <c r="R354" s="6"/>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2">
        <f t="shared" si="437"/>
        <v>0</v>
      </c>
      <c r="BV354" s="2">
        <f t="shared" si="403"/>
        <v>0</v>
      </c>
      <c r="BW354" s="2">
        <f t="shared" si="404"/>
        <v>0</v>
      </c>
      <c r="BX354" s="2">
        <f t="shared" si="407"/>
        <v>0</v>
      </c>
      <c r="BY354" s="2">
        <f t="shared" si="405"/>
        <v>0</v>
      </c>
      <c r="BZ354" s="2">
        <f t="shared" ref="BZ354:CA354" si="507">SUM(AQ354)</f>
        <v>0</v>
      </c>
      <c r="CA354" s="2">
        <f t="shared" si="507"/>
        <v>0</v>
      </c>
      <c r="CB354" s="2">
        <f t="shared" si="431"/>
        <v>0</v>
      </c>
    </row>
    <row r="355" spans="1:80" ht="16" x14ac:dyDescent="0.2">
      <c r="A355" s="3" t="s">
        <v>152</v>
      </c>
      <c r="B355" s="4">
        <v>428</v>
      </c>
      <c r="C355" s="5">
        <v>1</v>
      </c>
      <c r="D355" s="5">
        <v>1</v>
      </c>
      <c r="E355" s="5">
        <v>0</v>
      </c>
      <c r="F355" s="10">
        <v>2000</v>
      </c>
      <c r="G355" s="10" t="s">
        <v>76</v>
      </c>
      <c r="H355" s="7" t="str">
        <f t="shared" si="399"/>
        <v>Yes</v>
      </c>
      <c r="I355" s="54" t="s">
        <v>56</v>
      </c>
      <c r="J355" s="8">
        <v>1</v>
      </c>
      <c r="K355" s="8" t="s">
        <v>63</v>
      </c>
      <c r="L355" s="8" t="s">
        <v>64</v>
      </c>
      <c r="M355" s="8" t="s">
        <v>64</v>
      </c>
      <c r="N355" s="8">
        <v>0</v>
      </c>
      <c r="O355" s="8">
        <v>0</v>
      </c>
      <c r="P355" s="8">
        <v>0</v>
      </c>
      <c r="Q355" s="8" t="s">
        <v>101</v>
      </c>
      <c r="R355" s="9">
        <v>0.1</v>
      </c>
      <c r="S355" s="8">
        <v>1</v>
      </c>
      <c r="T355" s="8">
        <v>0</v>
      </c>
      <c r="U355" s="8">
        <v>1</v>
      </c>
      <c r="V355" s="8">
        <v>0</v>
      </c>
      <c r="W355" s="8">
        <v>1</v>
      </c>
      <c r="X355" s="8">
        <v>0</v>
      </c>
      <c r="Y355" s="8">
        <v>0</v>
      </c>
      <c r="Z355" s="8">
        <v>1</v>
      </c>
      <c r="AA355" s="8" t="s">
        <v>153</v>
      </c>
      <c r="AB355" s="8">
        <v>0</v>
      </c>
      <c r="AC355" s="8">
        <v>0</v>
      </c>
      <c r="AD355" s="8">
        <v>0</v>
      </c>
      <c r="AE355" s="8">
        <v>0</v>
      </c>
      <c r="AF355" s="8">
        <v>0</v>
      </c>
      <c r="AG355" s="8">
        <v>1</v>
      </c>
      <c r="AH355" s="8">
        <v>0</v>
      </c>
      <c r="AI355" s="8">
        <v>0</v>
      </c>
      <c r="AJ355" s="8">
        <v>1</v>
      </c>
      <c r="AK355" s="8">
        <v>0</v>
      </c>
      <c r="AL355" s="8">
        <v>0</v>
      </c>
      <c r="AM355" s="8">
        <v>1</v>
      </c>
      <c r="AN355" s="8">
        <v>1</v>
      </c>
      <c r="AO355" s="8">
        <v>0</v>
      </c>
      <c r="AP355" s="8">
        <v>1</v>
      </c>
      <c r="AQ355" s="8">
        <v>0</v>
      </c>
      <c r="AR355" s="8">
        <v>1</v>
      </c>
      <c r="AS355" s="8">
        <v>0</v>
      </c>
      <c r="AT355" s="8">
        <v>0</v>
      </c>
      <c r="AU355" s="8">
        <v>0</v>
      </c>
      <c r="AV355" s="8">
        <v>0</v>
      </c>
      <c r="AW355" s="8">
        <v>0</v>
      </c>
      <c r="AX355" s="8">
        <v>0</v>
      </c>
      <c r="AY355" s="8">
        <v>0</v>
      </c>
      <c r="AZ355" s="8">
        <v>0</v>
      </c>
      <c r="BA355" s="8">
        <v>0</v>
      </c>
      <c r="BB355" s="8">
        <v>0</v>
      </c>
      <c r="BC355" s="8">
        <v>0</v>
      </c>
      <c r="BD355" s="8">
        <v>0</v>
      </c>
      <c r="BE355" s="8">
        <v>0</v>
      </c>
      <c r="BF355" s="8">
        <v>0</v>
      </c>
      <c r="BG355" s="8">
        <v>0</v>
      </c>
      <c r="BH355" s="8">
        <v>0</v>
      </c>
      <c r="BI355" s="8">
        <v>0</v>
      </c>
      <c r="BJ355" s="8">
        <v>0</v>
      </c>
      <c r="BK355" s="8">
        <v>0</v>
      </c>
      <c r="BL355" s="8">
        <v>1</v>
      </c>
      <c r="BM355" s="8">
        <v>0</v>
      </c>
      <c r="BN355" s="8">
        <v>0</v>
      </c>
      <c r="BO355" s="8">
        <v>0</v>
      </c>
      <c r="BP355" s="8">
        <v>0</v>
      </c>
      <c r="BQ355" s="8">
        <v>0</v>
      </c>
      <c r="BR355" s="8">
        <v>0</v>
      </c>
      <c r="BS355" s="8">
        <f t="shared" ref="BS355:BS360" si="508">SUM(AI355:BR355)</f>
        <v>6</v>
      </c>
      <c r="BT355" s="8"/>
      <c r="BU355" s="2">
        <f t="shared" si="437"/>
        <v>0</v>
      </c>
      <c r="BV355" s="2">
        <f t="shared" si="403"/>
        <v>4</v>
      </c>
      <c r="BW355" s="2">
        <f t="shared" si="404"/>
        <v>1</v>
      </c>
      <c r="BX355" s="2">
        <f t="shared" si="407"/>
        <v>0</v>
      </c>
      <c r="BY355" s="2">
        <f t="shared" si="405"/>
        <v>0</v>
      </c>
      <c r="BZ355" s="2">
        <f t="shared" ref="BZ355:CA355" si="509">SUM(AQ355)</f>
        <v>0</v>
      </c>
      <c r="CA355" s="2">
        <f t="shared" si="509"/>
        <v>1</v>
      </c>
      <c r="CB355" s="2">
        <f t="shared" si="431"/>
        <v>0</v>
      </c>
    </row>
    <row r="356" spans="1:80" ht="16" x14ac:dyDescent="0.2">
      <c r="A356" s="3" t="s">
        <v>152</v>
      </c>
      <c r="B356" s="4">
        <v>428</v>
      </c>
      <c r="C356" s="5">
        <v>1</v>
      </c>
      <c r="D356" s="5">
        <v>1</v>
      </c>
      <c r="E356" s="5">
        <v>0</v>
      </c>
      <c r="F356" s="10">
        <v>2000</v>
      </c>
      <c r="G356" s="10" t="s">
        <v>77</v>
      </c>
      <c r="H356" s="7" t="str">
        <f t="shared" si="399"/>
        <v>No</v>
      </c>
      <c r="I356" s="54" t="s">
        <v>55</v>
      </c>
      <c r="J356" s="8">
        <v>1</v>
      </c>
      <c r="K356" s="8" t="s">
        <v>63</v>
      </c>
      <c r="L356" s="8" t="s">
        <v>64</v>
      </c>
      <c r="M356" s="8" t="s">
        <v>64</v>
      </c>
      <c r="N356" s="8">
        <v>0</v>
      </c>
      <c r="O356" s="8">
        <v>0</v>
      </c>
      <c r="P356" s="8">
        <v>0</v>
      </c>
      <c r="Q356" s="8" t="s">
        <v>101</v>
      </c>
      <c r="R356" s="9">
        <v>0.1</v>
      </c>
      <c r="S356" s="8">
        <v>1</v>
      </c>
      <c r="T356" s="8">
        <v>0</v>
      </c>
      <c r="U356" s="8">
        <v>1</v>
      </c>
      <c r="V356" s="8">
        <v>0</v>
      </c>
      <c r="W356" s="8">
        <v>1</v>
      </c>
      <c r="X356" s="8">
        <v>0</v>
      </c>
      <c r="Y356" s="8">
        <v>0</v>
      </c>
      <c r="Z356" s="8">
        <v>1</v>
      </c>
      <c r="AA356" s="8" t="s">
        <v>153</v>
      </c>
      <c r="AB356" s="8">
        <v>0</v>
      </c>
      <c r="AC356" s="8">
        <v>0</v>
      </c>
      <c r="AD356" s="8">
        <v>0</v>
      </c>
      <c r="AE356" s="8">
        <v>0</v>
      </c>
      <c r="AF356" s="8">
        <v>0</v>
      </c>
      <c r="AG356" s="8">
        <v>1</v>
      </c>
      <c r="AH356" s="8">
        <v>0</v>
      </c>
      <c r="AI356" s="8">
        <v>0</v>
      </c>
      <c r="AJ356" s="8">
        <v>1</v>
      </c>
      <c r="AK356" s="8">
        <v>0</v>
      </c>
      <c r="AL356" s="8">
        <v>0</v>
      </c>
      <c r="AM356" s="8">
        <v>1</v>
      </c>
      <c r="AN356" s="8">
        <v>1</v>
      </c>
      <c r="AO356" s="8">
        <v>0</v>
      </c>
      <c r="AP356" s="8">
        <v>1</v>
      </c>
      <c r="AQ356" s="8">
        <v>0</v>
      </c>
      <c r="AR356" s="8">
        <v>1</v>
      </c>
      <c r="AS356" s="8">
        <v>0</v>
      </c>
      <c r="AT356" s="8">
        <v>0</v>
      </c>
      <c r="AU356" s="8">
        <v>0</v>
      </c>
      <c r="AV356" s="8">
        <v>0</v>
      </c>
      <c r="AW356" s="8">
        <v>0</v>
      </c>
      <c r="AX356" s="8">
        <v>0</v>
      </c>
      <c r="AY356" s="8">
        <v>0</v>
      </c>
      <c r="AZ356" s="8">
        <v>0</v>
      </c>
      <c r="BA356" s="8">
        <v>0</v>
      </c>
      <c r="BB356" s="8">
        <v>0</v>
      </c>
      <c r="BC356" s="8">
        <v>0</v>
      </c>
      <c r="BD356" s="8">
        <v>0</v>
      </c>
      <c r="BE356" s="8">
        <v>0</v>
      </c>
      <c r="BF356" s="8">
        <v>0</v>
      </c>
      <c r="BG356" s="8">
        <v>0</v>
      </c>
      <c r="BH356" s="8">
        <v>0</v>
      </c>
      <c r="BI356" s="8">
        <v>0</v>
      </c>
      <c r="BJ356" s="8">
        <v>0</v>
      </c>
      <c r="BK356" s="8">
        <v>0</v>
      </c>
      <c r="BL356" s="8">
        <v>1</v>
      </c>
      <c r="BM356" s="8">
        <v>0</v>
      </c>
      <c r="BN356" s="8">
        <v>0</v>
      </c>
      <c r="BO356" s="8">
        <v>0</v>
      </c>
      <c r="BP356" s="8">
        <v>0</v>
      </c>
      <c r="BQ356" s="8">
        <v>0</v>
      </c>
      <c r="BR356" s="8">
        <v>0</v>
      </c>
      <c r="BS356" s="8">
        <f t="shared" si="508"/>
        <v>6</v>
      </c>
      <c r="BT356" s="8"/>
      <c r="BU356" s="2">
        <f t="shared" si="437"/>
        <v>0</v>
      </c>
      <c r="BV356" s="2">
        <f t="shared" si="403"/>
        <v>4</v>
      </c>
      <c r="BW356" s="2">
        <f t="shared" si="404"/>
        <v>1</v>
      </c>
      <c r="BX356" s="2">
        <f t="shared" si="407"/>
        <v>0</v>
      </c>
      <c r="BY356" s="2">
        <f t="shared" si="405"/>
        <v>0</v>
      </c>
      <c r="BZ356" s="2">
        <f t="shared" ref="BZ356:CA356" si="510">SUM(AQ356)</f>
        <v>0</v>
      </c>
      <c r="CA356" s="2">
        <f t="shared" si="510"/>
        <v>1</v>
      </c>
      <c r="CB356" s="2">
        <f t="shared" si="431"/>
        <v>0</v>
      </c>
    </row>
    <row r="357" spans="1:80" ht="16" x14ac:dyDescent="0.2">
      <c r="A357" s="3" t="s">
        <v>152</v>
      </c>
      <c r="B357" s="4">
        <v>428</v>
      </c>
      <c r="C357" s="5">
        <v>1</v>
      </c>
      <c r="D357" s="5">
        <v>1</v>
      </c>
      <c r="E357" s="5">
        <v>0</v>
      </c>
      <c r="F357" s="10">
        <v>2000</v>
      </c>
      <c r="G357" s="10" t="s">
        <v>78</v>
      </c>
      <c r="H357" s="7" t="str">
        <f t="shared" si="399"/>
        <v>No</v>
      </c>
      <c r="I357" s="54" t="s">
        <v>55</v>
      </c>
      <c r="J357" s="8">
        <v>1</v>
      </c>
      <c r="K357" s="8" t="s">
        <v>63</v>
      </c>
      <c r="L357" s="8" t="s">
        <v>64</v>
      </c>
      <c r="M357" s="8" t="s">
        <v>64</v>
      </c>
      <c r="N357" s="8">
        <v>0</v>
      </c>
      <c r="O357" s="8">
        <v>0</v>
      </c>
      <c r="P357" s="8">
        <v>0</v>
      </c>
      <c r="Q357" s="8" t="s">
        <v>101</v>
      </c>
      <c r="R357" s="9">
        <v>0.1</v>
      </c>
      <c r="S357" s="8">
        <v>1</v>
      </c>
      <c r="T357" s="8">
        <v>0</v>
      </c>
      <c r="U357" s="8">
        <v>1</v>
      </c>
      <c r="V357" s="8">
        <v>0</v>
      </c>
      <c r="W357" s="8">
        <v>1</v>
      </c>
      <c r="X357" s="8">
        <v>0</v>
      </c>
      <c r="Y357" s="8">
        <v>0</v>
      </c>
      <c r="Z357" s="8">
        <v>1</v>
      </c>
      <c r="AA357" s="8" t="s">
        <v>153</v>
      </c>
      <c r="AB357" s="8">
        <v>0</v>
      </c>
      <c r="AC357" s="8">
        <v>0</v>
      </c>
      <c r="AD357" s="8">
        <v>0</v>
      </c>
      <c r="AE357" s="8">
        <v>0</v>
      </c>
      <c r="AF357" s="8">
        <v>0</v>
      </c>
      <c r="AG357" s="8">
        <v>1</v>
      </c>
      <c r="AH357" s="8">
        <v>0</v>
      </c>
      <c r="AI357" s="8">
        <v>0</v>
      </c>
      <c r="AJ357" s="8">
        <v>1</v>
      </c>
      <c r="AK357" s="8">
        <v>0</v>
      </c>
      <c r="AL357" s="8">
        <v>0</v>
      </c>
      <c r="AM357" s="8">
        <v>1</v>
      </c>
      <c r="AN357" s="8">
        <v>1</v>
      </c>
      <c r="AO357" s="8">
        <v>0</v>
      </c>
      <c r="AP357" s="8">
        <v>1</v>
      </c>
      <c r="AQ357" s="8">
        <v>0</v>
      </c>
      <c r="AR357" s="8">
        <v>1</v>
      </c>
      <c r="AS357" s="8">
        <v>0</v>
      </c>
      <c r="AT357" s="8">
        <v>0</v>
      </c>
      <c r="AU357" s="8">
        <v>0</v>
      </c>
      <c r="AV357" s="8">
        <v>0</v>
      </c>
      <c r="AW357" s="8">
        <v>0</v>
      </c>
      <c r="AX357" s="8">
        <v>0</v>
      </c>
      <c r="AY357" s="8">
        <v>0</v>
      </c>
      <c r="AZ357" s="8">
        <v>0</v>
      </c>
      <c r="BA357" s="8">
        <v>0</v>
      </c>
      <c r="BB357" s="8">
        <v>0</v>
      </c>
      <c r="BC357" s="8">
        <v>0</v>
      </c>
      <c r="BD357" s="8">
        <v>0</v>
      </c>
      <c r="BE357" s="8">
        <v>0</v>
      </c>
      <c r="BF357" s="8">
        <v>0</v>
      </c>
      <c r="BG357" s="8">
        <v>0</v>
      </c>
      <c r="BH357" s="8">
        <v>0</v>
      </c>
      <c r="BI357" s="8">
        <v>0</v>
      </c>
      <c r="BJ357" s="8">
        <v>0</v>
      </c>
      <c r="BK357" s="8">
        <v>0</v>
      </c>
      <c r="BL357" s="8">
        <v>1</v>
      </c>
      <c r="BM357" s="8">
        <v>0</v>
      </c>
      <c r="BN357" s="8">
        <v>0</v>
      </c>
      <c r="BO357" s="8">
        <v>0</v>
      </c>
      <c r="BP357" s="8">
        <v>0</v>
      </c>
      <c r="BQ357" s="8">
        <v>0</v>
      </c>
      <c r="BR357" s="8">
        <v>0</v>
      </c>
      <c r="BS357" s="8">
        <f t="shared" si="508"/>
        <v>6</v>
      </c>
      <c r="BU357" s="2">
        <f t="shared" si="437"/>
        <v>0</v>
      </c>
      <c r="BV357" s="2">
        <f t="shared" si="403"/>
        <v>4</v>
      </c>
      <c r="BW357" s="2">
        <f t="shared" si="404"/>
        <v>1</v>
      </c>
      <c r="BX357" s="2">
        <f t="shared" si="407"/>
        <v>0</v>
      </c>
      <c r="BY357" s="2">
        <f t="shared" si="405"/>
        <v>0</v>
      </c>
      <c r="BZ357" s="2">
        <f t="shared" ref="BZ357:CA357" si="511">SUM(AQ357)</f>
        <v>0</v>
      </c>
      <c r="CA357" s="2">
        <f t="shared" si="511"/>
        <v>1</v>
      </c>
      <c r="CB357" s="2">
        <f t="shared" si="431"/>
        <v>0</v>
      </c>
    </row>
    <row r="358" spans="1:80" ht="16" x14ac:dyDescent="0.2">
      <c r="A358" s="3" t="s">
        <v>152</v>
      </c>
      <c r="B358" s="4">
        <v>428</v>
      </c>
      <c r="C358" s="5">
        <v>1</v>
      </c>
      <c r="D358" s="5">
        <v>1</v>
      </c>
      <c r="E358" s="5">
        <v>0</v>
      </c>
      <c r="F358" s="10">
        <v>2000</v>
      </c>
      <c r="G358" s="10" t="s">
        <v>79</v>
      </c>
      <c r="H358" s="7" t="str">
        <f t="shared" si="399"/>
        <v>No</v>
      </c>
      <c r="I358" s="54" t="s">
        <v>55</v>
      </c>
      <c r="J358" s="8">
        <v>1</v>
      </c>
      <c r="K358" s="8" t="s">
        <v>63</v>
      </c>
      <c r="L358" s="8" t="s">
        <v>64</v>
      </c>
      <c r="M358" s="8" t="s">
        <v>64</v>
      </c>
      <c r="N358" s="8">
        <v>0</v>
      </c>
      <c r="O358" s="8">
        <v>0</v>
      </c>
      <c r="P358" s="8">
        <v>0</v>
      </c>
      <c r="Q358" s="8" t="s">
        <v>101</v>
      </c>
      <c r="R358" s="9">
        <v>0.1</v>
      </c>
      <c r="S358" s="8">
        <v>1</v>
      </c>
      <c r="T358" s="8">
        <v>0</v>
      </c>
      <c r="U358" s="8">
        <v>1</v>
      </c>
      <c r="V358" s="8">
        <v>0</v>
      </c>
      <c r="W358" s="8">
        <v>1</v>
      </c>
      <c r="X358" s="8">
        <v>0</v>
      </c>
      <c r="Y358" s="8">
        <v>0</v>
      </c>
      <c r="Z358" s="8">
        <v>1</v>
      </c>
      <c r="AA358" s="8" t="s">
        <v>153</v>
      </c>
      <c r="AB358" s="8">
        <v>0</v>
      </c>
      <c r="AC358" s="8">
        <v>0</v>
      </c>
      <c r="AD358" s="8">
        <v>0</v>
      </c>
      <c r="AE358" s="8">
        <v>0</v>
      </c>
      <c r="AF358" s="8">
        <v>0</v>
      </c>
      <c r="AG358" s="8">
        <v>1</v>
      </c>
      <c r="AH358" s="8">
        <v>0</v>
      </c>
      <c r="AI358" s="8">
        <v>0</v>
      </c>
      <c r="AJ358" s="8">
        <v>1</v>
      </c>
      <c r="AK358" s="8">
        <v>0</v>
      </c>
      <c r="AL358" s="8">
        <v>0</v>
      </c>
      <c r="AM358" s="8">
        <v>1</v>
      </c>
      <c r="AN358" s="8">
        <v>1</v>
      </c>
      <c r="AO358" s="8">
        <v>0</v>
      </c>
      <c r="AP358" s="8">
        <v>1</v>
      </c>
      <c r="AQ358" s="8">
        <v>0</v>
      </c>
      <c r="AR358" s="8">
        <v>1</v>
      </c>
      <c r="AS358" s="8">
        <v>0</v>
      </c>
      <c r="AT358" s="8">
        <v>0</v>
      </c>
      <c r="AU358" s="8">
        <v>0</v>
      </c>
      <c r="AV358" s="8">
        <v>0</v>
      </c>
      <c r="AW358" s="8">
        <v>0</v>
      </c>
      <c r="AX358" s="8">
        <v>0</v>
      </c>
      <c r="AY358" s="8">
        <v>0</v>
      </c>
      <c r="AZ358" s="8">
        <v>0</v>
      </c>
      <c r="BA358" s="8">
        <v>0</v>
      </c>
      <c r="BB358" s="8">
        <v>0</v>
      </c>
      <c r="BC358" s="8">
        <v>0</v>
      </c>
      <c r="BD358" s="8">
        <v>0</v>
      </c>
      <c r="BE358" s="8">
        <v>0</v>
      </c>
      <c r="BF358" s="8">
        <v>0</v>
      </c>
      <c r="BG358" s="8">
        <v>0</v>
      </c>
      <c r="BH358" s="8">
        <v>0</v>
      </c>
      <c r="BI358" s="8">
        <v>0</v>
      </c>
      <c r="BJ358" s="8">
        <v>0</v>
      </c>
      <c r="BK358" s="8">
        <v>0</v>
      </c>
      <c r="BL358" s="8">
        <v>1</v>
      </c>
      <c r="BM358" s="8">
        <v>0</v>
      </c>
      <c r="BN358" s="8">
        <v>0</v>
      </c>
      <c r="BO358" s="8">
        <v>0</v>
      </c>
      <c r="BP358" s="8">
        <v>0</v>
      </c>
      <c r="BQ358" s="8">
        <v>0</v>
      </c>
      <c r="BR358" s="8">
        <v>0</v>
      </c>
      <c r="BS358" s="8">
        <f t="shared" si="508"/>
        <v>6</v>
      </c>
      <c r="BT358" s="8"/>
      <c r="BU358" s="2">
        <f t="shared" si="437"/>
        <v>0</v>
      </c>
      <c r="BV358" s="2">
        <f t="shared" si="403"/>
        <v>4</v>
      </c>
      <c r="BW358" s="2">
        <f t="shared" si="404"/>
        <v>1</v>
      </c>
      <c r="BX358" s="2">
        <f t="shared" si="407"/>
        <v>0</v>
      </c>
      <c r="BY358" s="2">
        <f t="shared" si="405"/>
        <v>0</v>
      </c>
      <c r="BZ358" s="2">
        <f t="shared" ref="BZ358:CA358" si="512">SUM(AQ358)</f>
        <v>0</v>
      </c>
      <c r="CA358" s="2">
        <f t="shared" si="512"/>
        <v>1</v>
      </c>
      <c r="CB358" s="2">
        <f t="shared" si="431"/>
        <v>0</v>
      </c>
    </row>
    <row r="359" spans="1:80" ht="16" x14ac:dyDescent="0.2">
      <c r="A359" s="3" t="s">
        <v>152</v>
      </c>
      <c r="B359" s="4">
        <v>428</v>
      </c>
      <c r="C359" s="5">
        <v>1</v>
      </c>
      <c r="D359" s="5">
        <v>1</v>
      </c>
      <c r="E359" s="5">
        <v>0</v>
      </c>
      <c r="F359" s="10">
        <v>2000</v>
      </c>
      <c r="G359" s="10" t="s">
        <v>80</v>
      </c>
      <c r="H359" s="7" t="str">
        <f t="shared" si="399"/>
        <v>No</v>
      </c>
      <c r="I359" s="54" t="s">
        <v>55</v>
      </c>
      <c r="J359" s="8">
        <v>1</v>
      </c>
      <c r="K359" s="8" t="s">
        <v>63</v>
      </c>
      <c r="L359" s="8" t="s">
        <v>64</v>
      </c>
      <c r="M359" s="8" t="s">
        <v>64</v>
      </c>
      <c r="N359" s="8">
        <v>0</v>
      </c>
      <c r="O359" s="8">
        <v>0</v>
      </c>
      <c r="P359" s="8">
        <v>0</v>
      </c>
      <c r="Q359" s="8" t="s">
        <v>101</v>
      </c>
      <c r="R359" s="9">
        <v>0.1</v>
      </c>
      <c r="S359" s="8">
        <v>1</v>
      </c>
      <c r="T359" s="8">
        <v>0</v>
      </c>
      <c r="U359" s="8">
        <v>1</v>
      </c>
      <c r="V359" s="8">
        <v>0</v>
      </c>
      <c r="W359" s="8">
        <v>1</v>
      </c>
      <c r="X359" s="8">
        <v>0</v>
      </c>
      <c r="Y359" s="8">
        <v>0</v>
      </c>
      <c r="Z359" s="8">
        <v>1</v>
      </c>
      <c r="AA359" s="8" t="s">
        <v>153</v>
      </c>
      <c r="AB359" s="8">
        <v>0</v>
      </c>
      <c r="AC359" s="8">
        <v>0</v>
      </c>
      <c r="AD359" s="8">
        <v>0</v>
      </c>
      <c r="AE359" s="8">
        <v>0</v>
      </c>
      <c r="AF359" s="8">
        <v>0</v>
      </c>
      <c r="AG359" s="8">
        <v>1</v>
      </c>
      <c r="AH359" s="8">
        <v>0</v>
      </c>
      <c r="AI359" s="8">
        <v>0</v>
      </c>
      <c r="AJ359" s="8">
        <v>1</v>
      </c>
      <c r="AK359" s="8">
        <v>0</v>
      </c>
      <c r="AL359" s="8">
        <v>0</v>
      </c>
      <c r="AM359" s="8">
        <v>1</v>
      </c>
      <c r="AN359" s="8">
        <v>1</v>
      </c>
      <c r="AO359" s="8">
        <v>0</v>
      </c>
      <c r="AP359" s="8">
        <v>1</v>
      </c>
      <c r="AQ359" s="8">
        <v>0</v>
      </c>
      <c r="AR359" s="8">
        <v>1</v>
      </c>
      <c r="AS359" s="8">
        <v>0</v>
      </c>
      <c r="AT359" s="8">
        <v>0</v>
      </c>
      <c r="AU359" s="8">
        <v>0</v>
      </c>
      <c r="AV359" s="8">
        <v>0</v>
      </c>
      <c r="AW359" s="8">
        <v>0</v>
      </c>
      <c r="AX359" s="8">
        <v>0</v>
      </c>
      <c r="AY359" s="8">
        <v>0</v>
      </c>
      <c r="AZ359" s="8">
        <v>0</v>
      </c>
      <c r="BA359" s="8">
        <v>0</v>
      </c>
      <c r="BB359" s="8">
        <v>0</v>
      </c>
      <c r="BC359" s="8">
        <v>0</v>
      </c>
      <c r="BD359" s="8">
        <v>0</v>
      </c>
      <c r="BE359" s="8">
        <v>0</v>
      </c>
      <c r="BF359" s="8">
        <v>0</v>
      </c>
      <c r="BG359" s="8">
        <v>0</v>
      </c>
      <c r="BH359" s="8">
        <v>0</v>
      </c>
      <c r="BI359" s="8">
        <v>0</v>
      </c>
      <c r="BJ359" s="8">
        <v>0</v>
      </c>
      <c r="BK359" s="8">
        <v>0</v>
      </c>
      <c r="BL359" s="8">
        <v>1</v>
      </c>
      <c r="BM359" s="8">
        <v>0</v>
      </c>
      <c r="BN359" s="8">
        <v>0</v>
      </c>
      <c r="BO359" s="8">
        <v>0</v>
      </c>
      <c r="BP359" s="8">
        <v>0</v>
      </c>
      <c r="BQ359" s="8">
        <v>0</v>
      </c>
      <c r="BR359" s="8">
        <v>0</v>
      </c>
      <c r="BS359" s="8">
        <f t="shared" si="508"/>
        <v>6</v>
      </c>
      <c r="BT359" s="8"/>
      <c r="BU359" s="2">
        <f t="shared" si="437"/>
        <v>0</v>
      </c>
      <c r="BV359" s="2">
        <f t="shared" si="403"/>
        <v>4</v>
      </c>
      <c r="BW359" s="2">
        <f t="shared" si="404"/>
        <v>1</v>
      </c>
      <c r="BX359" s="2">
        <f t="shared" si="407"/>
        <v>0</v>
      </c>
      <c r="BY359" s="2">
        <f t="shared" si="405"/>
        <v>0</v>
      </c>
      <c r="BZ359" s="2">
        <f t="shared" ref="BZ359:CA359" si="513">SUM(AQ359)</f>
        <v>0</v>
      </c>
      <c r="CA359" s="2">
        <f t="shared" si="513"/>
        <v>1</v>
      </c>
      <c r="CB359" s="2">
        <f t="shared" si="431"/>
        <v>0</v>
      </c>
    </row>
    <row r="360" spans="1:80" ht="16" x14ac:dyDescent="0.2">
      <c r="A360" s="3" t="s">
        <v>152</v>
      </c>
      <c r="B360" s="4">
        <v>428</v>
      </c>
      <c r="C360" s="5">
        <v>1</v>
      </c>
      <c r="D360" s="5">
        <v>1</v>
      </c>
      <c r="E360" s="5">
        <v>0</v>
      </c>
      <c r="F360" s="10">
        <v>2000</v>
      </c>
      <c r="G360" s="10">
        <v>2022</v>
      </c>
      <c r="H360" s="7" t="str">
        <f t="shared" si="399"/>
        <v>No</v>
      </c>
      <c r="I360" s="54" t="s">
        <v>55</v>
      </c>
      <c r="J360" s="8">
        <v>1</v>
      </c>
      <c r="K360" s="8" t="s">
        <v>63</v>
      </c>
      <c r="L360" s="8" t="s">
        <v>64</v>
      </c>
      <c r="M360" s="8" t="s">
        <v>64</v>
      </c>
      <c r="N360" s="8">
        <v>0</v>
      </c>
      <c r="O360" s="8">
        <v>0</v>
      </c>
      <c r="P360" s="8">
        <v>0</v>
      </c>
      <c r="Q360" s="8" t="s">
        <v>101</v>
      </c>
      <c r="R360" s="9">
        <v>0.1</v>
      </c>
      <c r="S360" s="8">
        <v>1</v>
      </c>
      <c r="T360" s="8">
        <v>0</v>
      </c>
      <c r="U360" s="8">
        <v>1</v>
      </c>
      <c r="V360" s="8">
        <v>0</v>
      </c>
      <c r="W360" s="8">
        <v>1</v>
      </c>
      <c r="X360" s="8">
        <v>0</v>
      </c>
      <c r="Y360" s="8">
        <v>0</v>
      </c>
      <c r="Z360" s="8">
        <v>1</v>
      </c>
      <c r="AA360" s="8" t="s">
        <v>153</v>
      </c>
      <c r="AB360" s="8">
        <v>0</v>
      </c>
      <c r="AC360" s="8">
        <v>0</v>
      </c>
      <c r="AD360" s="8">
        <v>0</v>
      </c>
      <c r="AE360" s="8">
        <v>0</v>
      </c>
      <c r="AF360" s="8">
        <v>0</v>
      </c>
      <c r="AG360" s="8">
        <v>1</v>
      </c>
      <c r="AH360" s="8">
        <v>0</v>
      </c>
      <c r="AI360" s="8">
        <v>0</v>
      </c>
      <c r="AJ360" s="8">
        <v>1</v>
      </c>
      <c r="AK360" s="8">
        <v>0</v>
      </c>
      <c r="AL360" s="8">
        <v>0</v>
      </c>
      <c r="AM360" s="8">
        <v>1</v>
      </c>
      <c r="AN360" s="8">
        <v>1</v>
      </c>
      <c r="AO360" s="8">
        <v>0</v>
      </c>
      <c r="AP360" s="8">
        <v>1</v>
      </c>
      <c r="AQ360" s="8">
        <v>0</v>
      </c>
      <c r="AR360" s="8">
        <v>1</v>
      </c>
      <c r="AS360" s="8">
        <v>0</v>
      </c>
      <c r="AT360" s="8">
        <v>0</v>
      </c>
      <c r="AU360" s="8">
        <v>0</v>
      </c>
      <c r="AV360" s="8">
        <v>0</v>
      </c>
      <c r="AW360" s="8">
        <v>0</v>
      </c>
      <c r="AX360" s="8">
        <v>0</v>
      </c>
      <c r="AY360" s="8">
        <v>0</v>
      </c>
      <c r="AZ360" s="8">
        <v>0</v>
      </c>
      <c r="BA360" s="8">
        <v>0</v>
      </c>
      <c r="BB360" s="8">
        <v>0</v>
      </c>
      <c r="BC360" s="8">
        <v>0</v>
      </c>
      <c r="BD360" s="8">
        <v>0</v>
      </c>
      <c r="BE360" s="8">
        <v>0</v>
      </c>
      <c r="BF360" s="8">
        <v>0</v>
      </c>
      <c r="BG360" s="8">
        <v>0</v>
      </c>
      <c r="BH360" s="8">
        <v>0</v>
      </c>
      <c r="BI360" s="8">
        <v>0</v>
      </c>
      <c r="BJ360" s="8">
        <v>0</v>
      </c>
      <c r="BK360" s="8">
        <v>0</v>
      </c>
      <c r="BL360" s="8">
        <v>1</v>
      </c>
      <c r="BM360" s="8">
        <v>0</v>
      </c>
      <c r="BN360" s="8">
        <v>0</v>
      </c>
      <c r="BO360" s="8">
        <v>0</v>
      </c>
      <c r="BP360" s="8">
        <v>0</v>
      </c>
      <c r="BQ360" s="8">
        <v>0</v>
      </c>
      <c r="BR360" s="8">
        <v>0</v>
      </c>
      <c r="BS360" s="8">
        <f t="shared" si="508"/>
        <v>6</v>
      </c>
      <c r="BT360" s="8"/>
      <c r="BU360" s="2">
        <f t="shared" si="437"/>
        <v>0</v>
      </c>
      <c r="BV360" s="2">
        <f t="shared" si="403"/>
        <v>4</v>
      </c>
      <c r="BW360" s="2">
        <f t="shared" si="404"/>
        <v>1</v>
      </c>
      <c r="BX360" s="2">
        <f t="shared" si="407"/>
        <v>0</v>
      </c>
      <c r="BY360" s="2">
        <f t="shared" si="405"/>
        <v>0</v>
      </c>
      <c r="BZ360" s="2">
        <f t="shared" ref="BZ360:CA360" si="514">SUM(AQ360)</f>
        <v>0</v>
      </c>
      <c r="CA360" s="2">
        <f t="shared" si="514"/>
        <v>1</v>
      </c>
      <c r="CB360" s="2">
        <f t="shared" si="431"/>
        <v>0</v>
      </c>
    </row>
    <row r="361" spans="1:80" ht="16" x14ac:dyDescent="0.2">
      <c r="A361" s="3" t="s">
        <v>152</v>
      </c>
      <c r="B361" s="4">
        <v>428</v>
      </c>
      <c r="C361" s="5">
        <v>1</v>
      </c>
      <c r="D361" s="5">
        <v>1</v>
      </c>
      <c r="E361" s="5">
        <v>0</v>
      </c>
      <c r="F361" s="10">
        <v>2000</v>
      </c>
      <c r="G361" s="10">
        <v>2023</v>
      </c>
      <c r="H361" s="7" t="str">
        <f t="shared" si="399"/>
        <v>No</v>
      </c>
      <c r="I361" s="54" t="s">
        <v>55</v>
      </c>
      <c r="J361" s="8">
        <v>1</v>
      </c>
      <c r="K361" s="8" t="s">
        <v>63</v>
      </c>
      <c r="L361" s="8" t="s">
        <v>64</v>
      </c>
      <c r="M361" s="8" t="s">
        <v>64</v>
      </c>
      <c r="N361" s="8">
        <v>0</v>
      </c>
      <c r="O361" s="8">
        <v>0</v>
      </c>
      <c r="P361" s="8">
        <v>0</v>
      </c>
      <c r="Q361" s="8" t="s">
        <v>101</v>
      </c>
      <c r="R361" s="9">
        <v>0.1</v>
      </c>
      <c r="S361" s="8">
        <v>1</v>
      </c>
      <c r="T361" s="8">
        <v>0</v>
      </c>
      <c r="U361" s="8">
        <v>1</v>
      </c>
      <c r="V361" s="8">
        <v>0</v>
      </c>
      <c r="W361" s="8">
        <v>1</v>
      </c>
      <c r="X361" s="8">
        <v>0</v>
      </c>
      <c r="Y361" s="8">
        <v>0</v>
      </c>
      <c r="Z361" s="8">
        <v>1</v>
      </c>
      <c r="AA361" s="8" t="s">
        <v>153</v>
      </c>
      <c r="AB361" s="8">
        <v>0</v>
      </c>
      <c r="AC361" s="8">
        <v>0</v>
      </c>
      <c r="AD361" s="8">
        <v>0</v>
      </c>
      <c r="AE361" s="8">
        <v>0</v>
      </c>
      <c r="AF361" s="8">
        <v>0</v>
      </c>
      <c r="AG361" s="8">
        <v>1</v>
      </c>
      <c r="AH361" s="8">
        <v>0</v>
      </c>
      <c r="AI361" s="8">
        <v>0</v>
      </c>
      <c r="AJ361" s="8">
        <v>1</v>
      </c>
      <c r="AK361" s="8">
        <v>0</v>
      </c>
      <c r="AL361" s="8">
        <v>0</v>
      </c>
      <c r="AM361" s="8">
        <v>1</v>
      </c>
      <c r="AN361" s="8">
        <v>1</v>
      </c>
      <c r="AO361" s="8">
        <v>0</v>
      </c>
      <c r="AP361" s="8">
        <v>1</v>
      </c>
      <c r="AQ361" s="8">
        <v>0</v>
      </c>
      <c r="AR361" s="8">
        <v>1</v>
      </c>
      <c r="AS361" s="8">
        <v>0</v>
      </c>
      <c r="AT361" s="8">
        <v>0</v>
      </c>
      <c r="AU361" s="8">
        <v>0</v>
      </c>
      <c r="AV361" s="8">
        <v>0</v>
      </c>
      <c r="AW361" s="8">
        <v>0</v>
      </c>
      <c r="AX361" s="8">
        <v>0</v>
      </c>
      <c r="AY361" s="8">
        <v>0</v>
      </c>
      <c r="AZ361" s="8">
        <v>0</v>
      </c>
      <c r="BA361" s="8">
        <v>0</v>
      </c>
      <c r="BB361" s="8">
        <v>0</v>
      </c>
      <c r="BC361" s="8">
        <v>0</v>
      </c>
      <c r="BD361" s="8">
        <v>0</v>
      </c>
      <c r="BE361" s="8">
        <v>0</v>
      </c>
      <c r="BF361" s="8">
        <v>0</v>
      </c>
      <c r="BG361" s="8">
        <v>0</v>
      </c>
      <c r="BH361" s="8">
        <v>0</v>
      </c>
      <c r="BI361" s="8">
        <v>0</v>
      </c>
      <c r="BJ361" s="8">
        <v>0</v>
      </c>
      <c r="BK361" s="8">
        <v>0</v>
      </c>
      <c r="BL361" s="8">
        <v>1</v>
      </c>
      <c r="BM361" s="8">
        <v>0</v>
      </c>
      <c r="BN361" s="8">
        <v>0</v>
      </c>
      <c r="BO361" s="8">
        <v>0</v>
      </c>
      <c r="BP361" s="8">
        <v>0</v>
      </c>
      <c r="BQ361" s="8">
        <v>0</v>
      </c>
      <c r="BR361" s="8">
        <v>0</v>
      </c>
      <c r="BS361" s="8">
        <f t="shared" ref="BS361" si="515">SUM(AI361:BR361)</f>
        <v>6</v>
      </c>
      <c r="BT361" s="8"/>
      <c r="BU361" s="2">
        <f t="shared" ref="BU361" si="516">SUM(AI361,BK361)</f>
        <v>0</v>
      </c>
      <c r="BV361" s="2">
        <f t="shared" ref="BV361" si="517">SUM(AK361, AL361, AM361,AJ361,BL361,BO361, AP361)</f>
        <v>4</v>
      </c>
      <c r="BW361" s="2">
        <f t="shared" ref="BW361" si="518">SUM(AN361, AO361, AS361)</f>
        <v>1</v>
      </c>
      <c r="BX361" s="2">
        <f t="shared" ref="BX361" si="519">SUM(AU361,AV361,AW361,AX361,AY361,AZ361,BA361,BB361,BC361,BD361,BE361,BF361,BG361,BH361,BI361,BJ361,BQ361,BR361,BM361)</f>
        <v>0</v>
      </c>
      <c r="BY361" s="2">
        <f t="shared" ref="BY361" si="520">SUM(BP361, BN361)</f>
        <v>0</v>
      </c>
      <c r="BZ361" s="2">
        <f t="shared" ref="BZ361" si="521">SUM(AQ361)</f>
        <v>0</v>
      </c>
      <c r="CA361" s="2">
        <f t="shared" ref="CA361" si="522">SUM(AR361)</f>
        <v>1</v>
      </c>
      <c r="CB361" s="2">
        <f t="shared" ref="CB361" si="523">SUM(AT361)</f>
        <v>0</v>
      </c>
    </row>
    <row r="362" spans="1:80" ht="16" x14ac:dyDescent="0.2">
      <c r="A362" s="3" t="s">
        <v>154</v>
      </c>
      <c r="B362" s="10">
        <v>440</v>
      </c>
      <c r="C362" s="5">
        <v>1</v>
      </c>
      <c r="D362" s="5">
        <v>1</v>
      </c>
      <c r="E362" s="5">
        <v>0</v>
      </c>
      <c r="F362" s="10">
        <v>1995</v>
      </c>
      <c r="G362" s="10" t="s">
        <v>86</v>
      </c>
      <c r="H362" s="7" t="str">
        <f t="shared" si="399"/>
        <v>No</v>
      </c>
      <c r="I362" s="54" t="s">
        <v>55</v>
      </c>
      <c r="J362" s="8">
        <v>0</v>
      </c>
      <c r="K362" s="8"/>
      <c r="L362" s="8"/>
      <c r="M362" s="8"/>
      <c r="N362" s="8"/>
      <c r="O362" s="8"/>
      <c r="P362" s="8"/>
      <c r="Q362" s="8"/>
      <c r="R362" s="9"/>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v>0</v>
      </c>
      <c r="BT362" s="8"/>
      <c r="BU362" s="2">
        <f t="shared" si="437"/>
        <v>0</v>
      </c>
      <c r="BV362" s="2">
        <f t="shared" si="403"/>
        <v>0</v>
      </c>
      <c r="BW362" s="2">
        <f t="shared" si="404"/>
        <v>0</v>
      </c>
      <c r="BX362" s="2">
        <f t="shared" si="407"/>
        <v>0</v>
      </c>
      <c r="BY362" s="2">
        <f t="shared" si="405"/>
        <v>0</v>
      </c>
      <c r="BZ362" s="2">
        <f t="shared" ref="BZ362:CA362" si="524">SUM(AQ362)</f>
        <v>0</v>
      </c>
      <c r="CA362" s="2">
        <f t="shared" si="524"/>
        <v>0</v>
      </c>
      <c r="CB362" s="2">
        <f t="shared" si="431"/>
        <v>0</v>
      </c>
    </row>
    <row r="363" spans="1:80" ht="16" x14ac:dyDescent="0.2">
      <c r="A363" s="3" t="s">
        <v>154</v>
      </c>
      <c r="B363" s="10">
        <v>440</v>
      </c>
      <c r="C363" s="5">
        <v>1</v>
      </c>
      <c r="D363" s="5">
        <v>1</v>
      </c>
      <c r="E363" s="5">
        <v>0</v>
      </c>
      <c r="F363" s="10">
        <v>1995</v>
      </c>
      <c r="G363" s="10">
        <v>2008</v>
      </c>
      <c r="H363" s="7" t="str">
        <f t="shared" si="399"/>
        <v>No</v>
      </c>
      <c r="I363" s="54" t="s">
        <v>55</v>
      </c>
      <c r="J363" s="8">
        <v>0</v>
      </c>
      <c r="K363" s="8"/>
      <c r="L363" s="8"/>
      <c r="M363" s="8"/>
      <c r="N363" s="8"/>
      <c r="O363" s="8"/>
      <c r="P363" s="8"/>
      <c r="Q363" s="8"/>
      <c r="R363" s="6"/>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v>0</v>
      </c>
      <c r="BT363" s="8"/>
      <c r="BU363" s="2">
        <f t="shared" si="437"/>
        <v>0</v>
      </c>
      <c r="BV363" s="2">
        <f t="shared" si="403"/>
        <v>0</v>
      </c>
      <c r="BW363" s="2">
        <f t="shared" si="404"/>
        <v>0</v>
      </c>
      <c r="BX363" s="2">
        <f t="shared" si="407"/>
        <v>0</v>
      </c>
      <c r="BY363" s="2">
        <f t="shared" si="405"/>
        <v>0</v>
      </c>
      <c r="BZ363" s="2">
        <f t="shared" ref="BZ363:CA363" si="525">SUM(AQ363)</f>
        <v>0</v>
      </c>
      <c r="CA363" s="2">
        <f t="shared" si="525"/>
        <v>0</v>
      </c>
      <c r="CB363" s="2">
        <f t="shared" si="431"/>
        <v>0</v>
      </c>
    </row>
    <row r="364" spans="1:80" ht="16" x14ac:dyDescent="0.2">
      <c r="A364" s="3" t="s">
        <v>154</v>
      </c>
      <c r="B364" s="10">
        <v>440</v>
      </c>
      <c r="C364" s="5">
        <v>1</v>
      </c>
      <c r="D364" s="5">
        <v>1</v>
      </c>
      <c r="E364" s="5">
        <v>0</v>
      </c>
      <c r="F364" s="10">
        <v>1995</v>
      </c>
      <c r="G364" s="10" t="s">
        <v>91</v>
      </c>
      <c r="H364" s="7" t="str">
        <f t="shared" si="399"/>
        <v>Yes</v>
      </c>
      <c r="I364" s="54" t="s">
        <v>56</v>
      </c>
      <c r="J364" s="8">
        <v>1</v>
      </c>
      <c r="K364" s="8" t="s">
        <v>63</v>
      </c>
      <c r="L364" s="8" t="s">
        <v>151</v>
      </c>
      <c r="M364" s="8" t="s">
        <v>151</v>
      </c>
      <c r="N364" s="8">
        <v>0</v>
      </c>
      <c r="O364" s="8">
        <v>0</v>
      </c>
      <c r="P364" s="8">
        <v>1</v>
      </c>
      <c r="Q364" s="8" t="s">
        <v>146</v>
      </c>
      <c r="R364" s="9">
        <v>0.05</v>
      </c>
      <c r="S364" s="8">
        <v>1</v>
      </c>
      <c r="T364" s="8">
        <v>0</v>
      </c>
      <c r="U364" s="8">
        <v>1</v>
      </c>
      <c r="V364" s="8">
        <v>0</v>
      </c>
      <c r="W364" s="8">
        <v>1</v>
      </c>
      <c r="X364" s="8">
        <v>0</v>
      </c>
      <c r="Y364" s="8">
        <v>0</v>
      </c>
      <c r="Z364" s="8">
        <v>1</v>
      </c>
      <c r="AA364" s="8" t="s">
        <v>155</v>
      </c>
      <c r="AB364" s="8">
        <v>0</v>
      </c>
      <c r="AC364" s="8">
        <v>0</v>
      </c>
      <c r="AD364" s="8">
        <v>0</v>
      </c>
      <c r="AE364" s="8">
        <v>1</v>
      </c>
      <c r="AF364" s="8">
        <v>0</v>
      </c>
      <c r="AG364" s="8">
        <v>1</v>
      </c>
      <c r="AH364" s="8">
        <v>0</v>
      </c>
      <c r="AI364" s="8">
        <v>1</v>
      </c>
      <c r="AJ364" s="8">
        <v>1</v>
      </c>
      <c r="AK364" s="8">
        <v>1</v>
      </c>
      <c r="AL364" s="8">
        <v>1</v>
      </c>
      <c r="AM364" s="8">
        <v>1</v>
      </c>
      <c r="AN364" s="8">
        <v>0</v>
      </c>
      <c r="AO364" s="8">
        <v>0</v>
      </c>
      <c r="AP364" s="8">
        <v>0</v>
      </c>
      <c r="AQ364" s="8">
        <v>0</v>
      </c>
      <c r="AR364" s="8">
        <v>0</v>
      </c>
      <c r="AS364" s="8">
        <v>0</v>
      </c>
      <c r="AT364" s="8">
        <v>0</v>
      </c>
      <c r="AU364" s="8">
        <v>0</v>
      </c>
      <c r="AV364" s="8">
        <v>0</v>
      </c>
      <c r="AW364" s="8">
        <v>0</v>
      </c>
      <c r="AX364" s="8">
        <v>0</v>
      </c>
      <c r="AY364" s="8">
        <v>0</v>
      </c>
      <c r="AZ364" s="8">
        <v>0</v>
      </c>
      <c r="BA364" s="8">
        <v>0</v>
      </c>
      <c r="BB364" s="8">
        <v>0</v>
      </c>
      <c r="BC364" s="8">
        <v>0</v>
      </c>
      <c r="BD364" s="8">
        <v>0</v>
      </c>
      <c r="BE364" s="8">
        <v>0</v>
      </c>
      <c r="BF364" s="8">
        <v>0</v>
      </c>
      <c r="BG364" s="8">
        <v>0</v>
      </c>
      <c r="BH364" s="8">
        <v>0</v>
      </c>
      <c r="BI364" s="8">
        <v>0</v>
      </c>
      <c r="BJ364" s="8">
        <v>0</v>
      </c>
      <c r="BK364" s="8">
        <v>0</v>
      </c>
      <c r="BL364" s="8">
        <v>1</v>
      </c>
      <c r="BM364" s="8">
        <v>1</v>
      </c>
      <c r="BN364" s="8">
        <v>1</v>
      </c>
      <c r="BO364" s="8">
        <v>0</v>
      </c>
      <c r="BP364" s="8">
        <v>0</v>
      </c>
      <c r="BQ364" s="8">
        <v>0</v>
      </c>
      <c r="BR364" s="8">
        <v>0</v>
      </c>
      <c r="BS364" s="8">
        <f t="shared" ref="BS364:BS637" si="526">SUM(AI364:BR364)</f>
        <v>8</v>
      </c>
      <c r="BT364" s="8"/>
      <c r="BU364" s="2">
        <f t="shared" si="437"/>
        <v>1</v>
      </c>
      <c r="BV364" s="2">
        <f t="shared" si="403"/>
        <v>5</v>
      </c>
      <c r="BW364" s="2">
        <f t="shared" si="404"/>
        <v>0</v>
      </c>
      <c r="BX364" s="2">
        <f t="shared" si="407"/>
        <v>1</v>
      </c>
      <c r="BY364" s="2">
        <f t="shared" si="405"/>
        <v>1</v>
      </c>
      <c r="BZ364" s="2">
        <f t="shared" ref="BZ364:CA364" si="527">SUM(AQ364)</f>
        <v>0</v>
      </c>
      <c r="CA364" s="2">
        <f t="shared" si="527"/>
        <v>0</v>
      </c>
      <c r="CB364" s="2">
        <f t="shared" si="431"/>
        <v>0</v>
      </c>
    </row>
    <row r="365" spans="1:80" ht="16" x14ac:dyDescent="0.2">
      <c r="A365" s="3" t="s">
        <v>154</v>
      </c>
      <c r="B365" s="10">
        <v>440</v>
      </c>
      <c r="C365" s="5">
        <v>1</v>
      </c>
      <c r="D365" s="5">
        <v>1</v>
      </c>
      <c r="E365" s="5">
        <v>0</v>
      </c>
      <c r="F365" s="10">
        <v>1995</v>
      </c>
      <c r="G365" s="10" t="s">
        <v>93</v>
      </c>
      <c r="H365" s="7" t="str">
        <f t="shared" si="399"/>
        <v>No</v>
      </c>
      <c r="I365" s="54" t="s">
        <v>55</v>
      </c>
      <c r="J365" s="8">
        <v>1</v>
      </c>
      <c r="K365" s="8" t="s">
        <v>63</v>
      </c>
      <c r="L365" s="8" t="s">
        <v>151</v>
      </c>
      <c r="M365" s="8" t="s">
        <v>151</v>
      </c>
      <c r="N365" s="8">
        <v>0</v>
      </c>
      <c r="O365" s="8">
        <v>0</v>
      </c>
      <c r="P365" s="8">
        <v>1</v>
      </c>
      <c r="Q365" s="8" t="s">
        <v>146</v>
      </c>
      <c r="R365" s="9">
        <v>0.05</v>
      </c>
      <c r="S365" s="8">
        <v>1</v>
      </c>
      <c r="T365" s="8">
        <v>0</v>
      </c>
      <c r="U365" s="8">
        <v>1</v>
      </c>
      <c r="V365" s="8">
        <v>0</v>
      </c>
      <c r="W365" s="8">
        <v>1</v>
      </c>
      <c r="X365" s="8">
        <v>0</v>
      </c>
      <c r="Y365" s="8">
        <v>0</v>
      </c>
      <c r="Z365" s="8">
        <v>1</v>
      </c>
      <c r="AA365" s="8" t="s">
        <v>155</v>
      </c>
      <c r="AB365" s="8">
        <v>0</v>
      </c>
      <c r="AC365" s="8">
        <v>0</v>
      </c>
      <c r="AD365" s="8">
        <v>0</v>
      </c>
      <c r="AE365" s="8">
        <v>1</v>
      </c>
      <c r="AF365" s="8">
        <v>0</v>
      </c>
      <c r="AG365" s="8">
        <v>1</v>
      </c>
      <c r="AH365" s="8">
        <v>0</v>
      </c>
      <c r="AI365" s="8">
        <v>1</v>
      </c>
      <c r="AJ365" s="8">
        <v>1</v>
      </c>
      <c r="AK365" s="8">
        <v>1</v>
      </c>
      <c r="AL365" s="8">
        <v>1</v>
      </c>
      <c r="AM365" s="8">
        <v>1</v>
      </c>
      <c r="AN365" s="8">
        <v>0</v>
      </c>
      <c r="AO365" s="8">
        <v>0</v>
      </c>
      <c r="AP365" s="8">
        <v>0</v>
      </c>
      <c r="AQ365" s="8">
        <v>0</v>
      </c>
      <c r="AR365" s="8">
        <v>0</v>
      </c>
      <c r="AS365" s="8">
        <v>0</v>
      </c>
      <c r="AT365" s="8">
        <v>0</v>
      </c>
      <c r="AU365" s="8">
        <v>0</v>
      </c>
      <c r="AV365" s="8">
        <v>0</v>
      </c>
      <c r="AW365" s="8">
        <v>0</v>
      </c>
      <c r="AX365" s="8">
        <v>0</v>
      </c>
      <c r="AY365" s="8">
        <v>0</v>
      </c>
      <c r="AZ365" s="8">
        <v>0</v>
      </c>
      <c r="BA365" s="8">
        <v>0</v>
      </c>
      <c r="BB365" s="8">
        <v>0</v>
      </c>
      <c r="BC365" s="8">
        <v>0</v>
      </c>
      <c r="BD365" s="8">
        <v>0</v>
      </c>
      <c r="BE365" s="8">
        <v>0</v>
      </c>
      <c r="BF365" s="8">
        <v>0</v>
      </c>
      <c r="BG365" s="8">
        <v>0</v>
      </c>
      <c r="BH365" s="8">
        <v>0</v>
      </c>
      <c r="BI365" s="8">
        <v>0</v>
      </c>
      <c r="BJ365" s="8">
        <v>0</v>
      </c>
      <c r="BK365" s="8">
        <v>0</v>
      </c>
      <c r="BL365" s="8">
        <v>1</v>
      </c>
      <c r="BM365" s="8">
        <v>1</v>
      </c>
      <c r="BN365" s="8">
        <v>1</v>
      </c>
      <c r="BO365" s="8">
        <v>0</v>
      </c>
      <c r="BP365" s="8">
        <v>0</v>
      </c>
      <c r="BQ365" s="8">
        <v>0</v>
      </c>
      <c r="BR365" s="8">
        <v>0</v>
      </c>
      <c r="BS365" s="8">
        <f t="shared" si="526"/>
        <v>8</v>
      </c>
      <c r="BT365" s="8"/>
      <c r="BU365" s="2">
        <f t="shared" si="437"/>
        <v>1</v>
      </c>
      <c r="BV365" s="2">
        <f t="shared" si="403"/>
        <v>5</v>
      </c>
      <c r="BW365" s="2">
        <f t="shared" si="404"/>
        <v>0</v>
      </c>
      <c r="BX365" s="2">
        <f t="shared" si="407"/>
        <v>1</v>
      </c>
      <c r="BY365" s="2">
        <f t="shared" si="405"/>
        <v>1</v>
      </c>
      <c r="BZ365" s="2">
        <f t="shared" ref="BZ365:CA365" si="528">SUM(AQ365)</f>
        <v>0</v>
      </c>
      <c r="CA365" s="2">
        <f t="shared" si="528"/>
        <v>0</v>
      </c>
      <c r="CB365" s="2">
        <f t="shared" si="431"/>
        <v>0</v>
      </c>
    </row>
    <row r="366" spans="1:80" ht="16" x14ac:dyDescent="0.2">
      <c r="A366" s="3" t="s">
        <v>154</v>
      </c>
      <c r="B366" s="10">
        <v>440</v>
      </c>
      <c r="C366" s="5">
        <v>1</v>
      </c>
      <c r="D366" s="5">
        <v>1</v>
      </c>
      <c r="E366" s="5">
        <v>0</v>
      </c>
      <c r="F366" s="10">
        <v>1995</v>
      </c>
      <c r="G366" s="10" t="s">
        <v>70</v>
      </c>
      <c r="H366" s="7" t="str">
        <f t="shared" si="399"/>
        <v>No</v>
      </c>
      <c r="I366" s="54" t="s">
        <v>55</v>
      </c>
      <c r="J366" s="8">
        <v>1</v>
      </c>
      <c r="K366" s="8" t="s">
        <v>63</v>
      </c>
      <c r="L366" s="8" t="s">
        <v>151</v>
      </c>
      <c r="M366" s="8" t="s">
        <v>151</v>
      </c>
      <c r="N366" s="8">
        <v>0</v>
      </c>
      <c r="O366" s="8">
        <v>0</v>
      </c>
      <c r="P366" s="8">
        <v>1</v>
      </c>
      <c r="Q366" s="8" t="s">
        <v>146</v>
      </c>
      <c r="R366" s="9">
        <v>0.05</v>
      </c>
      <c r="S366" s="8">
        <v>1</v>
      </c>
      <c r="T366" s="8">
        <v>0</v>
      </c>
      <c r="U366" s="8">
        <v>1</v>
      </c>
      <c r="V366" s="8">
        <v>0</v>
      </c>
      <c r="W366" s="8">
        <v>1</v>
      </c>
      <c r="X366" s="8">
        <v>0</v>
      </c>
      <c r="Y366" s="8">
        <v>0</v>
      </c>
      <c r="Z366" s="8">
        <v>1</v>
      </c>
      <c r="AA366" s="8" t="s">
        <v>155</v>
      </c>
      <c r="AB366" s="8">
        <v>0</v>
      </c>
      <c r="AC366" s="8">
        <v>0</v>
      </c>
      <c r="AD366" s="8">
        <v>0</v>
      </c>
      <c r="AE366" s="8">
        <v>1</v>
      </c>
      <c r="AF366" s="8">
        <v>0</v>
      </c>
      <c r="AG366" s="8">
        <v>1</v>
      </c>
      <c r="AH366" s="8">
        <v>0</v>
      </c>
      <c r="AI366" s="8">
        <v>1</v>
      </c>
      <c r="AJ366" s="8">
        <v>1</v>
      </c>
      <c r="AK366" s="8">
        <v>1</v>
      </c>
      <c r="AL366" s="8">
        <v>1</v>
      </c>
      <c r="AM366" s="8">
        <v>1</v>
      </c>
      <c r="AN366" s="8">
        <v>0</v>
      </c>
      <c r="AO366" s="8">
        <v>0</v>
      </c>
      <c r="AP366" s="8">
        <v>0</v>
      </c>
      <c r="AQ366" s="8">
        <v>0</v>
      </c>
      <c r="AR366" s="8">
        <v>0</v>
      </c>
      <c r="AS366" s="8">
        <v>0</v>
      </c>
      <c r="AT366" s="8">
        <v>0</v>
      </c>
      <c r="AU366" s="8">
        <v>0</v>
      </c>
      <c r="AV366" s="8">
        <v>0</v>
      </c>
      <c r="AW366" s="8">
        <v>0</v>
      </c>
      <c r="AX366" s="8">
        <v>0</v>
      </c>
      <c r="AY366" s="8">
        <v>0</v>
      </c>
      <c r="AZ366" s="8">
        <v>0</v>
      </c>
      <c r="BA366" s="8">
        <v>0</v>
      </c>
      <c r="BB366" s="8">
        <v>0</v>
      </c>
      <c r="BC366" s="8">
        <v>0</v>
      </c>
      <c r="BD366" s="8">
        <v>0</v>
      </c>
      <c r="BE366" s="8">
        <v>0</v>
      </c>
      <c r="BF366" s="8">
        <v>0</v>
      </c>
      <c r="BG366" s="8">
        <v>0</v>
      </c>
      <c r="BH366" s="8">
        <v>0</v>
      </c>
      <c r="BI366" s="8">
        <v>0</v>
      </c>
      <c r="BJ366" s="8">
        <v>0</v>
      </c>
      <c r="BK366" s="8">
        <v>0</v>
      </c>
      <c r="BL366" s="8">
        <v>1</v>
      </c>
      <c r="BM366" s="8">
        <v>1</v>
      </c>
      <c r="BN366" s="8">
        <v>1</v>
      </c>
      <c r="BO366" s="8">
        <v>0</v>
      </c>
      <c r="BP366" s="8">
        <v>0</v>
      </c>
      <c r="BQ366" s="8">
        <v>0</v>
      </c>
      <c r="BR366" s="8">
        <v>0</v>
      </c>
      <c r="BS366" s="8">
        <f t="shared" si="526"/>
        <v>8</v>
      </c>
      <c r="BT366" s="8"/>
      <c r="BU366" s="2">
        <f t="shared" si="437"/>
        <v>1</v>
      </c>
      <c r="BV366" s="2">
        <f t="shared" si="403"/>
        <v>5</v>
      </c>
      <c r="BW366" s="2">
        <f t="shared" si="404"/>
        <v>0</v>
      </c>
      <c r="BX366" s="2">
        <f t="shared" si="407"/>
        <v>1</v>
      </c>
      <c r="BY366" s="2">
        <f t="shared" si="405"/>
        <v>1</v>
      </c>
      <c r="BZ366" s="2">
        <f t="shared" ref="BZ366:CA366" si="529">SUM(AQ366)</f>
        <v>0</v>
      </c>
      <c r="CA366" s="2">
        <f t="shared" si="529"/>
        <v>0</v>
      </c>
      <c r="CB366" s="2">
        <f t="shared" si="431"/>
        <v>0</v>
      </c>
    </row>
    <row r="367" spans="1:80" ht="16" x14ac:dyDescent="0.2">
      <c r="A367" s="3" t="s">
        <v>154</v>
      </c>
      <c r="B367" s="10">
        <v>440</v>
      </c>
      <c r="C367" s="5">
        <v>1</v>
      </c>
      <c r="D367" s="5">
        <v>1</v>
      </c>
      <c r="E367" s="5">
        <v>0</v>
      </c>
      <c r="F367" s="10">
        <v>1995</v>
      </c>
      <c r="G367" s="10" t="s">
        <v>71</v>
      </c>
      <c r="H367" s="7" t="str">
        <f t="shared" si="399"/>
        <v>No</v>
      </c>
      <c r="I367" s="54" t="s">
        <v>55</v>
      </c>
      <c r="J367" s="8">
        <v>1</v>
      </c>
      <c r="K367" s="8" t="s">
        <v>63</v>
      </c>
      <c r="L367" s="8" t="s">
        <v>151</v>
      </c>
      <c r="M367" s="8" t="s">
        <v>151</v>
      </c>
      <c r="N367" s="8">
        <v>0</v>
      </c>
      <c r="O367" s="8">
        <v>0</v>
      </c>
      <c r="P367" s="8">
        <v>1</v>
      </c>
      <c r="Q367" s="8" t="s">
        <v>146</v>
      </c>
      <c r="R367" s="9">
        <v>0.05</v>
      </c>
      <c r="S367" s="8">
        <v>1</v>
      </c>
      <c r="T367" s="8">
        <v>0</v>
      </c>
      <c r="U367" s="8">
        <v>1</v>
      </c>
      <c r="V367" s="8">
        <v>0</v>
      </c>
      <c r="W367" s="8">
        <v>1</v>
      </c>
      <c r="X367" s="8">
        <v>0</v>
      </c>
      <c r="Y367" s="8">
        <v>0</v>
      </c>
      <c r="Z367" s="8">
        <v>1</v>
      </c>
      <c r="AA367" s="8" t="s">
        <v>155</v>
      </c>
      <c r="AB367" s="8">
        <v>0</v>
      </c>
      <c r="AC367" s="8">
        <v>0</v>
      </c>
      <c r="AD367" s="8">
        <v>0</v>
      </c>
      <c r="AE367" s="8">
        <v>1</v>
      </c>
      <c r="AF367" s="8">
        <v>0</v>
      </c>
      <c r="AG367" s="8">
        <v>1</v>
      </c>
      <c r="AH367" s="8">
        <v>0</v>
      </c>
      <c r="AI367" s="8">
        <v>1</v>
      </c>
      <c r="AJ367" s="8">
        <v>1</v>
      </c>
      <c r="AK367" s="8">
        <v>1</v>
      </c>
      <c r="AL367" s="8">
        <v>1</v>
      </c>
      <c r="AM367" s="8">
        <v>1</v>
      </c>
      <c r="AN367" s="8">
        <v>0</v>
      </c>
      <c r="AO367" s="8">
        <v>0</v>
      </c>
      <c r="AP367" s="8">
        <v>0</v>
      </c>
      <c r="AQ367" s="8">
        <v>0</v>
      </c>
      <c r="AR367" s="8">
        <v>0</v>
      </c>
      <c r="AS367" s="8">
        <v>0</v>
      </c>
      <c r="AT367" s="8">
        <v>0</v>
      </c>
      <c r="AU367" s="8">
        <v>0</v>
      </c>
      <c r="AV367" s="8">
        <v>0</v>
      </c>
      <c r="AW367" s="8">
        <v>0</v>
      </c>
      <c r="AX367" s="8">
        <v>0</v>
      </c>
      <c r="AY367" s="8">
        <v>0</v>
      </c>
      <c r="AZ367" s="8">
        <v>0</v>
      </c>
      <c r="BA367" s="8">
        <v>0</v>
      </c>
      <c r="BB367" s="8">
        <v>0</v>
      </c>
      <c r="BC367" s="8">
        <v>0</v>
      </c>
      <c r="BD367" s="8">
        <v>0</v>
      </c>
      <c r="BE367" s="8">
        <v>0</v>
      </c>
      <c r="BF367" s="8">
        <v>0</v>
      </c>
      <c r="BG367" s="8">
        <v>0</v>
      </c>
      <c r="BH367" s="8">
        <v>0</v>
      </c>
      <c r="BI367" s="8">
        <v>0</v>
      </c>
      <c r="BJ367" s="8">
        <v>0</v>
      </c>
      <c r="BK367" s="8">
        <v>0</v>
      </c>
      <c r="BL367" s="8">
        <v>1</v>
      </c>
      <c r="BM367" s="8">
        <v>1</v>
      </c>
      <c r="BN367" s="8">
        <v>1</v>
      </c>
      <c r="BO367" s="8">
        <v>0</v>
      </c>
      <c r="BP367" s="8">
        <v>0</v>
      </c>
      <c r="BQ367" s="8">
        <v>0</v>
      </c>
      <c r="BR367" s="8">
        <v>0</v>
      </c>
      <c r="BS367" s="8">
        <f t="shared" si="526"/>
        <v>8</v>
      </c>
      <c r="BT367" s="8"/>
      <c r="BU367" s="2">
        <f t="shared" si="437"/>
        <v>1</v>
      </c>
      <c r="BV367" s="2">
        <f t="shared" si="403"/>
        <v>5</v>
      </c>
      <c r="BW367" s="2">
        <f t="shared" si="404"/>
        <v>0</v>
      </c>
      <c r="BX367" s="2">
        <f t="shared" si="407"/>
        <v>1</v>
      </c>
      <c r="BY367" s="2">
        <f t="shared" si="405"/>
        <v>1</v>
      </c>
      <c r="BZ367" s="2">
        <f t="shared" ref="BZ367:CA367" si="530">SUM(AQ367)</f>
        <v>0</v>
      </c>
      <c r="CA367" s="2">
        <f t="shared" si="530"/>
        <v>0</v>
      </c>
      <c r="CB367" s="2">
        <f t="shared" si="431"/>
        <v>0</v>
      </c>
    </row>
    <row r="368" spans="1:80" ht="16" x14ac:dyDescent="0.2">
      <c r="A368" s="3" t="s">
        <v>154</v>
      </c>
      <c r="B368" s="10">
        <v>440</v>
      </c>
      <c r="C368" s="5">
        <v>1</v>
      </c>
      <c r="D368" s="5">
        <v>1</v>
      </c>
      <c r="E368" s="5">
        <v>0</v>
      </c>
      <c r="F368" s="10">
        <v>1995</v>
      </c>
      <c r="G368" s="10" t="s">
        <v>72</v>
      </c>
      <c r="H368" s="7" t="str">
        <f t="shared" si="399"/>
        <v>No</v>
      </c>
      <c r="I368" s="54" t="s">
        <v>55</v>
      </c>
      <c r="J368" s="8">
        <v>1</v>
      </c>
      <c r="K368" s="8" t="s">
        <v>63</v>
      </c>
      <c r="L368" s="8" t="s">
        <v>151</v>
      </c>
      <c r="M368" s="8" t="s">
        <v>151</v>
      </c>
      <c r="N368" s="8">
        <v>0</v>
      </c>
      <c r="O368" s="8">
        <v>0</v>
      </c>
      <c r="P368" s="8">
        <v>1</v>
      </c>
      <c r="Q368" s="8" t="s">
        <v>146</v>
      </c>
      <c r="R368" s="9">
        <v>0.05</v>
      </c>
      <c r="S368" s="8">
        <v>1</v>
      </c>
      <c r="T368" s="8">
        <v>0</v>
      </c>
      <c r="U368" s="8">
        <v>1</v>
      </c>
      <c r="V368" s="8">
        <v>0</v>
      </c>
      <c r="W368" s="8">
        <v>1</v>
      </c>
      <c r="X368" s="8">
        <v>0</v>
      </c>
      <c r="Y368" s="8">
        <v>0</v>
      </c>
      <c r="Z368" s="8">
        <v>1</v>
      </c>
      <c r="AA368" s="8" t="s">
        <v>155</v>
      </c>
      <c r="AB368" s="8">
        <v>0</v>
      </c>
      <c r="AC368" s="8">
        <v>0</v>
      </c>
      <c r="AD368" s="8">
        <v>0</v>
      </c>
      <c r="AE368" s="8">
        <v>1</v>
      </c>
      <c r="AF368" s="8">
        <v>0</v>
      </c>
      <c r="AG368" s="8">
        <v>1</v>
      </c>
      <c r="AH368" s="8">
        <v>0</v>
      </c>
      <c r="AI368" s="8">
        <v>1</v>
      </c>
      <c r="AJ368" s="8">
        <v>1</v>
      </c>
      <c r="AK368" s="8">
        <v>1</v>
      </c>
      <c r="AL368" s="8">
        <v>1</v>
      </c>
      <c r="AM368" s="8">
        <v>1</v>
      </c>
      <c r="AN368" s="8">
        <v>0</v>
      </c>
      <c r="AO368" s="8">
        <v>0</v>
      </c>
      <c r="AP368" s="8">
        <v>0</v>
      </c>
      <c r="AQ368" s="8">
        <v>0</v>
      </c>
      <c r="AR368" s="8">
        <v>0</v>
      </c>
      <c r="AS368" s="8">
        <v>0</v>
      </c>
      <c r="AT368" s="8">
        <v>0</v>
      </c>
      <c r="AU368" s="8">
        <v>0</v>
      </c>
      <c r="AV368" s="8">
        <v>0</v>
      </c>
      <c r="AW368" s="8">
        <v>0</v>
      </c>
      <c r="AX368" s="8">
        <v>0</v>
      </c>
      <c r="AY368" s="8">
        <v>0</v>
      </c>
      <c r="AZ368" s="8">
        <v>0</v>
      </c>
      <c r="BA368" s="8">
        <v>0</v>
      </c>
      <c r="BB368" s="8">
        <v>0</v>
      </c>
      <c r="BC368" s="8">
        <v>0</v>
      </c>
      <c r="BD368" s="8">
        <v>0</v>
      </c>
      <c r="BE368" s="8">
        <v>0</v>
      </c>
      <c r="BF368" s="8">
        <v>0</v>
      </c>
      <c r="BG368" s="8">
        <v>0</v>
      </c>
      <c r="BH368" s="8">
        <v>0</v>
      </c>
      <c r="BI368" s="8">
        <v>0</v>
      </c>
      <c r="BJ368" s="8">
        <v>0</v>
      </c>
      <c r="BK368" s="8">
        <v>0</v>
      </c>
      <c r="BL368" s="8">
        <v>1</v>
      </c>
      <c r="BM368" s="8">
        <v>1</v>
      </c>
      <c r="BN368" s="8">
        <v>1</v>
      </c>
      <c r="BO368" s="8">
        <v>0</v>
      </c>
      <c r="BP368" s="8">
        <v>0</v>
      </c>
      <c r="BQ368" s="8">
        <v>0</v>
      </c>
      <c r="BR368" s="8">
        <v>0</v>
      </c>
      <c r="BS368" s="8">
        <f t="shared" si="526"/>
        <v>8</v>
      </c>
      <c r="BT368" s="8"/>
      <c r="BU368" s="2">
        <f t="shared" si="437"/>
        <v>1</v>
      </c>
      <c r="BV368" s="2">
        <f t="shared" si="403"/>
        <v>5</v>
      </c>
      <c r="BW368" s="2">
        <f t="shared" si="404"/>
        <v>0</v>
      </c>
      <c r="BX368" s="2">
        <f t="shared" si="407"/>
        <v>1</v>
      </c>
      <c r="BY368" s="2">
        <f t="shared" si="405"/>
        <v>1</v>
      </c>
      <c r="BZ368" s="2">
        <f t="shared" ref="BZ368:CA368" si="531">SUM(AQ368)</f>
        <v>0</v>
      </c>
      <c r="CA368" s="2">
        <f t="shared" si="531"/>
        <v>0</v>
      </c>
      <c r="CB368" s="2">
        <f t="shared" si="431"/>
        <v>0</v>
      </c>
    </row>
    <row r="369" spans="1:80" ht="16" x14ac:dyDescent="0.2">
      <c r="A369" s="3" t="s">
        <v>154</v>
      </c>
      <c r="B369" s="10">
        <v>440</v>
      </c>
      <c r="C369" s="5">
        <v>1</v>
      </c>
      <c r="D369" s="5">
        <v>1</v>
      </c>
      <c r="E369" s="5">
        <v>0</v>
      </c>
      <c r="F369" s="10">
        <v>1995</v>
      </c>
      <c r="G369" s="10" t="s">
        <v>73</v>
      </c>
      <c r="H369" s="7" t="str">
        <f t="shared" si="399"/>
        <v>Yes</v>
      </c>
      <c r="I369" s="54" t="s">
        <v>56</v>
      </c>
      <c r="J369" s="8">
        <v>1</v>
      </c>
      <c r="K369" s="8" t="s">
        <v>63</v>
      </c>
      <c r="L369" s="8" t="s">
        <v>151</v>
      </c>
      <c r="M369" s="8" t="s">
        <v>151</v>
      </c>
      <c r="N369" s="8">
        <v>1</v>
      </c>
      <c r="O369" s="8">
        <v>0</v>
      </c>
      <c r="P369" s="8">
        <v>1</v>
      </c>
      <c r="Q369" s="8" t="s">
        <v>58</v>
      </c>
      <c r="R369" s="9">
        <v>0.05</v>
      </c>
      <c r="S369" s="8">
        <v>1</v>
      </c>
      <c r="T369" s="8">
        <v>0</v>
      </c>
      <c r="U369" s="8">
        <v>1</v>
      </c>
      <c r="V369" s="8">
        <v>0</v>
      </c>
      <c r="W369" s="8">
        <v>1</v>
      </c>
      <c r="X369" s="8">
        <v>0</v>
      </c>
      <c r="Y369" s="8">
        <v>0</v>
      </c>
      <c r="Z369" s="8">
        <v>1</v>
      </c>
      <c r="AA369" s="8" t="s">
        <v>155</v>
      </c>
      <c r="AB369" s="8">
        <v>0</v>
      </c>
      <c r="AC369" s="8">
        <v>0</v>
      </c>
      <c r="AD369" s="8">
        <v>0</v>
      </c>
      <c r="AE369" s="8">
        <v>1</v>
      </c>
      <c r="AF369" s="8">
        <v>0</v>
      </c>
      <c r="AG369" s="8">
        <v>0</v>
      </c>
      <c r="AH369" s="8">
        <v>0</v>
      </c>
      <c r="AI369" s="8">
        <v>1</v>
      </c>
      <c r="AJ369" s="8">
        <v>1</v>
      </c>
      <c r="AK369" s="8">
        <v>1</v>
      </c>
      <c r="AL369" s="8">
        <v>1</v>
      </c>
      <c r="AM369" s="8">
        <v>1</v>
      </c>
      <c r="AN369" s="8">
        <v>0</v>
      </c>
      <c r="AO369" s="8">
        <v>0</v>
      </c>
      <c r="AP369" s="8">
        <v>0</v>
      </c>
      <c r="AQ369" s="8">
        <v>1</v>
      </c>
      <c r="AR369" s="8">
        <v>0</v>
      </c>
      <c r="AS369" s="8">
        <v>0</v>
      </c>
      <c r="AT369" s="8">
        <v>0</v>
      </c>
      <c r="AU369" s="8">
        <v>0</v>
      </c>
      <c r="AV369" s="8">
        <v>0</v>
      </c>
      <c r="AW369" s="8">
        <v>0</v>
      </c>
      <c r="AX369" s="8">
        <v>0</v>
      </c>
      <c r="AY369" s="8">
        <v>0</v>
      </c>
      <c r="AZ369" s="8">
        <v>0</v>
      </c>
      <c r="BA369" s="8">
        <v>0</v>
      </c>
      <c r="BB369" s="8">
        <v>1</v>
      </c>
      <c r="BC369" s="8">
        <v>0</v>
      </c>
      <c r="BD369" s="8">
        <v>0</v>
      </c>
      <c r="BE369" s="8">
        <v>0</v>
      </c>
      <c r="BF369" s="8">
        <v>0</v>
      </c>
      <c r="BG369" s="8">
        <v>0</v>
      </c>
      <c r="BH369" s="8">
        <v>0</v>
      </c>
      <c r="BI369" s="8">
        <v>0</v>
      </c>
      <c r="BJ369" s="8">
        <v>0</v>
      </c>
      <c r="BK369" s="8">
        <v>0</v>
      </c>
      <c r="BL369" s="8">
        <v>1</v>
      </c>
      <c r="BM369" s="8">
        <v>1</v>
      </c>
      <c r="BN369" s="8">
        <v>1</v>
      </c>
      <c r="BO369" s="8">
        <v>0</v>
      </c>
      <c r="BP369" s="8">
        <v>0</v>
      </c>
      <c r="BQ369" s="8">
        <v>0</v>
      </c>
      <c r="BR369" s="8">
        <v>0</v>
      </c>
      <c r="BS369" s="8">
        <f t="shared" si="526"/>
        <v>10</v>
      </c>
      <c r="BT369" s="8"/>
      <c r="BU369" s="2">
        <f t="shared" si="437"/>
        <v>1</v>
      </c>
      <c r="BV369" s="2">
        <f t="shared" si="403"/>
        <v>5</v>
      </c>
      <c r="BW369" s="2">
        <f t="shared" si="404"/>
        <v>0</v>
      </c>
      <c r="BX369" s="2">
        <f t="shared" si="407"/>
        <v>2</v>
      </c>
      <c r="BY369" s="2">
        <f t="shared" si="405"/>
        <v>1</v>
      </c>
      <c r="BZ369" s="2">
        <f t="shared" ref="BZ369:CA369" si="532">SUM(AQ369)</f>
        <v>1</v>
      </c>
      <c r="CA369" s="2">
        <f t="shared" si="532"/>
        <v>0</v>
      </c>
      <c r="CB369" s="2">
        <f t="shared" si="431"/>
        <v>0</v>
      </c>
    </row>
    <row r="370" spans="1:80" ht="16" x14ac:dyDescent="0.2">
      <c r="A370" s="3" t="s">
        <v>154</v>
      </c>
      <c r="B370" s="10">
        <v>440</v>
      </c>
      <c r="C370" s="5">
        <v>1</v>
      </c>
      <c r="D370" s="5">
        <v>1</v>
      </c>
      <c r="E370" s="5">
        <v>0</v>
      </c>
      <c r="F370" s="10">
        <v>1995</v>
      </c>
      <c r="G370" s="10" t="s">
        <v>74</v>
      </c>
      <c r="H370" s="7" t="str">
        <f t="shared" si="399"/>
        <v>No</v>
      </c>
      <c r="I370" s="54" t="s">
        <v>55</v>
      </c>
      <c r="J370" s="8">
        <v>1</v>
      </c>
      <c r="K370" s="8" t="s">
        <v>63</v>
      </c>
      <c r="L370" s="8" t="s">
        <v>151</v>
      </c>
      <c r="M370" s="8" t="s">
        <v>151</v>
      </c>
      <c r="N370" s="8">
        <v>1</v>
      </c>
      <c r="O370" s="8">
        <v>0</v>
      </c>
      <c r="P370" s="8">
        <v>1</v>
      </c>
      <c r="Q370" s="8" t="s">
        <v>58</v>
      </c>
      <c r="R370" s="9">
        <v>0.05</v>
      </c>
      <c r="S370" s="8">
        <v>1</v>
      </c>
      <c r="T370" s="8">
        <v>0</v>
      </c>
      <c r="U370" s="8">
        <v>1</v>
      </c>
      <c r="V370" s="8">
        <v>0</v>
      </c>
      <c r="W370" s="8">
        <v>1</v>
      </c>
      <c r="X370" s="8">
        <v>0</v>
      </c>
      <c r="Y370" s="8">
        <v>0</v>
      </c>
      <c r="Z370" s="8">
        <v>1</v>
      </c>
      <c r="AA370" s="8" t="s">
        <v>155</v>
      </c>
      <c r="AB370" s="8">
        <v>0</v>
      </c>
      <c r="AC370" s="8">
        <v>0</v>
      </c>
      <c r="AD370" s="8">
        <v>0</v>
      </c>
      <c r="AE370" s="8">
        <v>1</v>
      </c>
      <c r="AF370" s="8">
        <v>0</v>
      </c>
      <c r="AG370" s="8">
        <v>0</v>
      </c>
      <c r="AH370" s="8">
        <v>0</v>
      </c>
      <c r="AI370" s="8">
        <v>1</v>
      </c>
      <c r="AJ370" s="8">
        <v>1</v>
      </c>
      <c r="AK370" s="8">
        <v>1</v>
      </c>
      <c r="AL370" s="8">
        <v>1</v>
      </c>
      <c r="AM370" s="8">
        <v>1</v>
      </c>
      <c r="AN370" s="8">
        <v>0</v>
      </c>
      <c r="AO370" s="8">
        <v>0</v>
      </c>
      <c r="AP370" s="8">
        <v>0</v>
      </c>
      <c r="AQ370" s="8">
        <v>1</v>
      </c>
      <c r="AR370" s="8">
        <v>0</v>
      </c>
      <c r="AS370" s="8">
        <v>0</v>
      </c>
      <c r="AT370" s="8">
        <v>0</v>
      </c>
      <c r="AU370" s="8">
        <v>0</v>
      </c>
      <c r="AV370" s="8">
        <v>0</v>
      </c>
      <c r="AW370" s="8">
        <v>0</v>
      </c>
      <c r="AX370" s="8">
        <v>0</v>
      </c>
      <c r="AY370" s="8">
        <v>0</v>
      </c>
      <c r="AZ370" s="8">
        <v>0</v>
      </c>
      <c r="BA370" s="8">
        <v>0</v>
      </c>
      <c r="BB370" s="8">
        <v>1</v>
      </c>
      <c r="BC370" s="8">
        <v>0</v>
      </c>
      <c r="BD370" s="8">
        <v>0</v>
      </c>
      <c r="BE370" s="8">
        <v>0</v>
      </c>
      <c r="BF370" s="8">
        <v>0</v>
      </c>
      <c r="BG370" s="8">
        <v>0</v>
      </c>
      <c r="BH370" s="8">
        <v>0</v>
      </c>
      <c r="BI370" s="8">
        <v>0</v>
      </c>
      <c r="BJ370" s="8">
        <v>0</v>
      </c>
      <c r="BK370" s="8">
        <v>0</v>
      </c>
      <c r="BL370" s="8">
        <v>1</v>
      </c>
      <c r="BM370" s="8">
        <v>1</v>
      </c>
      <c r="BN370" s="8">
        <v>1</v>
      </c>
      <c r="BO370" s="8">
        <v>0</v>
      </c>
      <c r="BP370" s="8">
        <v>0</v>
      </c>
      <c r="BQ370" s="8">
        <v>0</v>
      </c>
      <c r="BR370" s="8">
        <v>0</v>
      </c>
      <c r="BS370" s="8">
        <f t="shared" si="526"/>
        <v>10</v>
      </c>
      <c r="BT370" s="8"/>
      <c r="BU370" s="2">
        <f t="shared" si="437"/>
        <v>1</v>
      </c>
      <c r="BV370" s="2">
        <f t="shared" si="403"/>
        <v>5</v>
      </c>
      <c r="BW370" s="2">
        <f t="shared" si="404"/>
        <v>0</v>
      </c>
      <c r="BX370" s="2">
        <f t="shared" si="407"/>
        <v>2</v>
      </c>
      <c r="BY370" s="2">
        <f t="shared" si="405"/>
        <v>1</v>
      </c>
      <c r="BZ370" s="2">
        <f t="shared" ref="BZ370:CA370" si="533">SUM(AQ370)</f>
        <v>1</v>
      </c>
      <c r="CA370" s="2">
        <f t="shared" si="533"/>
        <v>0</v>
      </c>
      <c r="CB370" s="2">
        <f t="shared" si="431"/>
        <v>0</v>
      </c>
    </row>
    <row r="371" spans="1:80" ht="16" x14ac:dyDescent="0.2">
      <c r="A371" s="3" t="s">
        <v>154</v>
      </c>
      <c r="B371" s="10">
        <v>440</v>
      </c>
      <c r="C371" s="5">
        <v>1</v>
      </c>
      <c r="D371" s="5">
        <v>1</v>
      </c>
      <c r="E371" s="5">
        <v>0</v>
      </c>
      <c r="F371" s="10">
        <v>1995</v>
      </c>
      <c r="G371" s="10" t="s">
        <v>75</v>
      </c>
      <c r="H371" s="7" t="str">
        <f t="shared" si="399"/>
        <v>No</v>
      </c>
      <c r="I371" s="54" t="s">
        <v>55</v>
      </c>
      <c r="J371" s="8">
        <v>1</v>
      </c>
      <c r="K371" s="8" t="s">
        <v>63</v>
      </c>
      <c r="L371" s="8" t="s">
        <v>151</v>
      </c>
      <c r="M371" s="8" t="s">
        <v>151</v>
      </c>
      <c r="N371" s="8">
        <v>1</v>
      </c>
      <c r="O371" s="8">
        <v>0</v>
      </c>
      <c r="P371" s="8">
        <v>1</v>
      </c>
      <c r="Q371" s="8" t="s">
        <v>58</v>
      </c>
      <c r="R371" s="9">
        <v>0.05</v>
      </c>
      <c r="S371" s="8">
        <v>1</v>
      </c>
      <c r="T371" s="8">
        <v>0</v>
      </c>
      <c r="U371" s="8">
        <v>1</v>
      </c>
      <c r="V371" s="8">
        <v>0</v>
      </c>
      <c r="W371" s="8">
        <v>1</v>
      </c>
      <c r="X371" s="8">
        <v>0</v>
      </c>
      <c r="Y371" s="8">
        <v>0</v>
      </c>
      <c r="Z371" s="8">
        <v>1</v>
      </c>
      <c r="AA371" s="8" t="s">
        <v>155</v>
      </c>
      <c r="AB371" s="8">
        <v>0</v>
      </c>
      <c r="AC371" s="8">
        <v>0</v>
      </c>
      <c r="AD371" s="8">
        <v>0</v>
      </c>
      <c r="AE371" s="8">
        <v>1</v>
      </c>
      <c r="AF371" s="8">
        <v>0</v>
      </c>
      <c r="AG371" s="8">
        <v>0</v>
      </c>
      <c r="AH371" s="8">
        <v>0</v>
      </c>
      <c r="AI371" s="8">
        <v>1</v>
      </c>
      <c r="AJ371" s="8">
        <v>1</v>
      </c>
      <c r="AK371" s="8">
        <v>1</v>
      </c>
      <c r="AL371" s="8">
        <v>1</v>
      </c>
      <c r="AM371" s="8">
        <v>1</v>
      </c>
      <c r="AN371" s="8">
        <v>0</v>
      </c>
      <c r="AO371" s="8">
        <v>0</v>
      </c>
      <c r="AP371" s="8">
        <v>0</v>
      </c>
      <c r="AQ371" s="8">
        <v>1</v>
      </c>
      <c r="AR371" s="8">
        <v>0</v>
      </c>
      <c r="AS371" s="8">
        <v>0</v>
      </c>
      <c r="AT371" s="8">
        <v>0</v>
      </c>
      <c r="AU371" s="8">
        <v>0</v>
      </c>
      <c r="AV371" s="8">
        <v>0</v>
      </c>
      <c r="AW371" s="8">
        <v>0</v>
      </c>
      <c r="AX371" s="8">
        <v>0</v>
      </c>
      <c r="AY371" s="8">
        <v>0</v>
      </c>
      <c r="AZ371" s="8">
        <v>0</v>
      </c>
      <c r="BA371" s="8">
        <v>0</v>
      </c>
      <c r="BB371" s="8">
        <v>1</v>
      </c>
      <c r="BC371" s="8">
        <v>0</v>
      </c>
      <c r="BD371" s="8">
        <v>0</v>
      </c>
      <c r="BE371" s="8">
        <v>0</v>
      </c>
      <c r="BF371" s="8">
        <v>0</v>
      </c>
      <c r="BG371" s="8">
        <v>0</v>
      </c>
      <c r="BH371" s="8">
        <v>0</v>
      </c>
      <c r="BI371" s="8">
        <v>0</v>
      </c>
      <c r="BJ371" s="8">
        <v>0</v>
      </c>
      <c r="BK371" s="8">
        <v>0</v>
      </c>
      <c r="BL371" s="8">
        <v>1</v>
      </c>
      <c r="BM371" s="8">
        <v>1</v>
      </c>
      <c r="BN371" s="8">
        <v>1</v>
      </c>
      <c r="BO371" s="8">
        <v>0</v>
      </c>
      <c r="BP371" s="8">
        <v>0</v>
      </c>
      <c r="BQ371" s="8">
        <v>0</v>
      </c>
      <c r="BR371" s="8">
        <v>0</v>
      </c>
      <c r="BS371" s="8">
        <f t="shared" si="526"/>
        <v>10</v>
      </c>
      <c r="BT371" s="8"/>
      <c r="BU371" s="2">
        <f t="shared" si="437"/>
        <v>1</v>
      </c>
      <c r="BV371" s="2">
        <f t="shared" si="403"/>
        <v>5</v>
      </c>
      <c r="BW371" s="2">
        <f t="shared" si="404"/>
        <v>0</v>
      </c>
      <c r="BX371" s="2">
        <f t="shared" si="407"/>
        <v>2</v>
      </c>
      <c r="BY371" s="2">
        <f t="shared" si="405"/>
        <v>1</v>
      </c>
      <c r="BZ371" s="2">
        <f t="shared" ref="BZ371:CA371" si="534">SUM(AQ371)</f>
        <v>1</v>
      </c>
      <c r="CA371" s="2">
        <f t="shared" si="534"/>
        <v>0</v>
      </c>
      <c r="CB371" s="2">
        <f t="shared" si="431"/>
        <v>0</v>
      </c>
    </row>
    <row r="372" spans="1:80" ht="16" x14ac:dyDescent="0.2">
      <c r="A372" s="3" t="s">
        <v>154</v>
      </c>
      <c r="B372" s="10">
        <v>440</v>
      </c>
      <c r="C372" s="5">
        <v>1</v>
      </c>
      <c r="D372" s="5">
        <v>1</v>
      </c>
      <c r="E372" s="5">
        <v>0</v>
      </c>
      <c r="F372" s="10">
        <v>1995</v>
      </c>
      <c r="G372" s="10" t="s">
        <v>76</v>
      </c>
      <c r="H372" s="7" t="str">
        <f t="shared" si="399"/>
        <v>No</v>
      </c>
      <c r="I372" s="54" t="s">
        <v>55</v>
      </c>
      <c r="J372" s="8">
        <v>1</v>
      </c>
      <c r="K372" s="8" t="s">
        <v>63</v>
      </c>
      <c r="L372" s="8" t="s">
        <v>151</v>
      </c>
      <c r="M372" s="8" t="s">
        <v>151</v>
      </c>
      <c r="N372" s="8">
        <v>1</v>
      </c>
      <c r="O372" s="8">
        <v>0</v>
      </c>
      <c r="P372" s="8">
        <v>1</v>
      </c>
      <c r="Q372" s="8" t="s">
        <v>58</v>
      </c>
      <c r="R372" s="9">
        <v>0.05</v>
      </c>
      <c r="S372" s="8">
        <v>1</v>
      </c>
      <c r="T372" s="8">
        <v>0</v>
      </c>
      <c r="U372" s="8">
        <v>1</v>
      </c>
      <c r="V372" s="8">
        <v>0</v>
      </c>
      <c r="W372" s="8">
        <v>1</v>
      </c>
      <c r="X372" s="8">
        <v>0</v>
      </c>
      <c r="Y372" s="8">
        <v>0</v>
      </c>
      <c r="Z372" s="8">
        <v>1</v>
      </c>
      <c r="AA372" s="8" t="s">
        <v>155</v>
      </c>
      <c r="AB372" s="8">
        <v>0</v>
      </c>
      <c r="AC372" s="8">
        <v>0</v>
      </c>
      <c r="AD372" s="8">
        <v>0</v>
      </c>
      <c r="AE372" s="8">
        <v>1</v>
      </c>
      <c r="AF372" s="8">
        <v>0</v>
      </c>
      <c r="AG372" s="8">
        <v>0</v>
      </c>
      <c r="AH372" s="8">
        <v>0</v>
      </c>
      <c r="AI372" s="8">
        <v>1</v>
      </c>
      <c r="AJ372" s="8">
        <v>1</v>
      </c>
      <c r="AK372" s="8">
        <v>1</v>
      </c>
      <c r="AL372" s="8">
        <v>1</v>
      </c>
      <c r="AM372" s="8">
        <v>1</v>
      </c>
      <c r="AN372" s="8">
        <v>0</v>
      </c>
      <c r="AO372" s="8">
        <v>0</v>
      </c>
      <c r="AP372" s="8">
        <v>0</v>
      </c>
      <c r="AQ372" s="8">
        <v>1</v>
      </c>
      <c r="AR372" s="8">
        <v>0</v>
      </c>
      <c r="AS372" s="8">
        <v>0</v>
      </c>
      <c r="AT372" s="8">
        <v>0</v>
      </c>
      <c r="AU372" s="8">
        <v>0</v>
      </c>
      <c r="AV372" s="8">
        <v>0</v>
      </c>
      <c r="AW372" s="8">
        <v>0</v>
      </c>
      <c r="AX372" s="8">
        <v>0</v>
      </c>
      <c r="AY372" s="8">
        <v>0</v>
      </c>
      <c r="AZ372" s="8">
        <v>0</v>
      </c>
      <c r="BA372" s="8">
        <v>0</v>
      </c>
      <c r="BB372" s="8">
        <v>1</v>
      </c>
      <c r="BC372" s="8">
        <v>0</v>
      </c>
      <c r="BD372" s="8">
        <v>0</v>
      </c>
      <c r="BE372" s="8">
        <v>0</v>
      </c>
      <c r="BF372" s="8">
        <v>0</v>
      </c>
      <c r="BG372" s="8">
        <v>0</v>
      </c>
      <c r="BH372" s="8">
        <v>0</v>
      </c>
      <c r="BI372" s="8">
        <v>0</v>
      </c>
      <c r="BJ372" s="8">
        <v>0</v>
      </c>
      <c r="BK372" s="8">
        <v>0</v>
      </c>
      <c r="BL372" s="8">
        <v>1</v>
      </c>
      <c r="BM372" s="8">
        <v>1</v>
      </c>
      <c r="BN372" s="8">
        <v>1</v>
      </c>
      <c r="BO372" s="8">
        <v>0</v>
      </c>
      <c r="BP372" s="8">
        <v>0</v>
      </c>
      <c r="BQ372" s="8">
        <v>0</v>
      </c>
      <c r="BR372" s="8">
        <v>0</v>
      </c>
      <c r="BS372" s="8">
        <f t="shared" si="526"/>
        <v>10</v>
      </c>
      <c r="BT372" s="8"/>
      <c r="BU372" s="2">
        <f t="shared" si="437"/>
        <v>1</v>
      </c>
      <c r="BV372" s="2">
        <f t="shared" si="403"/>
        <v>5</v>
      </c>
      <c r="BW372" s="2">
        <f t="shared" si="404"/>
        <v>0</v>
      </c>
      <c r="BX372" s="2">
        <f t="shared" si="407"/>
        <v>2</v>
      </c>
      <c r="BY372" s="2">
        <f t="shared" si="405"/>
        <v>1</v>
      </c>
      <c r="BZ372" s="2">
        <f t="shared" ref="BZ372:CA372" si="535">SUM(AQ372)</f>
        <v>1</v>
      </c>
      <c r="CA372" s="2">
        <f t="shared" si="535"/>
        <v>0</v>
      </c>
      <c r="CB372" s="2">
        <f t="shared" si="431"/>
        <v>0</v>
      </c>
    </row>
    <row r="373" spans="1:80" ht="16" x14ac:dyDescent="0.2">
      <c r="A373" s="3" t="s">
        <v>154</v>
      </c>
      <c r="B373" s="10">
        <v>440</v>
      </c>
      <c r="C373" s="5">
        <v>1</v>
      </c>
      <c r="D373" s="5">
        <v>1</v>
      </c>
      <c r="E373" s="5">
        <v>0</v>
      </c>
      <c r="F373" s="10">
        <v>1995</v>
      </c>
      <c r="G373" s="10" t="s">
        <v>77</v>
      </c>
      <c r="H373" s="7" t="str">
        <f t="shared" si="399"/>
        <v>Yes</v>
      </c>
      <c r="I373" s="54" t="s">
        <v>56</v>
      </c>
      <c r="J373" s="8">
        <v>1</v>
      </c>
      <c r="K373" s="8" t="s">
        <v>63</v>
      </c>
      <c r="L373" s="8" t="s">
        <v>151</v>
      </c>
      <c r="M373" s="8" t="s">
        <v>151</v>
      </c>
      <c r="N373" s="8">
        <v>1</v>
      </c>
      <c r="O373" s="8">
        <v>0</v>
      </c>
      <c r="P373" s="8">
        <v>1</v>
      </c>
      <c r="Q373" s="8" t="s">
        <v>142</v>
      </c>
      <c r="R373" s="9">
        <v>0.25</v>
      </c>
      <c r="S373" s="8">
        <v>1</v>
      </c>
      <c r="T373" s="8">
        <v>0</v>
      </c>
      <c r="U373" s="8">
        <v>1</v>
      </c>
      <c r="V373" s="8">
        <v>0</v>
      </c>
      <c r="W373" s="8">
        <v>1</v>
      </c>
      <c r="X373" s="8">
        <v>0</v>
      </c>
      <c r="Y373" s="8">
        <v>0</v>
      </c>
      <c r="Z373" s="8">
        <v>1</v>
      </c>
      <c r="AA373" s="8" t="s">
        <v>155</v>
      </c>
      <c r="AB373" s="8">
        <v>0</v>
      </c>
      <c r="AC373" s="8">
        <v>0</v>
      </c>
      <c r="AD373" s="8">
        <v>0</v>
      </c>
      <c r="AE373" s="8">
        <v>1</v>
      </c>
      <c r="AF373" s="8">
        <v>0</v>
      </c>
      <c r="AG373" s="8">
        <v>0.5</v>
      </c>
      <c r="AH373" s="8">
        <v>0</v>
      </c>
      <c r="AI373" s="8">
        <v>1</v>
      </c>
      <c r="AJ373" s="8">
        <v>1</v>
      </c>
      <c r="AK373" s="8">
        <v>1</v>
      </c>
      <c r="AL373" s="8">
        <v>1</v>
      </c>
      <c r="AM373" s="8">
        <v>1</v>
      </c>
      <c r="AN373" s="8">
        <v>0</v>
      </c>
      <c r="AO373" s="8">
        <v>0</v>
      </c>
      <c r="AP373" s="8">
        <v>0</v>
      </c>
      <c r="AQ373" s="8">
        <v>1</v>
      </c>
      <c r="AR373" s="8">
        <v>1</v>
      </c>
      <c r="AS373" s="8">
        <v>0</v>
      </c>
      <c r="AT373" s="8">
        <v>0</v>
      </c>
      <c r="AU373" s="8">
        <v>0</v>
      </c>
      <c r="AV373" s="8">
        <v>0</v>
      </c>
      <c r="AW373" s="8">
        <v>0</v>
      </c>
      <c r="AX373" s="8">
        <v>1</v>
      </c>
      <c r="AY373" s="8">
        <v>0</v>
      </c>
      <c r="AZ373" s="8">
        <v>1</v>
      </c>
      <c r="BA373" s="8">
        <v>0</v>
      </c>
      <c r="BB373" s="8">
        <v>1</v>
      </c>
      <c r="BC373" s="8">
        <v>0</v>
      </c>
      <c r="BD373" s="8">
        <v>0</v>
      </c>
      <c r="BE373" s="8">
        <v>0</v>
      </c>
      <c r="BF373" s="8">
        <v>0</v>
      </c>
      <c r="BG373" s="8">
        <v>0</v>
      </c>
      <c r="BH373" s="8">
        <v>0</v>
      </c>
      <c r="BI373" s="8">
        <v>0</v>
      </c>
      <c r="BJ373" s="8">
        <v>0</v>
      </c>
      <c r="BK373" s="8">
        <v>0</v>
      </c>
      <c r="BL373" s="8">
        <v>1</v>
      </c>
      <c r="BM373" s="8">
        <v>1</v>
      </c>
      <c r="BN373" s="8">
        <v>1</v>
      </c>
      <c r="BO373" s="8">
        <v>0</v>
      </c>
      <c r="BP373" s="8">
        <v>0</v>
      </c>
      <c r="BQ373" s="8">
        <v>0</v>
      </c>
      <c r="BR373" s="8">
        <v>0</v>
      </c>
      <c r="BS373" s="8">
        <f t="shared" si="526"/>
        <v>13</v>
      </c>
      <c r="BT373" s="8"/>
      <c r="BU373" s="2">
        <f t="shared" si="437"/>
        <v>1</v>
      </c>
      <c r="BV373" s="2">
        <f t="shared" si="403"/>
        <v>5</v>
      </c>
      <c r="BW373" s="2">
        <f t="shared" si="404"/>
        <v>0</v>
      </c>
      <c r="BX373" s="2">
        <f t="shared" si="407"/>
        <v>4</v>
      </c>
      <c r="BY373" s="2">
        <f t="shared" si="405"/>
        <v>1</v>
      </c>
      <c r="BZ373" s="2">
        <f t="shared" ref="BZ373:CA373" si="536">SUM(AQ373)</f>
        <v>1</v>
      </c>
      <c r="CA373" s="2">
        <f t="shared" si="536"/>
        <v>1</v>
      </c>
      <c r="CB373" s="2">
        <f t="shared" si="431"/>
        <v>0</v>
      </c>
    </row>
    <row r="374" spans="1:80" ht="16" x14ac:dyDescent="0.2">
      <c r="A374" s="3" t="s">
        <v>154</v>
      </c>
      <c r="B374" s="10">
        <v>440</v>
      </c>
      <c r="C374" s="5">
        <v>1</v>
      </c>
      <c r="D374" s="5">
        <v>1</v>
      </c>
      <c r="E374" s="5">
        <v>0</v>
      </c>
      <c r="F374" s="10">
        <v>1995</v>
      </c>
      <c r="G374" s="10" t="s">
        <v>78</v>
      </c>
      <c r="H374" s="7" t="str">
        <f t="shared" si="399"/>
        <v>No</v>
      </c>
      <c r="I374" s="54" t="s">
        <v>55</v>
      </c>
      <c r="J374" s="8">
        <v>1</v>
      </c>
      <c r="K374" s="8" t="s">
        <v>63</v>
      </c>
      <c r="L374" s="8" t="s">
        <v>151</v>
      </c>
      <c r="M374" s="8" t="s">
        <v>151</v>
      </c>
      <c r="N374" s="8">
        <v>1</v>
      </c>
      <c r="O374" s="8">
        <v>0</v>
      </c>
      <c r="P374" s="8">
        <v>1</v>
      </c>
      <c r="Q374" s="8" t="s">
        <v>142</v>
      </c>
      <c r="R374" s="9">
        <v>0.25</v>
      </c>
      <c r="S374" s="8">
        <v>1</v>
      </c>
      <c r="T374" s="8">
        <v>0</v>
      </c>
      <c r="U374" s="8">
        <v>1</v>
      </c>
      <c r="V374" s="8">
        <v>0</v>
      </c>
      <c r="W374" s="8">
        <v>1</v>
      </c>
      <c r="X374" s="8">
        <v>0</v>
      </c>
      <c r="Y374" s="8">
        <v>0</v>
      </c>
      <c r="Z374" s="8">
        <v>1</v>
      </c>
      <c r="AA374" s="8" t="s">
        <v>155</v>
      </c>
      <c r="AB374" s="8">
        <v>0</v>
      </c>
      <c r="AC374" s="8">
        <v>0</v>
      </c>
      <c r="AD374" s="8">
        <v>0</v>
      </c>
      <c r="AE374" s="8">
        <v>1</v>
      </c>
      <c r="AF374" s="8">
        <v>0</v>
      </c>
      <c r="AG374" s="8">
        <v>0.5</v>
      </c>
      <c r="AH374" s="8">
        <v>0</v>
      </c>
      <c r="AI374" s="8">
        <v>1</v>
      </c>
      <c r="AJ374" s="8">
        <v>1</v>
      </c>
      <c r="AK374" s="8">
        <v>1</v>
      </c>
      <c r="AL374" s="8">
        <v>1</v>
      </c>
      <c r="AM374" s="8">
        <v>1</v>
      </c>
      <c r="AN374" s="8">
        <v>0</v>
      </c>
      <c r="AO374" s="8">
        <v>0</v>
      </c>
      <c r="AP374" s="8">
        <v>0</v>
      </c>
      <c r="AQ374" s="8">
        <v>1</v>
      </c>
      <c r="AR374" s="8">
        <v>1</v>
      </c>
      <c r="AS374" s="8">
        <v>0</v>
      </c>
      <c r="AT374" s="8">
        <v>0</v>
      </c>
      <c r="AU374" s="8">
        <v>0</v>
      </c>
      <c r="AV374" s="8">
        <v>0</v>
      </c>
      <c r="AW374" s="8">
        <v>0</v>
      </c>
      <c r="AX374" s="8">
        <v>1</v>
      </c>
      <c r="AY374" s="8">
        <v>0</v>
      </c>
      <c r="AZ374" s="8">
        <v>1</v>
      </c>
      <c r="BA374" s="8">
        <v>0</v>
      </c>
      <c r="BB374" s="8">
        <v>1</v>
      </c>
      <c r="BC374" s="8">
        <v>0</v>
      </c>
      <c r="BD374" s="8">
        <v>0</v>
      </c>
      <c r="BE374" s="8">
        <v>0</v>
      </c>
      <c r="BF374" s="8">
        <v>0</v>
      </c>
      <c r="BG374" s="8">
        <v>0</v>
      </c>
      <c r="BH374" s="8">
        <v>0</v>
      </c>
      <c r="BI374" s="8">
        <v>0</v>
      </c>
      <c r="BJ374" s="8">
        <v>0</v>
      </c>
      <c r="BK374" s="8">
        <v>0</v>
      </c>
      <c r="BL374" s="8">
        <v>1</v>
      </c>
      <c r="BM374" s="8">
        <v>1</v>
      </c>
      <c r="BN374" s="8">
        <v>1</v>
      </c>
      <c r="BO374" s="8">
        <v>0</v>
      </c>
      <c r="BP374" s="8">
        <v>0</v>
      </c>
      <c r="BQ374" s="8">
        <v>0</v>
      </c>
      <c r="BR374" s="8">
        <v>0</v>
      </c>
      <c r="BS374" s="8">
        <f t="shared" si="526"/>
        <v>13</v>
      </c>
      <c r="BT374" s="8"/>
      <c r="BU374" s="2">
        <f t="shared" si="437"/>
        <v>1</v>
      </c>
      <c r="BV374" s="2">
        <f t="shared" si="403"/>
        <v>5</v>
      </c>
      <c r="BW374" s="2">
        <f t="shared" si="404"/>
        <v>0</v>
      </c>
      <c r="BX374" s="2">
        <f t="shared" si="407"/>
        <v>4</v>
      </c>
      <c r="BY374" s="2">
        <f t="shared" si="405"/>
        <v>1</v>
      </c>
      <c r="BZ374" s="2">
        <f t="shared" ref="BZ374:CA374" si="537">SUM(AQ374)</f>
        <v>1</v>
      </c>
      <c r="CA374" s="2">
        <f t="shared" si="537"/>
        <v>1</v>
      </c>
      <c r="CB374" s="2">
        <f t="shared" si="431"/>
        <v>0</v>
      </c>
    </row>
    <row r="375" spans="1:80" ht="15" customHeight="1" x14ac:dyDescent="0.2">
      <c r="A375" s="3" t="s">
        <v>154</v>
      </c>
      <c r="B375" s="10">
        <v>440</v>
      </c>
      <c r="C375" s="5">
        <v>1</v>
      </c>
      <c r="D375" s="5">
        <v>1</v>
      </c>
      <c r="E375" s="5">
        <v>0</v>
      </c>
      <c r="F375" s="10">
        <v>1995</v>
      </c>
      <c r="G375" s="10" t="s">
        <v>79</v>
      </c>
      <c r="H375" s="7" t="str">
        <f t="shared" si="399"/>
        <v>No</v>
      </c>
      <c r="I375" s="54" t="s">
        <v>55</v>
      </c>
      <c r="J375" s="8">
        <v>1</v>
      </c>
      <c r="K375" s="8" t="s">
        <v>63</v>
      </c>
      <c r="L375" s="8" t="s">
        <v>151</v>
      </c>
      <c r="M375" s="8" t="s">
        <v>151</v>
      </c>
      <c r="N375" s="8">
        <v>1</v>
      </c>
      <c r="O375" s="8">
        <v>0</v>
      </c>
      <c r="P375" s="8">
        <v>1</v>
      </c>
      <c r="Q375" s="8" t="s">
        <v>142</v>
      </c>
      <c r="R375" s="9">
        <v>0.25</v>
      </c>
      <c r="S375" s="8">
        <v>1</v>
      </c>
      <c r="T375" s="8">
        <v>0</v>
      </c>
      <c r="U375" s="8">
        <v>1</v>
      </c>
      <c r="V375" s="8">
        <v>0</v>
      </c>
      <c r="W375" s="8">
        <v>1</v>
      </c>
      <c r="X375" s="8">
        <v>0</v>
      </c>
      <c r="Y375" s="8">
        <v>0</v>
      </c>
      <c r="Z375" s="8">
        <v>1</v>
      </c>
      <c r="AA375" s="8" t="s">
        <v>155</v>
      </c>
      <c r="AB375" s="8">
        <v>0</v>
      </c>
      <c r="AC375" s="8">
        <v>0</v>
      </c>
      <c r="AD375" s="8">
        <v>0</v>
      </c>
      <c r="AE375" s="8">
        <v>1</v>
      </c>
      <c r="AF375" s="8">
        <v>0</v>
      </c>
      <c r="AG375" s="8">
        <v>0.5</v>
      </c>
      <c r="AH375" s="8">
        <v>0</v>
      </c>
      <c r="AI375" s="8">
        <v>1</v>
      </c>
      <c r="AJ375" s="8">
        <v>1</v>
      </c>
      <c r="AK375" s="8">
        <v>1</v>
      </c>
      <c r="AL375" s="8">
        <v>1</v>
      </c>
      <c r="AM375" s="8">
        <v>1</v>
      </c>
      <c r="AN375" s="8">
        <v>0</v>
      </c>
      <c r="AO375" s="8">
        <v>0</v>
      </c>
      <c r="AP375" s="8">
        <v>0</v>
      </c>
      <c r="AQ375" s="8">
        <v>1</v>
      </c>
      <c r="AR375" s="8">
        <v>1</v>
      </c>
      <c r="AS375" s="8">
        <v>0</v>
      </c>
      <c r="AT375" s="8">
        <v>0</v>
      </c>
      <c r="AU375" s="8">
        <v>0</v>
      </c>
      <c r="AV375" s="8">
        <v>0</v>
      </c>
      <c r="AW375" s="8">
        <v>0</v>
      </c>
      <c r="AX375" s="8">
        <v>1</v>
      </c>
      <c r="AY375" s="8">
        <v>0</v>
      </c>
      <c r="AZ375" s="8">
        <v>1</v>
      </c>
      <c r="BA375" s="8">
        <v>0</v>
      </c>
      <c r="BB375" s="8">
        <v>1</v>
      </c>
      <c r="BC375" s="8">
        <v>0</v>
      </c>
      <c r="BD375" s="8">
        <v>0</v>
      </c>
      <c r="BE375" s="8">
        <v>0</v>
      </c>
      <c r="BF375" s="8">
        <v>0</v>
      </c>
      <c r="BG375" s="8">
        <v>0</v>
      </c>
      <c r="BH375" s="8">
        <v>0</v>
      </c>
      <c r="BI375" s="8">
        <v>0</v>
      </c>
      <c r="BJ375" s="8">
        <v>0</v>
      </c>
      <c r="BK375" s="8">
        <v>0</v>
      </c>
      <c r="BL375" s="8">
        <v>1</v>
      </c>
      <c r="BM375" s="8">
        <v>1</v>
      </c>
      <c r="BN375" s="8">
        <v>1</v>
      </c>
      <c r="BO375" s="8">
        <v>0</v>
      </c>
      <c r="BP375" s="8">
        <v>0</v>
      </c>
      <c r="BQ375" s="8">
        <v>0</v>
      </c>
      <c r="BR375" s="8">
        <v>0</v>
      </c>
      <c r="BS375" s="8">
        <f t="shared" si="526"/>
        <v>13</v>
      </c>
      <c r="BT375" s="8"/>
      <c r="BU375" s="2">
        <f t="shared" si="437"/>
        <v>1</v>
      </c>
      <c r="BV375" s="2">
        <f t="shared" si="403"/>
        <v>5</v>
      </c>
      <c r="BW375" s="2">
        <f t="shared" si="404"/>
        <v>0</v>
      </c>
      <c r="BX375" s="2">
        <f t="shared" si="407"/>
        <v>4</v>
      </c>
      <c r="BY375" s="2">
        <f t="shared" si="405"/>
        <v>1</v>
      </c>
      <c r="BZ375" s="2">
        <f t="shared" ref="BZ375:CA375" si="538">SUM(AQ375)</f>
        <v>1</v>
      </c>
      <c r="CA375" s="2">
        <f t="shared" si="538"/>
        <v>1</v>
      </c>
      <c r="CB375" s="2">
        <f t="shared" si="431"/>
        <v>0</v>
      </c>
    </row>
    <row r="376" spans="1:80" ht="15" customHeight="1" x14ac:dyDescent="0.2">
      <c r="A376" s="3" t="s">
        <v>154</v>
      </c>
      <c r="B376" s="10">
        <v>440</v>
      </c>
      <c r="C376" s="5">
        <v>1</v>
      </c>
      <c r="D376" s="5">
        <v>1</v>
      </c>
      <c r="E376" s="5">
        <v>0</v>
      </c>
      <c r="F376" s="10">
        <v>1995</v>
      </c>
      <c r="G376" s="10" t="s">
        <v>80</v>
      </c>
      <c r="H376" s="7" t="str">
        <f t="shared" si="399"/>
        <v>No</v>
      </c>
      <c r="I376" s="54" t="s">
        <v>55</v>
      </c>
      <c r="J376" s="8">
        <v>1</v>
      </c>
      <c r="K376" s="8" t="s">
        <v>63</v>
      </c>
      <c r="L376" s="8" t="s">
        <v>151</v>
      </c>
      <c r="M376" s="8" t="s">
        <v>151</v>
      </c>
      <c r="N376" s="8">
        <v>1</v>
      </c>
      <c r="O376" s="8">
        <v>0</v>
      </c>
      <c r="P376" s="8">
        <v>1</v>
      </c>
      <c r="Q376" s="8" t="s">
        <v>142</v>
      </c>
      <c r="R376" s="9">
        <v>0.25</v>
      </c>
      <c r="S376" s="8">
        <v>1</v>
      </c>
      <c r="T376" s="8">
        <v>0</v>
      </c>
      <c r="U376" s="8">
        <v>1</v>
      </c>
      <c r="V376" s="8">
        <v>0</v>
      </c>
      <c r="W376" s="8">
        <v>1</v>
      </c>
      <c r="X376" s="8">
        <v>0</v>
      </c>
      <c r="Y376" s="8">
        <v>0</v>
      </c>
      <c r="Z376" s="8">
        <v>1</v>
      </c>
      <c r="AA376" s="8" t="s">
        <v>155</v>
      </c>
      <c r="AB376" s="8">
        <v>0</v>
      </c>
      <c r="AC376" s="8">
        <v>0</v>
      </c>
      <c r="AD376" s="8">
        <v>0</v>
      </c>
      <c r="AE376" s="8">
        <v>1</v>
      </c>
      <c r="AF376" s="8">
        <v>0</v>
      </c>
      <c r="AG376" s="8">
        <v>0.5</v>
      </c>
      <c r="AH376" s="8">
        <v>0</v>
      </c>
      <c r="AI376" s="8">
        <v>1</v>
      </c>
      <c r="AJ376" s="8">
        <v>1</v>
      </c>
      <c r="AK376" s="8">
        <v>1</v>
      </c>
      <c r="AL376" s="8">
        <v>1</v>
      </c>
      <c r="AM376" s="8">
        <v>1</v>
      </c>
      <c r="AN376" s="8">
        <v>0</v>
      </c>
      <c r="AO376" s="8">
        <v>0</v>
      </c>
      <c r="AP376" s="8">
        <v>0</v>
      </c>
      <c r="AQ376" s="8">
        <v>1</v>
      </c>
      <c r="AR376" s="8">
        <v>1</v>
      </c>
      <c r="AS376" s="8">
        <v>0</v>
      </c>
      <c r="AT376" s="8">
        <v>0</v>
      </c>
      <c r="AU376" s="8">
        <v>0</v>
      </c>
      <c r="AV376" s="8">
        <v>0</v>
      </c>
      <c r="AW376" s="8">
        <v>0</v>
      </c>
      <c r="AX376" s="8">
        <v>1</v>
      </c>
      <c r="AY376" s="8">
        <v>0</v>
      </c>
      <c r="AZ376" s="8">
        <v>1</v>
      </c>
      <c r="BA376" s="8">
        <v>0</v>
      </c>
      <c r="BB376" s="8">
        <v>1</v>
      </c>
      <c r="BC376" s="8">
        <v>0</v>
      </c>
      <c r="BD376" s="8">
        <v>0</v>
      </c>
      <c r="BE376" s="8">
        <v>0</v>
      </c>
      <c r="BF376" s="8">
        <v>0</v>
      </c>
      <c r="BG376" s="8">
        <v>0</v>
      </c>
      <c r="BH376" s="8">
        <v>0</v>
      </c>
      <c r="BI376" s="8">
        <v>0</v>
      </c>
      <c r="BJ376" s="8">
        <v>0</v>
      </c>
      <c r="BK376" s="8">
        <v>0</v>
      </c>
      <c r="BL376" s="8">
        <v>1</v>
      </c>
      <c r="BM376" s="8">
        <v>1</v>
      </c>
      <c r="BN376" s="8">
        <v>1</v>
      </c>
      <c r="BO376" s="8">
        <v>0</v>
      </c>
      <c r="BP376" s="8">
        <v>0</v>
      </c>
      <c r="BQ376" s="8">
        <v>0</v>
      </c>
      <c r="BR376" s="8">
        <v>0</v>
      </c>
      <c r="BS376" s="8">
        <f t="shared" si="526"/>
        <v>13</v>
      </c>
      <c r="BT376" s="8"/>
      <c r="BU376" s="2">
        <f t="shared" si="437"/>
        <v>1</v>
      </c>
      <c r="BV376" s="2">
        <f t="shared" si="403"/>
        <v>5</v>
      </c>
      <c r="BW376" s="2">
        <f t="shared" si="404"/>
        <v>0</v>
      </c>
      <c r="BX376" s="2">
        <f t="shared" si="407"/>
        <v>4</v>
      </c>
      <c r="BY376" s="2">
        <f t="shared" si="405"/>
        <v>1</v>
      </c>
      <c r="BZ376" s="2">
        <f t="shared" ref="BZ376:CA376" si="539">SUM(AQ376)</f>
        <v>1</v>
      </c>
      <c r="CA376" s="2">
        <f t="shared" si="539"/>
        <v>1</v>
      </c>
      <c r="CB376" s="2">
        <f t="shared" si="431"/>
        <v>0</v>
      </c>
    </row>
    <row r="377" spans="1:80" ht="16" x14ac:dyDescent="0.2">
      <c r="A377" s="3" t="s">
        <v>154</v>
      </c>
      <c r="B377" s="10">
        <v>440</v>
      </c>
      <c r="C377" s="5">
        <v>1</v>
      </c>
      <c r="D377" s="5">
        <v>1</v>
      </c>
      <c r="E377" s="5">
        <v>0</v>
      </c>
      <c r="F377" s="10">
        <v>1995</v>
      </c>
      <c r="G377" s="10">
        <v>2022</v>
      </c>
      <c r="H377" s="7" t="str">
        <f t="shared" si="399"/>
        <v>No</v>
      </c>
      <c r="I377" s="54" t="s">
        <v>55</v>
      </c>
      <c r="J377" s="8">
        <v>1</v>
      </c>
      <c r="K377" s="8" t="s">
        <v>63</v>
      </c>
      <c r="L377" s="8" t="s">
        <v>151</v>
      </c>
      <c r="M377" s="8" t="s">
        <v>151</v>
      </c>
      <c r="N377" s="8">
        <v>1</v>
      </c>
      <c r="O377" s="8">
        <v>0</v>
      </c>
      <c r="P377" s="8">
        <v>1</v>
      </c>
      <c r="Q377" s="8" t="s">
        <v>142</v>
      </c>
      <c r="R377" s="9">
        <v>0.25</v>
      </c>
      <c r="S377" s="8">
        <v>1</v>
      </c>
      <c r="T377" s="8">
        <v>0</v>
      </c>
      <c r="U377" s="8">
        <v>1</v>
      </c>
      <c r="V377" s="8">
        <v>0</v>
      </c>
      <c r="W377" s="8">
        <v>1</v>
      </c>
      <c r="X377" s="8">
        <v>0</v>
      </c>
      <c r="Y377" s="8">
        <v>0</v>
      </c>
      <c r="Z377" s="8">
        <v>1</v>
      </c>
      <c r="AA377" s="8" t="s">
        <v>155</v>
      </c>
      <c r="AB377" s="8">
        <v>0</v>
      </c>
      <c r="AC377" s="8">
        <v>0</v>
      </c>
      <c r="AD377" s="8">
        <v>0</v>
      </c>
      <c r="AE377" s="8">
        <v>1</v>
      </c>
      <c r="AF377" s="8">
        <v>0</v>
      </c>
      <c r="AG377" s="8">
        <v>0.5</v>
      </c>
      <c r="AH377" s="8">
        <v>0</v>
      </c>
      <c r="AI377" s="8">
        <v>1</v>
      </c>
      <c r="AJ377" s="8">
        <v>1</v>
      </c>
      <c r="AK377" s="8">
        <v>1</v>
      </c>
      <c r="AL377" s="8">
        <v>1</v>
      </c>
      <c r="AM377" s="8">
        <v>1</v>
      </c>
      <c r="AN377" s="8">
        <v>0</v>
      </c>
      <c r="AO377" s="8">
        <v>0</v>
      </c>
      <c r="AP377" s="8">
        <v>0</v>
      </c>
      <c r="AQ377" s="8">
        <v>1</v>
      </c>
      <c r="AR377" s="8">
        <v>1</v>
      </c>
      <c r="AS377" s="8">
        <v>0</v>
      </c>
      <c r="AT377" s="8">
        <v>0</v>
      </c>
      <c r="AU377" s="8">
        <v>0</v>
      </c>
      <c r="AV377" s="8">
        <v>0</v>
      </c>
      <c r="AW377" s="8">
        <v>0</v>
      </c>
      <c r="AX377" s="8">
        <v>1</v>
      </c>
      <c r="AY377" s="8">
        <v>0</v>
      </c>
      <c r="AZ377" s="8">
        <v>1</v>
      </c>
      <c r="BA377" s="8">
        <v>0</v>
      </c>
      <c r="BB377" s="8">
        <v>1</v>
      </c>
      <c r="BC377" s="8">
        <v>0</v>
      </c>
      <c r="BD377" s="8">
        <v>0</v>
      </c>
      <c r="BE377" s="8">
        <v>0</v>
      </c>
      <c r="BF377" s="8">
        <v>0</v>
      </c>
      <c r="BG377" s="8">
        <v>0</v>
      </c>
      <c r="BH377" s="8">
        <v>0</v>
      </c>
      <c r="BI377" s="8">
        <v>0</v>
      </c>
      <c r="BJ377" s="8">
        <v>0</v>
      </c>
      <c r="BK377" s="8">
        <v>0</v>
      </c>
      <c r="BL377" s="8">
        <v>1</v>
      </c>
      <c r="BM377" s="8">
        <v>1</v>
      </c>
      <c r="BN377" s="8">
        <v>1</v>
      </c>
      <c r="BO377" s="8">
        <v>0</v>
      </c>
      <c r="BP377" s="8">
        <v>0</v>
      </c>
      <c r="BQ377" s="8">
        <v>0</v>
      </c>
      <c r="BR377" s="8">
        <v>0</v>
      </c>
      <c r="BS377" s="8">
        <f t="shared" si="526"/>
        <v>13</v>
      </c>
      <c r="BT377" s="8"/>
      <c r="BU377" s="2">
        <f t="shared" si="437"/>
        <v>1</v>
      </c>
      <c r="BV377" s="2">
        <f t="shared" si="403"/>
        <v>5</v>
      </c>
      <c r="BW377" s="2">
        <f t="shared" si="404"/>
        <v>0</v>
      </c>
      <c r="BX377" s="2">
        <f t="shared" si="407"/>
        <v>4</v>
      </c>
      <c r="BY377" s="2">
        <f t="shared" si="405"/>
        <v>1</v>
      </c>
      <c r="BZ377" s="2">
        <f t="shared" ref="BZ377:CA377" si="540">SUM(AQ377)</f>
        <v>1</v>
      </c>
      <c r="CA377" s="2">
        <f t="shared" si="540"/>
        <v>1</v>
      </c>
      <c r="CB377" s="2">
        <f t="shared" si="431"/>
        <v>0</v>
      </c>
    </row>
    <row r="378" spans="1:80" ht="16" x14ac:dyDescent="0.2">
      <c r="A378" s="3" t="s">
        <v>154</v>
      </c>
      <c r="B378" s="10">
        <v>440</v>
      </c>
      <c r="C378" s="5">
        <v>1</v>
      </c>
      <c r="D378" s="5">
        <v>1</v>
      </c>
      <c r="E378" s="5">
        <v>0</v>
      </c>
      <c r="F378" s="10">
        <v>1995</v>
      </c>
      <c r="G378" s="10">
        <v>2023</v>
      </c>
      <c r="H378" s="7" t="str">
        <f t="shared" si="399"/>
        <v>No</v>
      </c>
      <c r="I378" s="54" t="s">
        <v>55</v>
      </c>
      <c r="J378" s="8">
        <v>1</v>
      </c>
      <c r="K378" s="8" t="s">
        <v>63</v>
      </c>
      <c r="L378" s="8" t="s">
        <v>151</v>
      </c>
      <c r="M378" s="8" t="s">
        <v>151</v>
      </c>
      <c r="N378" s="8">
        <v>1</v>
      </c>
      <c r="O378" s="8">
        <v>0</v>
      </c>
      <c r="P378" s="8">
        <v>1</v>
      </c>
      <c r="Q378" s="8" t="s">
        <v>142</v>
      </c>
      <c r="R378" s="9">
        <v>0.25</v>
      </c>
      <c r="S378" s="8">
        <v>1</v>
      </c>
      <c r="T378" s="8">
        <v>0</v>
      </c>
      <c r="U378" s="8">
        <v>1</v>
      </c>
      <c r="V378" s="8">
        <v>0</v>
      </c>
      <c r="W378" s="8">
        <v>1</v>
      </c>
      <c r="X378" s="8">
        <v>0</v>
      </c>
      <c r="Y378" s="8">
        <v>0</v>
      </c>
      <c r="Z378" s="8">
        <v>1</v>
      </c>
      <c r="AA378" s="8" t="s">
        <v>155</v>
      </c>
      <c r="AB378" s="8">
        <v>0</v>
      </c>
      <c r="AC378" s="8">
        <v>0</v>
      </c>
      <c r="AD378" s="8">
        <v>0</v>
      </c>
      <c r="AE378" s="8">
        <v>1</v>
      </c>
      <c r="AF378" s="8">
        <v>0</v>
      </c>
      <c r="AG378" s="8">
        <v>0.5</v>
      </c>
      <c r="AH378" s="8">
        <v>0</v>
      </c>
      <c r="AI378" s="8">
        <v>1</v>
      </c>
      <c r="AJ378" s="8">
        <v>1</v>
      </c>
      <c r="AK378" s="8">
        <v>1</v>
      </c>
      <c r="AL378" s="8">
        <v>1</v>
      </c>
      <c r="AM378" s="8">
        <v>1</v>
      </c>
      <c r="AN378" s="8">
        <v>0</v>
      </c>
      <c r="AO378" s="8">
        <v>0</v>
      </c>
      <c r="AP378" s="8">
        <v>0</v>
      </c>
      <c r="AQ378" s="8">
        <v>1</v>
      </c>
      <c r="AR378" s="8">
        <v>1</v>
      </c>
      <c r="AS378" s="8">
        <v>0</v>
      </c>
      <c r="AT378" s="8">
        <v>0</v>
      </c>
      <c r="AU378" s="8">
        <v>0</v>
      </c>
      <c r="AV378" s="8">
        <v>0</v>
      </c>
      <c r="AW378" s="8">
        <v>0</v>
      </c>
      <c r="AX378" s="8">
        <v>1</v>
      </c>
      <c r="AY378" s="8">
        <v>0</v>
      </c>
      <c r="AZ378" s="8">
        <v>1</v>
      </c>
      <c r="BA378" s="8">
        <v>0</v>
      </c>
      <c r="BB378" s="8">
        <v>1</v>
      </c>
      <c r="BC378" s="8">
        <v>0</v>
      </c>
      <c r="BD378" s="8">
        <v>0</v>
      </c>
      <c r="BE378" s="8">
        <v>0</v>
      </c>
      <c r="BF378" s="8">
        <v>0</v>
      </c>
      <c r="BG378" s="8">
        <v>0</v>
      </c>
      <c r="BH378" s="8">
        <v>0</v>
      </c>
      <c r="BI378" s="8">
        <v>0</v>
      </c>
      <c r="BJ378" s="8">
        <v>0</v>
      </c>
      <c r="BK378" s="8">
        <v>0</v>
      </c>
      <c r="BL378" s="8">
        <v>1</v>
      </c>
      <c r="BM378" s="8">
        <v>1</v>
      </c>
      <c r="BN378" s="8">
        <v>1</v>
      </c>
      <c r="BO378" s="8">
        <v>0</v>
      </c>
      <c r="BP378" s="8">
        <v>0</v>
      </c>
      <c r="BQ378" s="8">
        <v>0</v>
      </c>
      <c r="BR378" s="8">
        <v>0</v>
      </c>
      <c r="BS378" s="8">
        <f t="shared" ref="BS378" si="541">SUM(AI378:BR378)</f>
        <v>13</v>
      </c>
      <c r="BT378" s="8"/>
      <c r="BU378" s="2">
        <f t="shared" ref="BU378" si="542">SUM(AI378,BK378)</f>
        <v>1</v>
      </c>
      <c r="BV378" s="2">
        <f t="shared" ref="BV378" si="543">SUM(AK378, AL378, AM378,AJ378,BL378,BO378, AP378)</f>
        <v>5</v>
      </c>
      <c r="BW378" s="2">
        <f t="shared" ref="BW378" si="544">SUM(AN378, AO378, AS378)</f>
        <v>0</v>
      </c>
      <c r="BX378" s="2">
        <f t="shared" ref="BX378" si="545">SUM(AU378,AV378,AW378,AX378,AY378,AZ378,BA378,BB378,BC378,BD378,BE378,BF378,BG378,BH378,BI378,BJ378,BQ378,BR378,BM378)</f>
        <v>4</v>
      </c>
      <c r="BY378" s="2">
        <f t="shared" ref="BY378" si="546">SUM(BP378, BN378)</f>
        <v>1</v>
      </c>
      <c r="BZ378" s="2">
        <f t="shared" ref="BZ378" si="547">SUM(AQ378)</f>
        <v>1</v>
      </c>
      <c r="CA378" s="2">
        <f t="shared" ref="CA378" si="548">SUM(AR378)</f>
        <v>1</v>
      </c>
      <c r="CB378" s="2">
        <f t="shared" ref="CB378" si="549">SUM(AT378)</f>
        <v>0</v>
      </c>
    </row>
    <row r="379" spans="1:80" ht="16" x14ac:dyDescent="0.2">
      <c r="A379" s="3" t="s">
        <v>156</v>
      </c>
      <c r="B379" s="10">
        <v>442</v>
      </c>
      <c r="C379" s="5">
        <v>1</v>
      </c>
      <c r="D379" s="5">
        <v>1</v>
      </c>
      <c r="E379" s="5">
        <v>0</v>
      </c>
      <c r="F379" s="10"/>
      <c r="G379" s="10" t="s">
        <v>86</v>
      </c>
      <c r="H379" s="7" t="str">
        <f t="shared" si="399"/>
        <v>No</v>
      </c>
      <c r="I379" s="54" t="s">
        <v>55</v>
      </c>
      <c r="J379" s="8">
        <v>0</v>
      </c>
      <c r="K379" s="8"/>
      <c r="L379" s="8"/>
      <c r="M379" s="8"/>
      <c r="N379" s="8"/>
      <c r="O379" s="8"/>
      <c r="P379" s="8"/>
      <c r="Q379" s="8"/>
      <c r="R379" s="6"/>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f t="shared" si="526"/>
        <v>0</v>
      </c>
      <c r="BT379" s="8"/>
      <c r="BU379" s="2">
        <f t="shared" si="437"/>
        <v>0</v>
      </c>
      <c r="BV379" s="2">
        <f t="shared" si="403"/>
        <v>0</v>
      </c>
      <c r="BW379" s="2">
        <f t="shared" si="404"/>
        <v>0</v>
      </c>
      <c r="BX379" s="2">
        <f t="shared" si="407"/>
        <v>0</v>
      </c>
      <c r="BY379" s="2">
        <f t="shared" si="405"/>
        <v>0</v>
      </c>
      <c r="BZ379" s="2">
        <f t="shared" ref="BZ379:CA379" si="550">SUM(AQ379)</f>
        <v>0</v>
      </c>
      <c r="CA379" s="2">
        <f t="shared" si="550"/>
        <v>0</v>
      </c>
      <c r="CB379" s="2">
        <f t="shared" si="431"/>
        <v>0</v>
      </c>
    </row>
    <row r="380" spans="1:80" ht="16" x14ac:dyDescent="0.2">
      <c r="A380" s="3" t="s">
        <v>156</v>
      </c>
      <c r="B380" s="10">
        <v>442</v>
      </c>
      <c r="C380" s="5">
        <v>1</v>
      </c>
      <c r="D380" s="5">
        <v>1</v>
      </c>
      <c r="E380" s="5">
        <v>0</v>
      </c>
      <c r="F380" s="10"/>
      <c r="G380" s="10" t="s">
        <v>90</v>
      </c>
      <c r="H380" s="7" t="str">
        <f t="shared" si="399"/>
        <v>No</v>
      </c>
      <c r="I380" s="54" t="s">
        <v>55</v>
      </c>
      <c r="J380" s="8">
        <v>0</v>
      </c>
      <c r="K380" s="8"/>
      <c r="L380" s="8"/>
      <c r="M380" s="8"/>
      <c r="N380" s="8"/>
      <c r="O380" s="8"/>
      <c r="P380" s="8"/>
      <c r="Q380" s="8"/>
      <c r="R380" s="6"/>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f t="shared" si="526"/>
        <v>0</v>
      </c>
      <c r="BT380" s="8"/>
      <c r="BU380" s="2">
        <f t="shared" si="437"/>
        <v>0</v>
      </c>
      <c r="BV380" s="2">
        <f t="shared" si="403"/>
        <v>0</v>
      </c>
      <c r="BW380" s="2">
        <f t="shared" si="404"/>
        <v>0</v>
      </c>
      <c r="BX380" s="2">
        <f t="shared" si="407"/>
        <v>0</v>
      </c>
      <c r="BY380" s="2">
        <f t="shared" si="405"/>
        <v>0</v>
      </c>
      <c r="BZ380" s="2">
        <f t="shared" ref="BZ380:CA380" si="551">SUM(AQ380)</f>
        <v>0</v>
      </c>
      <c r="CA380" s="2">
        <f t="shared" si="551"/>
        <v>0</v>
      </c>
      <c r="CB380" s="2">
        <f t="shared" si="431"/>
        <v>0</v>
      </c>
    </row>
    <row r="381" spans="1:80" ht="16" x14ac:dyDescent="0.2">
      <c r="A381" s="3" t="s">
        <v>156</v>
      </c>
      <c r="B381" s="10">
        <v>442</v>
      </c>
      <c r="C381" s="5">
        <v>1</v>
      </c>
      <c r="D381" s="5">
        <v>1</v>
      </c>
      <c r="E381" s="5">
        <v>0</v>
      </c>
      <c r="F381" s="10"/>
      <c r="G381" s="10" t="s">
        <v>91</v>
      </c>
      <c r="H381" s="7" t="str">
        <f t="shared" si="399"/>
        <v>No</v>
      </c>
      <c r="I381" s="54" t="s">
        <v>55</v>
      </c>
      <c r="J381" s="8">
        <v>0</v>
      </c>
      <c r="K381" s="8"/>
      <c r="L381" s="8"/>
      <c r="M381" s="8"/>
      <c r="N381" s="8"/>
      <c r="O381" s="8"/>
      <c r="P381" s="8"/>
      <c r="Q381" s="8"/>
      <c r="R381" s="6"/>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f t="shared" si="526"/>
        <v>0</v>
      </c>
      <c r="BT381" s="8"/>
      <c r="BU381" s="2">
        <f t="shared" si="437"/>
        <v>0</v>
      </c>
      <c r="BV381" s="2">
        <f t="shared" si="403"/>
        <v>0</v>
      </c>
      <c r="BW381" s="2">
        <f t="shared" si="404"/>
        <v>0</v>
      </c>
      <c r="BX381" s="2">
        <f t="shared" si="407"/>
        <v>0</v>
      </c>
      <c r="BY381" s="2">
        <f t="shared" si="405"/>
        <v>0</v>
      </c>
      <c r="BZ381" s="2">
        <f t="shared" ref="BZ381:CA381" si="552">SUM(AQ381)</f>
        <v>0</v>
      </c>
      <c r="CA381" s="2">
        <f t="shared" si="552"/>
        <v>0</v>
      </c>
      <c r="CB381" s="2">
        <f t="shared" si="431"/>
        <v>0</v>
      </c>
    </row>
    <row r="382" spans="1:80" ht="16" x14ac:dyDescent="0.2">
      <c r="A382" s="3" t="s">
        <v>156</v>
      </c>
      <c r="B382" s="10">
        <v>442</v>
      </c>
      <c r="C382" s="5">
        <v>1</v>
      </c>
      <c r="D382" s="5">
        <v>1</v>
      </c>
      <c r="E382" s="5">
        <v>0</v>
      </c>
      <c r="F382" s="10"/>
      <c r="G382" s="10" t="s">
        <v>93</v>
      </c>
      <c r="H382" s="7" t="str">
        <f t="shared" si="399"/>
        <v>No</v>
      </c>
      <c r="I382" s="54" t="s">
        <v>55</v>
      </c>
      <c r="J382" s="8">
        <v>0</v>
      </c>
      <c r="K382" s="8"/>
      <c r="L382" s="8"/>
      <c r="M382" s="8"/>
      <c r="N382" s="8"/>
      <c r="O382" s="8"/>
      <c r="P382" s="8"/>
      <c r="Q382" s="8"/>
      <c r="R382" s="6"/>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f t="shared" si="526"/>
        <v>0</v>
      </c>
      <c r="BT382" s="8"/>
      <c r="BU382" s="2">
        <f t="shared" si="437"/>
        <v>0</v>
      </c>
      <c r="BV382" s="2">
        <f t="shared" si="403"/>
        <v>0</v>
      </c>
      <c r="BW382" s="2">
        <f t="shared" si="404"/>
        <v>0</v>
      </c>
      <c r="BX382" s="2">
        <f t="shared" si="407"/>
        <v>0</v>
      </c>
      <c r="BY382" s="2">
        <f t="shared" si="405"/>
        <v>0</v>
      </c>
      <c r="BZ382" s="2">
        <f t="shared" ref="BZ382:CA382" si="553">SUM(AQ382)</f>
        <v>0</v>
      </c>
      <c r="CA382" s="2">
        <f t="shared" si="553"/>
        <v>0</v>
      </c>
      <c r="CB382" s="2">
        <f t="shared" si="431"/>
        <v>0</v>
      </c>
    </row>
    <row r="383" spans="1:80" ht="16" x14ac:dyDescent="0.2">
      <c r="A383" s="3" t="s">
        <v>156</v>
      </c>
      <c r="B383" s="10">
        <v>442</v>
      </c>
      <c r="C383" s="5">
        <v>1</v>
      </c>
      <c r="D383" s="5">
        <v>1</v>
      </c>
      <c r="E383" s="5">
        <v>0</v>
      </c>
      <c r="F383" s="10"/>
      <c r="G383" s="10" t="s">
        <v>70</v>
      </c>
      <c r="H383" s="7" t="str">
        <f t="shared" si="399"/>
        <v>No</v>
      </c>
      <c r="I383" s="54" t="s">
        <v>55</v>
      </c>
      <c r="J383" s="8">
        <v>0</v>
      </c>
      <c r="K383" s="8"/>
      <c r="L383" s="8"/>
      <c r="M383" s="8"/>
      <c r="N383" s="8"/>
      <c r="O383" s="8"/>
      <c r="P383" s="8"/>
      <c r="Q383" s="8"/>
      <c r="R383" s="6"/>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f t="shared" si="526"/>
        <v>0</v>
      </c>
      <c r="BT383" s="8"/>
      <c r="BU383" s="2">
        <f t="shared" si="437"/>
        <v>0</v>
      </c>
      <c r="BV383" s="2">
        <f t="shared" si="403"/>
        <v>0</v>
      </c>
      <c r="BW383" s="2">
        <f t="shared" si="404"/>
        <v>0</v>
      </c>
      <c r="BX383" s="2">
        <f t="shared" si="407"/>
        <v>0</v>
      </c>
      <c r="BY383" s="2">
        <f t="shared" si="405"/>
        <v>0</v>
      </c>
      <c r="BZ383" s="2">
        <f t="shared" ref="BZ383:CA383" si="554">SUM(AQ383)</f>
        <v>0</v>
      </c>
      <c r="CA383" s="2">
        <f t="shared" si="554"/>
        <v>0</v>
      </c>
      <c r="CB383" s="2">
        <f t="shared" si="431"/>
        <v>0</v>
      </c>
    </row>
    <row r="384" spans="1:80" ht="16" x14ac:dyDescent="0.2">
      <c r="A384" s="3" t="s">
        <v>156</v>
      </c>
      <c r="B384" s="10">
        <v>442</v>
      </c>
      <c r="C384" s="5">
        <v>1</v>
      </c>
      <c r="D384" s="5">
        <v>1</v>
      </c>
      <c r="E384" s="5">
        <v>0</v>
      </c>
      <c r="F384" s="10"/>
      <c r="G384" s="10" t="s">
        <v>71</v>
      </c>
      <c r="H384" s="7" t="str">
        <f t="shared" si="399"/>
        <v>No</v>
      </c>
      <c r="I384" s="54" t="s">
        <v>55</v>
      </c>
      <c r="J384" s="8">
        <v>0</v>
      </c>
      <c r="K384" s="8"/>
      <c r="L384" s="8"/>
      <c r="M384" s="8"/>
      <c r="N384" s="8"/>
      <c r="O384" s="8"/>
      <c r="P384" s="8"/>
      <c r="Q384" s="8"/>
      <c r="R384" s="6"/>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f t="shared" si="526"/>
        <v>0</v>
      </c>
      <c r="BT384" s="8"/>
      <c r="BU384" s="2">
        <f t="shared" si="437"/>
        <v>0</v>
      </c>
      <c r="BV384" s="2">
        <f t="shared" si="403"/>
        <v>0</v>
      </c>
      <c r="BW384" s="2">
        <f t="shared" si="404"/>
        <v>0</v>
      </c>
      <c r="BX384" s="2">
        <f t="shared" si="407"/>
        <v>0</v>
      </c>
      <c r="BY384" s="2">
        <f t="shared" si="405"/>
        <v>0</v>
      </c>
      <c r="BZ384" s="2">
        <f t="shared" ref="BZ384:CA384" si="555">SUM(AQ384)</f>
        <v>0</v>
      </c>
      <c r="CA384" s="2">
        <f t="shared" si="555"/>
        <v>0</v>
      </c>
      <c r="CB384" s="2">
        <f t="shared" si="431"/>
        <v>0</v>
      </c>
    </row>
    <row r="385" spans="1:80" ht="16" x14ac:dyDescent="0.2">
      <c r="A385" s="3" t="s">
        <v>156</v>
      </c>
      <c r="B385" s="10">
        <v>442</v>
      </c>
      <c r="C385" s="5">
        <v>1</v>
      </c>
      <c r="D385" s="5">
        <v>1</v>
      </c>
      <c r="E385" s="5">
        <v>0</v>
      </c>
      <c r="F385" s="10"/>
      <c r="G385" s="10" t="s">
        <v>72</v>
      </c>
      <c r="H385" s="7" t="str">
        <f t="shared" si="399"/>
        <v>No</v>
      </c>
      <c r="I385" s="54" t="s">
        <v>55</v>
      </c>
      <c r="J385" s="8">
        <v>0</v>
      </c>
      <c r="K385" s="8"/>
      <c r="L385" s="8"/>
      <c r="M385" s="8"/>
      <c r="N385" s="8"/>
      <c r="O385" s="8"/>
      <c r="P385" s="8"/>
      <c r="Q385" s="8"/>
      <c r="R385" s="6"/>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f t="shared" si="526"/>
        <v>0</v>
      </c>
      <c r="BT385" s="8"/>
      <c r="BU385" s="2">
        <f t="shared" si="437"/>
        <v>0</v>
      </c>
      <c r="BV385" s="2">
        <f t="shared" si="403"/>
        <v>0</v>
      </c>
      <c r="BW385" s="2">
        <f t="shared" si="404"/>
        <v>0</v>
      </c>
      <c r="BX385" s="2">
        <f t="shared" si="407"/>
        <v>0</v>
      </c>
      <c r="BY385" s="2">
        <f t="shared" si="405"/>
        <v>0</v>
      </c>
      <c r="BZ385" s="2">
        <f t="shared" ref="BZ385:CA385" si="556">SUM(AQ385)</f>
        <v>0</v>
      </c>
      <c r="CA385" s="2">
        <f t="shared" si="556"/>
        <v>0</v>
      </c>
      <c r="CB385" s="2">
        <f t="shared" si="431"/>
        <v>0</v>
      </c>
    </row>
    <row r="386" spans="1:80" ht="16" x14ac:dyDescent="0.2">
      <c r="A386" s="3" t="s">
        <v>156</v>
      </c>
      <c r="B386" s="10">
        <v>442</v>
      </c>
      <c r="C386" s="5">
        <v>1</v>
      </c>
      <c r="D386" s="5">
        <v>1</v>
      </c>
      <c r="E386" s="5">
        <v>0</v>
      </c>
      <c r="F386" s="10"/>
      <c r="G386" s="10" t="s">
        <v>73</v>
      </c>
      <c r="H386" s="7" t="str">
        <f t="shared" si="399"/>
        <v>No</v>
      </c>
      <c r="I386" s="54" t="s">
        <v>55</v>
      </c>
      <c r="J386" s="8">
        <v>0</v>
      </c>
      <c r="K386" s="8"/>
      <c r="L386" s="8"/>
      <c r="M386" s="8"/>
      <c r="N386" s="8"/>
      <c r="O386" s="8"/>
      <c r="P386" s="8"/>
      <c r="Q386" s="8"/>
      <c r="R386" s="6"/>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f t="shared" si="526"/>
        <v>0</v>
      </c>
      <c r="BT386" s="8"/>
      <c r="BU386" s="2">
        <f t="shared" si="437"/>
        <v>0</v>
      </c>
      <c r="BV386" s="2">
        <f t="shared" si="403"/>
        <v>0</v>
      </c>
      <c r="BW386" s="2">
        <f t="shared" si="404"/>
        <v>0</v>
      </c>
      <c r="BX386" s="2">
        <f t="shared" si="407"/>
        <v>0</v>
      </c>
      <c r="BY386" s="2">
        <f t="shared" si="405"/>
        <v>0</v>
      </c>
      <c r="BZ386" s="2">
        <f t="shared" ref="BZ386:CA386" si="557">SUM(AQ386)</f>
        <v>0</v>
      </c>
      <c r="CA386" s="2">
        <f t="shared" si="557"/>
        <v>0</v>
      </c>
      <c r="CB386" s="2">
        <f t="shared" si="431"/>
        <v>0</v>
      </c>
    </row>
    <row r="387" spans="1:80" ht="16" x14ac:dyDescent="0.2">
      <c r="A387" s="3" t="s">
        <v>156</v>
      </c>
      <c r="B387" s="10">
        <v>442</v>
      </c>
      <c r="C387" s="5">
        <v>1</v>
      </c>
      <c r="D387" s="5">
        <v>1</v>
      </c>
      <c r="E387" s="5">
        <v>0</v>
      </c>
      <c r="F387" s="10"/>
      <c r="G387" s="10" t="s">
        <v>74</v>
      </c>
      <c r="H387" s="7" t="str">
        <f t="shared" si="399"/>
        <v>No</v>
      </c>
      <c r="I387" s="54" t="s">
        <v>55</v>
      </c>
      <c r="J387" s="8">
        <v>0</v>
      </c>
      <c r="K387" s="8"/>
      <c r="L387" s="8"/>
      <c r="M387" s="8"/>
      <c r="N387" s="8"/>
      <c r="O387" s="8"/>
      <c r="P387" s="8"/>
      <c r="Q387" s="8"/>
      <c r="R387" s="6"/>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f t="shared" si="526"/>
        <v>0</v>
      </c>
      <c r="BT387" s="8"/>
      <c r="BU387" s="2">
        <f t="shared" si="437"/>
        <v>0</v>
      </c>
      <c r="BV387" s="2">
        <f t="shared" si="403"/>
        <v>0</v>
      </c>
      <c r="BW387" s="2">
        <f t="shared" si="404"/>
        <v>0</v>
      </c>
      <c r="BX387" s="2">
        <f t="shared" si="407"/>
        <v>0</v>
      </c>
      <c r="BY387" s="2">
        <f t="shared" si="405"/>
        <v>0</v>
      </c>
      <c r="BZ387" s="2">
        <f t="shared" ref="BZ387:CA387" si="558">SUM(AQ387)</f>
        <v>0</v>
      </c>
      <c r="CA387" s="2">
        <f t="shared" si="558"/>
        <v>0</v>
      </c>
      <c r="CB387" s="2">
        <f t="shared" si="431"/>
        <v>0</v>
      </c>
    </row>
    <row r="388" spans="1:80" ht="16" x14ac:dyDescent="0.2">
      <c r="A388" s="3" t="s">
        <v>156</v>
      </c>
      <c r="B388" s="10">
        <v>442</v>
      </c>
      <c r="C388" s="5">
        <v>1</v>
      </c>
      <c r="D388" s="5">
        <v>1</v>
      </c>
      <c r="E388" s="5">
        <v>0</v>
      </c>
      <c r="F388" s="10"/>
      <c r="G388" s="10" t="s">
        <v>75</v>
      </c>
      <c r="H388" s="7" t="str">
        <f t="shared" si="399"/>
        <v>No</v>
      </c>
      <c r="I388" s="54" t="s">
        <v>55</v>
      </c>
      <c r="J388" s="8">
        <v>0</v>
      </c>
      <c r="K388" s="8"/>
      <c r="L388" s="8"/>
      <c r="M388" s="8"/>
      <c r="N388" s="8"/>
      <c r="O388" s="8"/>
      <c r="P388" s="8"/>
      <c r="Q388" s="8"/>
      <c r="R388" s="6"/>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f t="shared" si="526"/>
        <v>0</v>
      </c>
      <c r="BT388" s="8"/>
      <c r="BU388" s="2">
        <f t="shared" si="437"/>
        <v>0</v>
      </c>
      <c r="BV388" s="2">
        <f t="shared" si="403"/>
        <v>0</v>
      </c>
      <c r="BW388" s="2">
        <f t="shared" si="404"/>
        <v>0</v>
      </c>
      <c r="BX388" s="2">
        <f t="shared" si="407"/>
        <v>0</v>
      </c>
      <c r="BY388" s="2">
        <f t="shared" si="405"/>
        <v>0</v>
      </c>
      <c r="BZ388" s="2">
        <f t="shared" ref="BZ388:CA388" si="559">SUM(AQ388)</f>
        <v>0</v>
      </c>
      <c r="CA388" s="2">
        <f t="shared" si="559"/>
        <v>0</v>
      </c>
      <c r="CB388" s="2">
        <f t="shared" si="431"/>
        <v>0</v>
      </c>
    </row>
    <row r="389" spans="1:80" ht="16" x14ac:dyDescent="0.2">
      <c r="A389" s="3" t="s">
        <v>156</v>
      </c>
      <c r="B389" s="10">
        <v>442</v>
      </c>
      <c r="C389" s="5">
        <v>1</v>
      </c>
      <c r="D389" s="5">
        <v>1</v>
      </c>
      <c r="E389" s="5">
        <v>0</v>
      </c>
      <c r="F389" s="10"/>
      <c r="G389" s="10" t="s">
        <v>76</v>
      </c>
      <c r="H389" s="7" t="str">
        <f t="shared" si="399"/>
        <v>No</v>
      </c>
      <c r="I389" s="54" t="s">
        <v>55</v>
      </c>
      <c r="J389" s="8">
        <v>0</v>
      </c>
      <c r="K389" s="8"/>
      <c r="L389" s="8"/>
      <c r="M389" s="8"/>
      <c r="N389" s="8"/>
      <c r="O389" s="8"/>
      <c r="P389" s="8"/>
      <c r="Q389" s="8"/>
      <c r="R389" s="6"/>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f t="shared" si="526"/>
        <v>0</v>
      </c>
      <c r="BT389" s="8"/>
      <c r="BU389" s="2">
        <f t="shared" si="437"/>
        <v>0</v>
      </c>
      <c r="BV389" s="2">
        <f t="shared" si="403"/>
        <v>0</v>
      </c>
      <c r="BW389" s="2">
        <f t="shared" si="404"/>
        <v>0</v>
      </c>
      <c r="BX389" s="2">
        <f t="shared" si="407"/>
        <v>0</v>
      </c>
      <c r="BY389" s="2">
        <f t="shared" si="405"/>
        <v>0</v>
      </c>
      <c r="BZ389" s="2">
        <f t="shared" ref="BZ389:CA389" si="560">SUM(AQ389)</f>
        <v>0</v>
      </c>
      <c r="CA389" s="2">
        <f t="shared" si="560"/>
        <v>0</v>
      </c>
      <c r="CB389" s="2">
        <f t="shared" si="431"/>
        <v>0</v>
      </c>
    </row>
    <row r="390" spans="1:80" ht="16" x14ac:dyDescent="0.2">
      <c r="A390" s="3" t="s">
        <v>156</v>
      </c>
      <c r="B390" s="10">
        <v>442</v>
      </c>
      <c r="C390" s="5">
        <v>1</v>
      </c>
      <c r="D390" s="5">
        <v>1</v>
      </c>
      <c r="E390" s="5">
        <v>0</v>
      </c>
      <c r="F390" s="10"/>
      <c r="G390" s="10" t="s">
        <v>77</v>
      </c>
      <c r="H390" s="7" t="str">
        <f t="shared" si="399"/>
        <v>No</v>
      </c>
      <c r="I390" s="54" t="s">
        <v>55</v>
      </c>
      <c r="J390" s="8">
        <v>0</v>
      </c>
      <c r="K390" s="8"/>
      <c r="L390" s="8"/>
      <c r="M390" s="8"/>
      <c r="N390" s="8"/>
      <c r="O390" s="8"/>
      <c r="P390" s="8"/>
      <c r="Q390" s="8"/>
      <c r="R390" s="6"/>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f t="shared" si="526"/>
        <v>0</v>
      </c>
      <c r="BT390" s="8"/>
      <c r="BU390" s="2">
        <f t="shared" si="437"/>
        <v>0</v>
      </c>
      <c r="BV390" s="2">
        <f t="shared" si="403"/>
        <v>0</v>
      </c>
      <c r="BW390" s="2">
        <f t="shared" si="404"/>
        <v>0</v>
      </c>
      <c r="BX390" s="2">
        <f t="shared" si="407"/>
        <v>0</v>
      </c>
      <c r="BY390" s="2">
        <f t="shared" si="405"/>
        <v>0</v>
      </c>
      <c r="BZ390" s="2">
        <f t="shared" ref="BZ390:CA390" si="561">SUM(AQ390)</f>
        <v>0</v>
      </c>
      <c r="CA390" s="2">
        <f t="shared" si="561"/>
        <v>0</v>
      </c>
      <c r="CB390" s="2">
        <f t="shared" si="431"/>
        <v>0</v>
      </c>
    </row>
    <row r="391" spans="1:80" ht="16" x14ac:dyDescent="0.2">
      <c r="A391" s="3" t="s">
        <v>156</v>
      </c>
      <c r="B391" s="10">
        <v>442</v>
      </c>
      <c r="C391" s="5">
        <v>1</v>
      </c>
      <c r="D391" s="5">
        <v>1</v>
      </c>
      <c r="E391" s="5">
        <v>0</v>
      </c>
      <c r="F391" s="10"/>
      <c r="G391" s="10" t="s">
        <v>78</v>
      </c>
      <c r="H391" s="7" t="str">
        <f t="shared" si="399"/>
        <v>No</v>
      </c>
      <c r="I391" s="54" t="s">
        <v>55</v>
      </c>
      <c r="J391" s="8">
        <v>0</v>
      </c>
      <c r="K391" s="8"/>
      <c r="L391" s="8"/>
      <c r="M391" s="8"/>
      <c r="N391" s="8"/>
      <c r="O391" s="8"/>
      <c r="P391" s="8"/>
      <c r="Q391" s="8"/>
      <c r="R391" s="6"/>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f t="shared" si="526"/>
        <v>0</v>
      </c>
      <c r="BT391" s="8"/>
      <c r="BU391" s="2">
        <f t="shared" si="437"/>
        <v>0</v>
      </c>
      <c r="BV391" s="2">
        <f t="shared" si="403"/>
        <v>0</v>
      </c>
      <c r="BW391" s="2">
        <f t="shared" si="404"/>
        <v>0</v>
      </c>
      <c r="BX391" s="2">
        <f t="shared" si="407"/>
        <v>0</v>
      </c>
      <c r="BY391" s="2">
        <f t="shared" si="405"/>
        <v>0</v>
      </c>
      <c r="BZ391" s="2">
        <f t="shared" ref="BZ391:CA391" si="562">SUM(AQ391)</f>
        <v>0</v>
      </c>
      <c r="CA391" s="2">
        <f t="shared" si="562"/>
        <v>0</v>
      </c>
      <c r="CB391" s="2">
        <f t="shared" si="431"/>
        <v>0</v>
      </c>
    </row>
    <row r="392" spans="1:80" ht="15" customHeight="1" x14ac:dyDescent="0.2">
      <c r="A392" s="3" t="s">
        <v>156</v>
      </c>
      <c r="B392" s="10">
        <v>442</v>
      </c>
      <c r="C392" s="5">
        <v>1</v>
      </c>
      <c r="D392" s="5">
        <v>1</v>
      </c>
      <c r="E392" s="5">
        <v>0</v>
      </c>
      <c r="F392" s="10"/>
      <c r="G392" s="10" t="s">
        <v>79</v>
      </c>
      <c r="H392" s="7" t="str">
        <f t="shared" si="399"/>
        <v>No</v>
      </c>
      <c r="I392" s="54" t="s">
        <v>55</v>
      </c>
      <c r="J392" s="8">
        <v>0</v>
      </c>
      <c r="K392" s="8"/>
      <c r="L392" s="8"/>
      <c r="M392" s="8"/>
      <c r="N392" s="8"/>
      <c r="O392" s="8"/>
      <c r="P392" s="8"/>
      <c r="Q392" s="8"/>
      <c r="R392" s="6"/>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f t="shared" si="526"/>
        <v>0</v>
      </c>
      <c r="BT392" s="8"/>
      <c r="BU392" s="2">
        <f t="shared" si="437"/>
        <v>0</v>
      </c>
      <c r="BV392" s="2">
        <f t="shared" si="403"/>
        <v>0</v>
      </c>
      <c r="BW392" s="2">
        <f t="shared" si="404"/>
        <v>0</v>
      </c>
      <c r="BX392" s="2">
        <f t="shared" si="407"/>
        <v>0</v>
      </c>
      <c r="BY392" s="2">
        <f t="shared" si="405"/>
        <v>0</v>
      </c>
      <c r="BZ392" s="2">
        <f t="shared" ref="BZ392:CA392" si="563">SUM(AQ392)</f>
        <v>0</v>
      </c>
      <c r="CA392" s="2">
        <f t="shared" si="563"/>
        <v>0</v>
      </c>
      <c r="CB392" s="2">
        <f t="shared" si="431"/>
        <v>0</v>
      </c>
    </row>
    <row r="393" spans="1:80" ht="15" customHeight="1" x14ac:dyDescent="0.2">
      <c r="A393" s="3" t="s">
        <v>156</v>
      </c>
      <c r="B393" s="10">
        <v>442</v>
      </c>
      <c r="C393" s="5">
        <v>1</v>
      </c>
      <c r="D393" s="5">
        <v>1</v>
      </c>
      <c r="E393" s="5">
        <v>0</v>
      </c>
      <c r="F393" s="10"/>
      <c r="G393" s="10" t="s">
        <v>80</v>
      </c>
      <c r="H393" s="7" t="str">
        <f t="shared" si="399"/>
        <v>No</v>
      </c>
      <c r="I393" s="54" t="s">
        <v>55</v>
      </c>
      <c r="J393" s="8">
        <v>0</v>
      </c>
      <c r="K393" s="8"/>
      <c r="L393" s="8"/>
      <c r="M393" s="8"/>
      <c r="N393" s="8"/>
      <c r="O393" s="8"/>
      <c r="P393" s="8"/>
      <c r="Q393" s="8"/>
      <c r="R393" s="6"/>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f t="shared" si="526"/>
        <v>0</v>
      </c>
      <c r="BT393" s="8"/>
      <c r="BU393" s="2">
        <f t="shared" si="437"/>
        <v>0</v>
      </c>
      <c r="BV393" s="2">
        <f t="shared" si="403"/>
        <v>0</v>
      </c>
      <c r="BW393" s="2">
        <f t="shared" si="404"/>
        <v>0</v>
      </c>
      <c r="BX393" s="2">
        <f t="shared" si="407"/>
        <v>0</v>
      </c>
      <c r="BY393" s="2">
        <f t="shared" si="405"/>
        <v>0</v>
      </c>
      <c r="BZ393" s="2">
        <f t="shared" ref="BZ393:CA393" si="564">SUM(AQ393)</f>
        <v>0</v>
      </c>
      <c r="CA393" s="2">
        <f t="shared" si="564"/>
        <v>0</v>
      </c>
      <c r="CB393" s="2">
        <f t="shared" si="431"/>
        <v>0</v>
      </c>
    </row>
    <row r="394" spans="1:80" ht="15" customHeight="1" x14ac:dyDescent="0.2">
      <c r="A394" s="3" t="s">
        <v>156</v>
      </c>
      <c r="B394" s="10">
        <v>442</v>
      </c>
      <c r="C394" s="5">
        <v>1</v>
      </c>
      <c r="D394" s="5">
        <v>1</v>
      </c>
      <c r="E394" s="5">
        <v>0</v>
      </c>
      <c r="F394" s="10"/>
      <c r="G394" s="10">
        <v>2022</v>
      </c>
      <c r="H394" s="7" t="str">
        <f t="shared" si="399"/>
        <v>No</v>
      </c>
      <c r="I394" s="54" t="s">
        <v>55</v>
      </c>
      <c r="J394" s="8">
        <v>0</v>
      </c>
      <c r="K394" s="8" t="s">
        <v>81</v>
      </c>
      <c r="L394" s="8"/>
      <c r="M394" s="8"/>
      <c r="N394" s="8"/>
      <c r="O394" s="8"/>
      <c r="P394" s="8"/>
      <c r="Q394" s="8"/>
      <c r="R394" s="6"/>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f t="shared" si="526"/>
        <v>0</v>
      </c>
      <c r="BT394" s="8"/>
      <c r="BU394" s="2">
        <f t="shared" si="437"/>
        <v>0</v>
      </c>
      <c r="BV394" s="2">
        <f t="shared" si="403"/>
        <v>0</v>
      </c>
      <c r="BW394" s="2">
        <f t="shared" si="404"/>
        <v>0</v>
      </c>
      <c r="BX394" s="2">
        <f t="shared" si="407"/>
        <v>0</v>
      </c>
      <c r="BY394" s="2">
        <f t="shared" si="405"/>
        <v>0</v>
      </c>
      <c r="BZ394" s="2">
        <f t="shared" ref="BZ394:CA394" si="565">SUM(AQ394)</f>
        <v>0</v>
      </c>
      <c r="CA394" s="2">
        <f t="shared" si="565"/>
        <v>0</v>
      </c>
      <c r="CB394" s="2">
        <f t="shared" si="431"/>
        <v>0</v>
      </c>
    </row>
    <row r="395" spans="1:80" s="33" customFormat="1" ht="15" customHeight="1" x14ac:dyDescent="0.2">
      <c r="A395" s="21" t="s">
        <v>156</v>
      </c>
      <c r="B395" s="30">
        <v>442</v>
      </c>
      <c r="C395" s="31">
        <v>1</v>
      </c>
      <c r="D395" s="31">
        <v>1</v>
      </c>
      <c r="E395" s="31">
        <v>0</v>
      </c>
      <c r="F395" s="30">
        <v>2023</v>
      </c>
      <c r="G395" s="30">
        <v>2023</v>
      </c>
      <c r="H395" s="22" t="str">
        <f t="shared" si="399"/>
        <v>Yes</v>
      </c>
      <c r="I395" s="55" t="s">
        <v>56</v>
      </c>
      <c r="J395" s="23">
        <v>1</v>
      </c>
      <c r="K395" s="23" t="s">
        <v>63</v>
      </c>
      <c r="L395" s="23" t="s">
        <v>64</v>
      </c>
      <c r="M395" s="23" t="s">
        <v>64</v>
      </c>
      <c r="N395" s="23">
        <v>0</v>
      </c>
      <c r="O395" s="23">
        <v>0</v>
      </c>
      <c r="P395" s="23">
        <v>0</v>
      </c>
      <c r="Q395" s="23" t="s">
        <v>60</v>
      </c>
      <c r="R395" s="25">
        <v>0.25</v>
      </c>
      <c r="S395" s="23">
        <v>0</v>
      </c>
      <c r="T395" s="23">
        <v>0</v>
      </c>
      <c r="U395" s="23">
        <v>1</v>
      </c>
      <c r="V395" s="23">
        <v>1</v>
      </c>
      <c r="W395" s="23">
        <v>1</v>
      </c>
      <c r="X395" s="23">
        <v>0</v>
      </c>
      <c r="Y395" s="23">
        <v>0</v>
      </c>
      <c r="Z395" s="23">
        <v>0</v>
      </c>
      <c r="AA395" s="23" t="s">
        <v>157</v>
      </c>
      <c r="AB395" s="23">
        <v>0</v>
      </c>
      <c r="AC395" s="23">
        <v>0</v>
      </c>
      <c r="AD395" s="23">
        <v>0</v>
      </c>
      <c r="AE395" s="23">
        <v>1</v>
      </c>
      <c r="AF395" s="23">
        <v>1</v>
      </c>
      <c r="AG395" s="23">
        <v>1</v>
      </c>
      <c r="AH395" s="23">
        <v>0</v>
      </c>
      <c r="AI395" s="23">
        <v>1</v>
      </c>
      <c r="AJ395" s="23">
        <v>1</v>
      </c>
      <c r="AK395" s="23">
        <v>1</v>
      </c>
      <c r="AL395" s="23">
        <v>1</v>
      </c>
      <c r="AM395" s="23">
        <v>1</v>
      </c>
      <c r="AN395" s="23">
        <v>1</v>
      </c>
      <c r="AO395" s="23">
        <v>0</v>
      </c>
      <c r="AP395" s="23">
        <v>1</v>
      </c>
      <c r="AQ395" s="23">
        <v>1</v>
      </c>
      <c r="AR395" s="23">
        <v>1</v>
      </c>
      <c r="AS395" s="23">
        <v>0</v>
      </c>
      <c r="AT395" s="23">
        <v>1</v>
      </c>
      <c r="AU395" s="23">
        <v>1</v>
      </c>
      <c r="AV395" s="23">
        <v>0</v>
      </c>
      <c r="AW395" s="23">
        <v>1</v>
      </c>
      <c r="AX395" s="23">
        <v>0</v>
      </c>
      <c r="AY395" s="23">
        <v>1</v>
      </c>
      <c r="AZ395" s="23">
        <v>0</v>
      </c>
      <c r="BA395" s="23">
        <v>0</v>
      </c>
      <c r="BB395" s="23">
        <v>1</v>
      </c>
      <c r="BC395" s="23">
        <v>0</v>
      </c>
      <c r="BD395" s="23">
        <v>0</v>
      </c>
      <c r="BE395" s="23">
        <v>0</v>
      </c>
      <c r="BF395" s="23">
        <v>0</v>
      </c>
      <c r="BG395" s="23">
        <v>0</v>
      </c>
      <c r="BH395" s="23">
        <v>0</v>
      </c>
      <c r="BI395" s="23">
        <v>0</v>
      </c>
      <c r="BJ395" s="23">
        <v>1</v>
      </c>
      <c r="BK395" s="23">
        <v>1</v>
      </c>
      <c r="BL395" s="23">
        <v>1</v>
      </c>
      <c r="BM395" s="23">
        <v>1</v>
      </c>
      <c r="BN395" s="23">
        <v>0</v>
      </c>
      <c r="BO395" s="23">
        <v>0</v>
      </c>
      <c r="BP395" s="23">
        <v>0</v>
      </c>
      <c r="BQ395" s="23">
        <v>0</v>
      </c>
      <c r="BR395" s="23">
        <v>1</v>
      </c>
      <c r="BS395" s="23">
        <f t="shared" ref="BS395" si="566">SUM(AI395:BR395)</f>
        <v>19</v>
      </c>
      <c r="BT395" s="23"/>
      <c r="BU395" s="32">
        <f t="shared" ref="BU395" si="567">SUM(AI395,BK395)</f>
        <v>2</v>
      </c>
      <c r="BV395" s="32">
        <f t="shared" ref="BV395" si="568">SUM(AK395, AL395, AM395,AJ395,BL395,BO395, AP395)</f>
        <v>6</v>
      </c>
      <c r="BW395" s="32">
        <f t="shared" ref="BW395" si="569">SUM(AN395, AO395, AS395)</f>
        <v>1</v>
      </c>
      <c r="BX395" s="32">
        <f t="shared" ref="BX395" si="570">SUM(AU395,AV395,AW395,AX395,AY395,AZ395,BA395,BB395,BC395,BD395,BE395,BF395,BG395,BH395,BI395,BJ395,BQ395,BR395,BM395)</f>
        <v>7</v>
      </c>
      <c r="BY395" s="32">
        <f t="shared" ref="BY395" si="571">SUM(BP395, BN395)</f>
        <v>0</v>
      </c>
      <c r="BZ395" s="32">
        <f t="shared" ref="BZ395" si="572">SUM(AQ395)</f>
        <v>1</v>
      </c>
      <c r="CA395" s="32">
        <f t="shared" ref="CA395" si="573">SUM(AR395)</f>
        <v>1</v>
      </c>
      <c r="CB395" s="32">
        <f t="shared" ref="CB395" si="574">SUM(AT395)</f>
        <v>1</v>
      </c>
    </row>
    <row r="396" spans="1:80" ht="16" x14ac:dyDescent="0.2">
      <c r="A396" s="3" t="s">
        <v>158</v>
      </c>
      <c r="B396" s="10">
        <v>484</v>
      </c>
      <c r="C396" s="5">
        <v>1</v>
      </c>
      <c r="D396" s="10">
        <v>0</v>
      </c>
      <c r="E396" s="5">
        <v>0</v>
      </c>
      <c r="F396" s="10">
        <v>1993</v>
      </c>
      <c r="G396" s="10" t="s">
        <v>86</v>
      </c>
      <c r="H396" s="7" t="str">
        <f t="shared" si="399"/>
        <v>No</v>
      </c>
      <c r="I396" s="54" t="s">
        <v>55</v>
      </c>
      <c r="J396" s="8">
        <v>1</v>
      </c>
      <c r="K396" s="8" t="s">
        <v>63</v>
      </c>
      <c r="L396" s="8" t="s">
        <v>64</v>
      </c>
      <c r="M396" s="8" t="s">
        <v>64</v>
      </c>
      <c r="N396" s="8">
        <v>0</v>
      </c>
      <c r="O396" s="8">
        <v>1</v>
      </c>
      <c r="P396" s="8">
        <v>1</v>
      </c>
      <c r="Q396" s="8" t="s">
        <v>87</v>
      </c>
      <c r="R396" s="6" t="s">
        <v>159</v>
      </c>
      <c r="S396" s="8">
        <v>0</v>
      </c>
      <c r="T396" s="8">
        <v>1</v>
      </c>
      <c r="U396" s="8">
        <v>1</v>
      </c>
      <c r="V396" s="8">
        <v>1</v>
      </c>
      <c r="W396" s="8">
        <v>1</v>
      </c>
      <c r="X396" s="8">
        <v>1</v>
      </c>
      <c r="Y396" s="8">
        <v>0</v>
      </c>
      <c r="Z396" s="8">
        <v>1</v>
      </c>
      <c r="AA396" s="8" t="s">
        <v>160</v>
      </c>
      <c r="AB396" s="8">
        <v>1</v>
      </c>
      <c r="AC396" s="8">
        <v>0</v>
      </c>
      <c r="AD396" s="8">
        <v>0</v>
      </c>
      <c r="AE396" s="8">
        <v>1</v>
      </c>
      <c r="AF396" s="8">
        <v>0</v>
      </c>
      <c r="AG396" s="8">
        <v>0</v>
      </c>
      <c r="AH396" s="8">
        <v>0</v>
      </c>
      <c r="AI396" s="8">
        <v>1</v>
      </c>
      <c r="AJ396" s="8">
        <v>1</v>
      </c>
      <c r="AK396" s="8">
        <v>0</v>
      </c>
      <c r="AL396" s="8">
        <v>1</v>
      </c>
      <c r="AM396" s="8">
        <v>1</v>
      </c>
      <c r="AN396" s="8">
        <v>0</v>
      </c>
      <c r="AO396" s="8">
        <v>1</v>
      </c>
      <c r="AP396" s="8">
        <v>1</v>
      </c>
      <c r="AQ396" s="8">
        <v>1</v>
      </c>
      <c r="AR396" s="8">
        <v>1</v>
      </c>
      <c r="AS396" s="8">
        <v>0</v>
      </c>
      <c r="AT396" s="8">
        <v>0</v>
      </c>
      <c r="AU396" s="8">
        <v>0</v>
      </c>
      <c r="AV396" s="8">
        <v>0</v>
      </c>
      <c r="AW396" s="8">
        <v>0</v>
      </c>
      <c r="AX396" s="8">
        <v>0</v>
      </c>
      <c r="AY396" s="8">
        <v>0</v>
      </c>
      <c r="AZ396" s="8">
        <v>0</v>
      </c>
      <c r="BA396" s="8">
        <v>0</v>
      </c>
      <c r="BB396" s="8">
        <v>0</v>
      </c>
      <c r="BC396" s="8">
        <v>0</v>
      </c>
      <c r="BD396" s="8">
        <v>0</v>
      </c>
      <c r="BE396" s="8">
        <v>0</v>
      </c>
      <c r="BF396" s="8">
        <v>0</v>
      </c>
      <c r="BG396" s="8">
        <v>0</v>
      </c>
      <c r="BH396" s="8">
        <v>0</v>
      </c>
      <c r="BI396" s="8">
        <v>0</v>
      </c>
      <c r="BJ396" s="8">
        <v>0</v>
      </c>
      <c r="BK396" s="8">
        <v>0</v>
      </c>
      <c r="BL396" s="8">
        <v>0</v>
      </c>
      <c r="BM396" s="8">
        <v>0</v>
      </c>
      <c r="BN396" s="8">
        <v>0</v>
      </c>
      <c r="BO396" s="8">
        <v>0</v>
      </c>
      <c r="BP396" s="8">
        <v>0</v>
      </c>
      <c r="BQ396" s="8">
        <v>0</v>
      </c>
      <c r="BR396" s="8">
        <v>0</v>
      </c>
      <c r="BS396" s="8">
        <f t="shared" si="526"/>
        <v>8</v>
      </c>
      <c r="BT396" s="8"/>
      <c r="BU396" s="2">
        <f t="shared" si="437"/>
        <v>1</v>
      </c>
      <c r="BV396" s="2">
        <f t="shared" si="403"/>
        <v>4</v>
      </c>
      <c r="BW396" s="2">
        <f t="shared" si="404"/>
        <v>1</v>
      </c>
      <c r="BX396" s="2">
        <f t="shared" si="407"/>
        <v>0</v>
      </c>
      <c r="BY396" s="2">
        <f t="shared" si="405"/>
        <v>0</v>
      </c>
      <c r="BZ396" s="2">
        <f t="shared" ref="BZ396:CA396" si="575">SUM(AQ396)</f>
        <v>1</v>
      </c>
      <c r="CA396" s="2">
        <f t="shared" si="575"/>
        <v>1</v>
      </c>
      <c r="CB396" s="2">
        <f t="shared" si="431"/>
        <v>0</v>
      </c>
    </row>
    <row r="397" spans="1:80" ht="16" x14ac:dyDescent="0.2">
      <c r="A397" s="3" t="s">
        <v>158</v>
      </c>
      <c r="B397" s="10">
        <v>484</v>
      </c>
      <c r="C397" s="5">
        <v>1</v>
      </c>
      <c r="D397" s="10">
        <v>0</v>
      </c>
      <c r="E397" s="5">
        <v>0</v>
      </c>
      <c r="F397" s="10">
        <v>1993</v>
      </c>
      <c r="G397" s="10" t="s">
        <v>90</v>
      </c>
      <c r="H397" s="7" t="str">
        <f t="shared" si="399"/>
        <v>No</v>
      </c>
      <c r="I397" s="54" t="s">
        <v>55</v>
      </c>
      <c r="J397" s="8">
        <v>1</v>
      </c>
      <c r="K397" s="8" t="s">
        <v>63</v>
      </c>
      <c r="L397" s="8" t="s">
        <v>64</v>
      </c>
      <c r="M397" s="8" t="s">
        <v>64</v>
      </c>
      <c r="N397" s="8">
        <v>0</v>
      </c>
      <c r="O397" s="8">
        <v>1</v>
      </c>
      <c r="P397" s="8">
        <v>1</v>
      </c>
      <c r="Q397" s="8" t="s">
        <v>87</v>
      </c>
      <c r="R397" s="6" t="s">
        <v>159</v>
      </c>
      <c r="S397" s="8">
        <v>0</v>
      </c>
      <c r="T397" s="8">
        <v>1</v>
      </c>
      <c r="U397" s="8">
        <v>1</v>
      </c>
      <c r="V397" s="8">
        <v>1</v>
      </c>
      <c r="W397" s="8">
        <v>1</v>
      </c>
      <c r="X397" s="8">
        <v>1</v>
      </c>
      <c r="Y397" s="8">
        <v>0</v>
      </c>
      <c r="Z397" s="8">
        <v>1</v>
      </c>
      <c r="AA397" s="8" t="s">
        <v>160</v>
      </c>
      <c r="AB397" s="8">
        <v>1</v>
      </c>
      <c r="AC397" s="8">
        <v>0</v>
      </c>
      <c r="AD397" s="8">
        <v>0</v>
      </c>
      <c r="AE397" s="8">
        <v>1</v>
      </c>
      <c r="AF397" s="8">
        <v>0</v>
      </c>
      <c r="AG397" s="8">
        <v>0</v>
      </c>
      <c r="AH397" s="8">
        <v>0</v>
      </c>
      <c r="AI397" s="8">
        <v>1</v>
      </c>
      <c r="AJ397" s="8">
        <v>1</v>
      </c>
      <c r="AK397" s="8">
        <v>0</v>
      </c>
      <c r="AL397" s="8">
        <v>1</v>
      </c>
      <c r="AM397" s="8">
        <v>1</v>
      </c>
      <c r="AN397" s="8">
        <v>0</v>
      </c>
      <c r="AO397" s="8">
        <v>1</v>
      </c>
      <c r="AP397" s="8">
        <v>1</v>
      </c>
      <c r="AQ397" s="8">
        <v>1</v>
      </c>
      <c r="AR397" s="8">
        <v>1</v>
      </c>
      <c r="AS397" s="8">
        <v>0</v>
      </c>
      <c r="AT397" s="8">
        <v>0</v>
      </c>
      <c r="AU397" s="8">
        <v>0</v>
      </c>
      <c r="AV397" s="8">
        <v>0</v>
      </c>
      <c r="AW397" s="8">
        <v>0</v>
      </c>
      <c r="AX397" s="8">
        <v>0</v>
      </c>
      <c r="AY397" s="8">
        <v>0</v>
      </c>
      <c r="AZ397" s="8">
        <v>0</v>
      </c>
      <c r="BA397" s="8">
        <v>0</v>
      </c>
      <c r="BB397" s="8">
        <v>0</v>
      </c>
      <c r="BC397" s="8">
        <v>0</v>
      </c>
      <c r="BD397" s="8">
        <v>0</v>
      </c>
      <c r="BE397" s="8">
        <v>0</v>
      </c>
      <c r="BF397" s="8">
        <v>0</v>
      </c>
      <c r="BG397" s="8">
        <v>0</v>
      </c>
      <c r="BH397" s="8">
        <v>0</v>
      </c>
      <c r="BI397" s="8">
        <v>0</v>
      </c>
      <c r="BJ397" s="8">
        <v>0</v>
      </c>
      <c r="BK397" s="8">
        <v>0</v>
      </c>
      <c r="BL397" s="8">
        <v>0</v>
      </c>
      <c r="BM397" s="8">
        <v>0</v>
      </c>
      <c r="BN397" s="8">
        <v>0</v>
      </c>
      <c r="BO397" s="8">
        <v>0</v>
      </c>
      <c r="BP397" s="8">
        <v>0</v>
      </c>
      <c r="BQ397" s="8">
        <v>0</v>
      </c>
      <c r="BR397" s="8">
        <v>0</v>
      </c>
      <c r="BS397" s="8">
        <f t="shared" si="526"/>
        <v>8</v>
      </c>
      <c r="BT397" s="8"/>
      <c r="BU397" s="2">
        <f t="shared" si="437"/>
        <v>1</v>
      </c>
      <c r="BV397" s="2">
        <f t="shared" si="403"/>
        <v>4</v>
      </c>
      <c r="BW397" s="2">
        <f t="shared" si="404"/>
        <v>1</v>
      </c>
      <c r="BX397" s="2">
        <f t="shared" si="407"/>
        <v>0</v>
      </c>
      <c r="BY397" s="2">
        <f t="shared" si="405"/>
        <v>0</v>
      </c>
      <c r="BZ397" s="2">
        <f t="shared" ref="BZ397:CA397" si="576">SUM(AQ397)</f>
        <v>1</v>
      </c>
      <c r="CA397" s="2">
        <f t="shared" si="576"/>
        <v>1</v>
      </c>
      <c r="CB397" s="2">
        <f t="shared" si="431"/>
        <v>0</v>
      </c>
    </row>
    <row r="398" spans="1:80" ht="16" x14ac:dyDescent="0.2">
      <c r="A398" s="3" t="s">
        <v>158</v>
      </c>
      <c r="B398" s="10">
        <v>484</v>
      </c>
      <c r="C398" s="5">
        <v>1</v>
      </c>
      <c r="D398" s="10">
        <v>0</v>
      </c>
      <c r="E398" s="5">
        <v>0</v>
      </c>
      <c r="F398" s="10">
        <v>1993</v>
      </c>
      <c r="G398" s="10" t="s">
        <v>91</v>
      </c>
      <c r="H398" s="7" t="str">
        <f t="shared" si="399"/>
        <v>No</v>
      </c>
      <c r="I398" s="54" t="s">
        <v>55</v>
      </c>
      <c r="J398" s="8">
        <v>1</v>
      </c>
      <c r="K398" s="8" t="s">
        <v>63</v>
      </c>
      <c r="L398" s="8" t="s">
        <v>64</v>
      </c>
      <c r="M398" s="8" t="s">
        <v>64</v>
      </c>
      <c r="N398" s="8">
        <v>0</v>
      </c>
      <c r="O398" s="8">
        <v>1</v>
      </c>
      <c r="P398" s="8">
        <v>1</v>
      </c>
      <c r="Q398" s="8" t="s">
        <v>87</v>
      </c>
      <c r="R398" s="6" t="s">
        <v>159</v>
      </c>
      <c r="S398" s="8">
        <v>0</v>
      </c>
      <c r="T398" s="8">
        <v>1</v>
      </c>
      <c r="U398" s="8">
        <v>1</v>
      </c>
      <c r="V398" s="8">
        <v>1</v>
      </c>
      <c r="W398" s="8">
        <v>1</v>
      </c>
      <c r="X398" s="8">
        <v>1</v>
      </c>
      <c r="Y398" s="8">
        <v>0</v>
      </c>
      <c r="Z398" s="8">
        <v>1</v>
      </c>
      <c r="AA398" s="8" t="s">
        <v>160</v>
      </c>
      <c r="AB398" s="8">
        <v>1</v>
      </c>
      <c r="AC398" s="8">
        <v>0</v>
      </c>
      <c r="AD398" s="8">
        <v>0</v>
      </c>
      <c r="AE398" s="8">
        <v>1</v>
      </c>
      <c r="AF398" s="8">
        <v>0</v>
      </c>
      <c r="AG398" s="8">
        <v>0</v>
      </c>
      <c r="AH398" s="8">
        <v>0</v>
      </c>
      <c r="AI398" s="8">
        <v>1</v>
      </c>
      <c r="AJ398" s="8">
        <v>1</v>
      </c>
      <c r="AK398" s="8">
        <v>0</v>
      </c>
      <c r="AL398" s="8">
        <v>1</v>
      </c>
      <c r="AM398" s="8">
        <v>1</v>
      </c>
      <c r="AN398" s="8">
        <v>0</v>
      </c>
      <c r="AO398" s="8">
        <v>1</v>
      </c>
      <c r="AP398" s="8">
        <v>1</v>
      </c>
      <c r="AQ398" s="8">
        <v>1</v>
      </c>
      <c r="AR398" s="8">
        <v>1</v>
      </c>
      <c r="AS398" s="8">
        <v>0</v>
      </c>
      <c r="AT398" s="8">
        <v>0</v>
      </c>
      <c r="AU398" s="8">
        <v>0</v>
      </c>
      <c r="AV398" s="8">
        <v>0</v>
      </c>
      <c r="AW398" s="8">
        <v>0</v>
      </c>
      <c r="AX398" s="8">
        <v>0</v>
      </c>
      <c r="AY398" s="8">
        <v>0</v>
      </c>
      <c r="AZ398" s="8">
        <v>0</v>
      </c>
      <c r="BA398" s="8">
        <v>0</v>
      </c>
      <c r="BB398" s="8">
        <v>0</v>
      </c>
      <c r="BC398" s="8">
        <v>0</v>
      </c>
      <c r="BD398" s="8">
        <v>0</v>
      </c>
      <c r="BE398" s="8">
        <v>0</v>
      </c>
      <c r="BF398" s="8">
        <v>0</v>
      </c>
      <c r="BG398" s="8">
        <v>0</v>
      </c>
      <c r="BH398" s="8">
        <v>0</v>
      </c>
      <c r="BI398" s="8">
        <v>0</v>
      </c>
      <c r="BJ398" s="8">
        <v>0</v>
      </c>
      <c r="BK398" s="8">
        <v>0</v>
      </c>
      <c r="BL398" s="8">
        <v>0</v>
      </c>
      <c r="BM398" s="8">
        <v>0</v>
      </c>
      <c r="BN398" s="8">
        <v>0</v>
      </c>
      <c r="BO398" s="8">
        <v>0</v>
      </c>
      <c r="BP398" s="8">
        <v>0</v>
      </c>
      <c r="BQ398" s="8">
        <v>0</v>
      </c>
      <c r="BR398" s="8">
        <v>0</v>
      </c>
      <c r="BS398" s="8">
        <f t="shared" si="526"/>
        <v>8</v>
      </c>
      <c r="BT398" s="8"/>
      <c r="BU398" s="2">
        <f t="shared" si="437"/>
        <v>1</v>
      </c>
      <c r="BV398" s="2">
        <f t="shared" si="403"/>
        <v>4</v>
      </c>
      <c r="BW398" s="2">
        <f t="shared" si="404"/>
        <v>1</v>
      </c>
      <c r="BX398" s="2">
        <f t="shared" si="407"/>
        <v>0</v>
      </c>
      <c r="BY398" s="2">
        <f t="shared" si="405"/>
        <v>0</v>
      </c>
      <c r="BZ398" s="2">
        <f t="shared" ref="BZ398:CA398" si="577">SUM(AQ398)</f>
        <v>1</v>
      </c>
      <c r="CA398" s="2">
        <f t="shared" si="577"/>
        <v>1</v>
      </c>
      <c r="CB398" s="2">
        <f t="shared" si="431"/>
        <v>0</v>
      </c>
    </row>
    <row r="399" spans="1:80" ht="16" x14ac:dyDescent="0.2">
      <c r="A399" s="3" t="s">
        <v>158</v>
      </c>
      <c r="B399" s="10">
        <v>484</v>
      </c>
      <c r="C399" s="5">
        <v>1</v>
      </c>
      <c r="D399" s="10">
        <v>0</v>
      </c>
      <c r="E399" s="5">
        <v>0</v>
      </c>
      <c r="F399" s="10">
        <v>1993</v>
      </c>
      <c r="G399" s="10" t="s">
        <v>93</v>
      </c>
      <c r="H399" s="7" t="str">
        <f t="shared" si="399"/>
        <v>No</v>
      </c>
      <c r="I399" s="54" t="s">
        <v>55</v>
      </c>
      <c r="J399" s="8">
        <v>1</v>
      </c>
      <c r="K399" s="8" t="s">
        <v>63</v>
      </c>
      <c r="L399" s="8" t="s">
        <v>64</v>
      </c>
      <c r="M399" s="8" t="s">
        <v>64</v>
      </c>
      <c r="N399" s="8">
        <v>0</v>
      </c>
      <c r="O399" s="8">
        <v>1</v>
      </c>
      <c r="P399" s="8">
        <v>1</v>
      </c>
      <c r="Q399" s="8" t="s">
        <v>87</v>
      </c>
      <c r="R399" s="6" t="s">
        <v>159</v>
      </c>
      <c r="S399" s="8">
        <v>0</v>
      </c>
      <c r="T399" s="8">
        <v>1</v>
      </c>
      <c r="U399" s="8">
        <v>1</v>
      </c>
      <c r="V399" s="8">
        <v>1</v>
      </c>
      <c r="W399" s="8">
        <v>1</v>
      </c>
      <c r="X399" s="8">
        <v>1</v>
      </c>
      <c r="Y399" s="8">
        <v>0</v>
      </c>
      <c r="Z399" s="8">
        <v>1</v>
      </c>
      <c r="AA399" s="8" t="s">
        <v>160</v>
      </c>
      <c r="AB399" s="8">
        <v>1</v>
      </c>
      <c r="AC399" s="8">
        <v>0</v>
      </c>
      <c r="AD399" s="8">
        <v>0</v>
      </c>
      <c r="AE399" s="8">
        <v>1</v>
      </c>
      <c r="AF399" s="8">
        <v>0</v>
      </c>
      <c r="AG399" s="8">
        <v>0</v>
      </c>
      <c r="AH399" s="8">
        <v>0</v>
      </c>
      <c r="AI399" s="8">
        <v>1</v>
      </c>
      <c r="AJ399" s="8">
        <v>1</v>
      </c>
      <c r="AK399" s="8">
        <v>0</v>
      </c>
      <c r="AL399" s="8">
        <v>1</v>
      </c>
      <c r="AM399" s="8">
        <v>1</v>
      </c>
      <c r="AN399" s="8">
        <v>0</v>
      </c>
      <c r="AO399" s="8">
        <v>1</v>
      </c>
      <c r="AP399" s="8">
        <v>1</v>
      </c>
      <c r="AQ399" s="8">
        <v>1</v>
      </c>
      <c r="AR399" s="8">
        <v>1</v>
      </c>
      <c r="AS399" s="8">
        <v>0</v>
      </c>
      <c r="AT399" s="8">
        <v>0</v>
      </c>
      <c r="AU399" s="8">
        <v>0</v>
      </c>
      <c r="AV399" s="8">
        <v>0</v>
      </c>
      <c r="AW399" s="8">
        <v>0</v>
      </c>
      <c r="AX399" s="8">
        <v>0</v>
      </c>
      <c r="AY399" s="8">
        <v>0</v>
      </c>
      <c r="AZ399" s="8">
        <v>0</v>
      </c>
      <c r="BA399" s="8">
        <v>0</v>
      </c>
      <c r="BB399" s="8">
        <v>0</v>
      </c>
      <c r="BC399" s="8">
        <v>0</v>
      </c>
      <c r="BD399" s="8">
        <v>0</v>
      </c>
      <c r="BE399" s="8">
        <v>0</v>
      </c>
      <c r="BF399" s="8">
        <v>0</v>
      </c>
      <c r="BG399" s="8">
        <v>0</v>
      </c>
      <c r="BH399" s="8">
        <v>0</v>
      </c>
      <c r="BI399" s="8">
        <v>0</v>
      </c>
      <c r="BJ399" s="8">
        <v>0</v>
      </c>
      <c r="BK399" s="8">
        <v>0</v>
      </c>
      <c r="BL399" s="8">
        <v>0</v>
      </c>
      <c r="BM399" s="8">
        <v>0</v>
      </c>
      <c r="BN399" s="8">
        <v>0</v>
      </c>
      <c r="BO399" s="8">
        <v>0</v>
      </c>
      <c r="BP399" s="8">
        <v>0</v>
      </c>
      <c r="BQ399" s="8">
        <v>0</v>
      </c>
      <c r="BR399" s="8">
        <v>0</v>
      </c>
      <c r="BS399" s="8">
        <f t="shared" si="526"/>
        <v>8</v>
      </c>
      <c r="BT399" s="8"/>
      <c r="BU399" s="2">
        <f t="shared" si="437"/>
        <v>1</v>
      </c>
      <c r="BV399" s="2">
        <f t="shared" si="403"/>
        <v>4</v>
      </c>
      <c r="BW399" s="2">
        <f t="shared" si="404"/>
        <v>1</v>
      </c>
      <c r="BX399" s="2">
        <f t="shared" si="407"/>
        <v>0</v>
      </c>
      <c r="BY399" s="2">
        <f t="shared" si="405"/>
        <v>0</v>
      </c>
      <c r="BZ399" s="2">
        <f t="shared" ref="BZ399:CA399" si="578">SUM(AQ399)</f>
        <v>1</v>
      </c>
      <c r="CA399" s="2">
        <f t="shared" si="578"/>
        <v>1</v>
      </c>
      <c r="CB399" s="2">
        <f t="shared" si="431"/>
        <v>0</v>
      </c>
    </row>
    <row r="400" spans="1:80" ht="16" x14ac:dyDescent="0.2">
      <c r="A400" s="3" t="s">
        <v>158</v>
      </c>
      <c r="B400" s="10">
        <v>484</v>
      </c>
      <c r="C400" s="5">
        <v>1</v>
      </c>
      <c r="D400" s="10">
        <v>0</v>
      </c>
      <c r="E400" s="5">
        <v>0</v>
      </c>
      <c r="F400" s="10">
        <v>1993</v>
      </c>
      <c r="G400" s="10" t="s">
        <v>70</v>
      </c>
      <c r="H400" s="7" t="str">
        <f t="shared" si="399"/>
        <v>No</v>
      </c>
      <c r="I400" s="54" t="s">
        <v>55</v>
      </c>
      <c r="J400" s="8">
        <v>1</v>
      </c>
      <c r="K400" s="8" t="s">
        <v>63</v>
      </c>
      <c r="L400" s="8" t="s">
        <v>64</v>
      </c>
      <c r="M400" s="8" t="s">
        <v>64</v>
      </c>
      <c r="N400" s="8">
        <v>0</v>
      </c>
      <c r="O400" s="8">
        <v>1</v>
      </c>
      <c r="P400" s="8">
        <v>1</v>
      </c>
      <c r="Q400" s="8" t="s">
        <v>87</v>
      </c>
      <c r="R400" s="6" t="s">
        <v>159</v>
      </c>
      <c r="S400" s="8">
        <v>0</v>
      </c>
      <c r="T400" s="8">
        <v>1</v>
      </c>
      <c r="U400" s="8">
        <v>1</v>
      </c>
      <c r="V400" s="8">
        <v>1</v>
      </c>
      <c r="W400" s="8">
        <v>1</v>
      </c>
      <c r="X400" s="8">
        <v>1</v>
      </c>
      <c r="Y400" s="8">
        <v>0</v>
      </c>
      <c r="Z400" s="8">
        <v>1</v>
      </c>
      <c r="AA400" s="8" t="s">
        <v>160</v>
      </c>
      <c r="AB400" s="8">
        <v>1</v>
      </c>
      <c r="AC400" s="8">
        <v>0</v>
      </c>
      <c r="AD400" s="8">
        <v>0</v>
      </c>
      <c r="AE400" s="8">
        <v>1</v>
      </c>
      <c r="AF400" s="8">
        <v>0</v>
      </c>
      <c r="AG400" s="8">
        <v>0</v>
      </c>
      <c r="AH400" s="8">
        <v>0</v>
      </c>
      <c r="AI400" s="8">
        <v>1</v>
      </c>
      <c r="AJ400" s="8">
        <v>1</v>
      </c>
      <c r="AK400" s="8">
        <v>0</v>
      </c>
      <c r="AL400" s="8">
        <v>1</v>
      </c>
      <c r="AM400" s="8">
        <v>1</v>
      </c>
      <c r="AN400" s="8">
        <v>0</v>
      </c>
      <c r="AO400" s="8">
        <v>1</v>
      </c>
      <c r="AP400" s="8">
        <v>1</v>
      </c>
      <c r="AQ400" s="8">
        <v>1</v>
      </c>
      <c r="AR400" s="8">
        <v>1</v>
      </c>
      <c r="AS400" s="8">
        <v>0</v>
      </c>
      <c r="AT400" s="8">
        <v>0</v>
      </c>
      <c r="AU400" s="8">
        <v>0</v>
      </c>
      <c r="AV400" s="8">
        <v>0</v>
      </c>
      <c r="AW400" s="8">
        <v>0</v>
      </c>
      <c r="AX400" s="8">
        <v>0</v>
      </c>
      <c r="AY400" s="8">
        <v>0</v>
      </c>
      <c r="AZ400" s="8">
        <v>0</v>
      </c>
      <c r="BA400" s="8">
        <v>0</v>
      </c>
      <c r="BB400" s="8">
        <v>0</v>
      </c>
      <c r="BC400" s="8">
        <v>0</v>
      </c>
      <c r="BD400" s="8">
        <v>0</v>
      </c>
      <c r="BE400" s="8">
        <v>0</v>
      </c>
      <c r="BF400" s="8">
        <v>0</v>
      </c>
      <c r="BG400" s="8">
        <v>0</v>
      </c>
      <c r="BH400" s="8">
        <v>0</v>
      </c>
      <c r="BI400" s="8">
        <v>0</v>
      </c>
      <c r="BJ400" s="8">
        <v>0</v>
      </c>
      <c r="BK400" s="8">
        <v>0</v>
      </c>
      <c r="BL400" s="8">
        <v>0</v>
      </c>
      <c r="BM400" s="8">
        <v>0</v>
      </c>
      <c r="BN400" s="8">
        <v>0</v>
      </c>
      <c r="BO400" s="8">
        <v>0</v>
      </c>
      <c r="BP400" s="8">
        <v>0</v>
      </c>
      <c r="BQ400" s="8">
        <v>0</v>
      </c>
      <c r="BR400" s="8">
        <v>0</v>
      </c>
      <c r="BS400" s="8">
        <f t="shared" si="526"/>
        <v>8</v>
      </c>
      <c r="BT400" s="8"/>
      <c r="BU400" s="2">
        <f t="shared" si="437"/>
        <v>1</v>
      </c>
      <c r="BV400" s="2">
        <f t="shared" si="403"/>
        <v>4</v>
      </c>
      <c r="BW400" s="2">
        <f t="shared" si="404"/>
        <v>1</v>
      </c>
      <c r="BX400" s="2">
        <f t="shared" si="407"/>
        <v>0</v>
      </c>
      <c r="BY400" s="2">
        <f t="shared" si="405"/>
        <v>0</v>
      </c>
      <c r="BZ400" s="2">
        <f t="shared" ref="BZ400:CA400" si="579">SUM(AQ400)</f>
        <v>1</v>
      </c>
      <c r="CA400" s="2">
        <f t="shared" si="579"/>
        <v>1</v>
      </c>
      <c r="CB400" s="2">
        <f t="shared" si="431"/>
        <v>0</v>
      </c>
    </row>
    <row r="401" spans="1:80" ht="16" x14ac:dyDescent="0.2">
      <c r="A401" s="3" t="s">
        <v>158</v>
      </c>
      <c r="B401" s="10">
        <v>484</v>
      </c>
      <c r="C401" s="5">
        <v>1</v>
      </c>
      <c r="D401" s="10">
        <v>0</v>
      </c>
      <c r="E401" s="5">
        <v>0</v>
      </c>
      <c r="F401" s="10">
        <v>1993</v>
      </c>
      <c r="G401" s="10" t="s">
        <v>71</v>
      </c>
      <c r="H401" s="7" t="str">
        <f t="shared" si="399"/>
        <v>No</v>
      </c>
      <c r="I401" s="54" t="s">
        <v>55</v>
      </c>
      <c r="J401" s="8">
        <v>1</v>
      </c>
      <c r="K401" s="8" t="s">
        <v>63</v>
      </c>
      <c r="L401" s="8" t="s">
        <v>64</v>
      </c>
      <c r="M401" s="8" t="s">
        <v>64</v>
      </c>
      <c r="N401" s="8">
        <v>0</v>
      </c>
      <c r="O401" s="8">
        <v>1</v>
      </c>
      <c r="P401" s="8">
        <v>1</v>
      </c>
      <c r="Q401" s="8" t="s">
        <v>87</v>
      </c>
      <c r="R401" s="6" t="s">
        <v>159</v>
      </c>
      <c r="S401" s="8">
        <v>0</v>
      </c>
      <c r="T401" s="8">
        <v>1</v>
      </c>
      <c r="U401" s="8">
        <v>1</v>
      </c>
      <c r="V401" s="8">
        <v>1</v>
      </c>
      <c r="W401" s="8">
        <v>1</v>
      </c>
      <c r="X401" s="8">
        <v>1</v>
      </c>
      <c r="Y401" s="8">
        <v>0</v>
      </c>
      <c r="Z401" s="8">
        <v>1</v>
      </c>
      <c r="AA401" s="8" t="s">
        <v>160</v>
      </c>
      <c r="AB401" s="8">
        <v>1</v>
      </c>
      <c r="AC401" s="8">
        <v>0</v>
      </c>
      <c r="AD401" s="8">
        <v>0</v>
      </c>
      <c r="AE401" s="8">
        <v>1</v>
      </c>
      <c r="AF401" s="8">
        <v>0</v>
      </c>
      <c r="AG401" s="8">
        <v>0</v>
      </c>
      <c r="AH401" s="8">
        <v>0</v>
      </c>
      <c r="AI401" s="8">
        <v>1</v>
      </c>
      <c r="AJ401" s="8">
        <v>1</v>
      </c>
      <c r="AK401" s="8">
        <v>0</v>
      </c>
      <c r="AL401" s="8">
        <v>1</v>
      </c>
      <c r="AM401" s="8">
        <v>1</v>
      </c>
      <c r="AN401" s="8">
        <v>0</v>
      </c>
      <c r="AO401" s="8">
        <v>1</v>
      </c>
      <c r="AP401" s="8">
        <v>1</v>
      </c>
      <c r="AQ401" s="8">
        <v>1</v>
      </c>
      <c r="AR401" s="8">
        <v>1</v>
      </c>
      <c r="AS401" s="8">
        <v>0</v>
      </c>
      <c r="AT401" s="8">
        <v>0</v>
      </c>
      <c r="AU401" s="8">
        <v>0</v>
      </c>
      <c r="AV401" s="8">
        <v>0</v>
      </c>
      <c r="AW401" s="8">
        <v>0</v>
      </c>
      <c r="AX401" s="8">
        <v>0</v>
      </c>
      <c r="AY401" s="8">
        <v>0</v>
      </c>
      <c r="AZ401" s="8">
        <v>0</v>
      </c>
      <c r="BA401" s="8">
        <v>0</v>
      </c>
      <c r="BB401" s="8">
        <v>0</v>
      </c>
      <c r="BC401" s="8">
        <v>0</v>
      </c>
      <c r="BD401" s="8">
        <v>0</v>
      </c>
      <c r="BE401" s="8">
        <v>0</v>
      </c>
      <c r="BF401" s="8">
        <v>0</v>
      </c>
      <c r="BG401" s="8">
        <v>0</v>
      </c>
      <c r="BH401" s="8">
        <v>0</v>
      </c>
      <c r="BI401" s="8">
        <v>0</v>
      </c>
      <c r="BJ401" s="8">
        <v>0</v>
      </c>
      <c r="BK401" s="8">
        <v>0</v>
      </c>
      <c r="BL401" s="8">
        <v>0</v>
      </c>
      <c r="BM401" s="8">
        <v>0</v>
      </c>
      <c r="BN401" s="8">
        <v>0</v>
      </c>
      <c r="BO401" s="8">
        <v>0</v>
      </c>
      <c r="BP401" s="8">
        <v>0</v>
      </c>
      <c r="BQ401" s="8">
        <v>0</v>
      </c>
      <c r="BR401" s="8">
        <v>0</v>
      </c>
      <c r="BS401" s="8">
        <f t="shared" si="526"/>
        <v>8</v>
      </c>
      <c r="BT401" s="8"/>
      <c r="BU401" s="2">
        <f t="shared" si="437"/>
        <v>1</v>
      </c>
      <c r="BV401" s="2">
        <f t="shared" si="403"/>
        <v>4</v>
      </c>
      <c r="BW401" s="2">
        <f t="shared" si="404"/>
        <v>1</v>
      </c>
      <c r="BX401" s="2">
        <f t="shared" si="407"/>
        <v>0</v>
      </c>
      <c r="BY401" s="2">
        <f t="shared" si="405"/>
        <v>0</v>
      </c>
      <c r="BZ401" s="2">
        <f t="shared" ref="BZ401:CA401" si="580">SUM(AQ401)</f>
        <v>1</v>
      </c>
      <c r="CA401" s="2">
        <f t="shared" si="580"/>
        <v>1</v>
      </c>
      <c r="CB401" s="2">
        <f t="shared" si="431"/>
        <v>0</v>
      </c>
    </row>
    <row r="402" spans="1:80" ht="16" x14ac:dyDescent="0.2">
      <c r="A402" s="3" t="s">
        <v>158</v>
      </c>
      <c r="B402" s="10">
        <v>484</v>
      </c>
      <c r="C402" s="5">
        <v>1</v>
      </c>
      <c r="D402" s="10">
        <v>0</v>
      </c>
      <c r="E402" s="5">
        <v>0</v>
      </c>
      <c r="F402" s="10">
        <v>1993</v>
      </c>
      <c r="G402" s="10" t="s">
        <v>72</v>
      </c>
      <c r="H402" s="7" t="str">
        <f t="shared" si="399"/>
        <v>No</v>
      </c>
      <c r="I402" s="54" t="s">
        <v>55</v>
      </c>
      <c r="J402" s="8">
        <v>1</v>
      </c>
      <c r="K402" s="8" t="s">
        <v>63</v>
      </c>
      <c r="L402" s="8" t="s">
        <v>64</v>
      </c>
      <c r="M402" s="8" t="s">
        <v>64</v>
      </c>
      <c r="N402" s="8">
        <v>0</v>
      </c>
      <c r="O402" s="8">
        <v>1</v>
      </c>
      <c r="P402" s="8">
        <v>1</v>
      </c>
      <c r="Q402" s="8" t="s">
        <v>87</v>
      </c>
      <c r="R402" s="6" t="s">
        <v>159</v>
      </c>
      <c r="S402" s="8">
        <v>0</v>
      </c>
      <c r="T402" s="8">
        <v>1</v>
      </c>
      <c r="U402" s="8">
        <v>1</v>
      </c>
      <c r="V402" s="8">
        <v>1</v>
      </c>
      <c r="W402" s="8">
        <v>1</v>
      </c>
      <c r="X402" s="8">
        <v>1</v>
      </c>
      <c r="Y402" s="8">
        <v>0</v>
      </c>
      <c r="Z402" s="8">
        <v>1</v>
      </c>
      <c r="AA402" s="8" t="s">
        <v>160</v>
      </c>
      <c r="AB402" s="8">
        <v>1</v>
      </c>
      <c r="AC402" s="8">
        <v>0</v>
      </c>
      <c r="AD402" s="8">
        <v>0</v>
      </c>
      <c r="AE402" s="8">
        <v>1</v>
      </c>
      <c r="AF402" s="8">
        <v>0</v>
      </c>
      <c r="AG402" s="8">
        <v>0</v>
      </c>
      <c r="AH402" s="8">
        <v>0</v>
      </c>
      <c r="AI402" s="8">
        <v>1</v>
      </c>
      <c r="AJ402" s="8">
        <v>1</v>
      </c>
      <c r="AK402" s="8">
        <v>0</v>
      </c>
      <c r="AL402" s="8">
        <v>1</v>
      </c>
      <c r="AM402" s="8">
        <v>1</v>
      </c>
      <c r="AN402" s="8">
        <v>0</v>
      </c>
      <c r="AO402" s="8">
        <v>1</v>
      </c>
      <c r="AP402" s="8">
        <v>1</v>
      </c>
      <c r="AQ402" s="8">
        <v>1</v>
      </c>
      <c r="AR402" s="8">
        <v>1</v>
      </c>
      <c r="AS402" s="8">
        <v>0</v>
      </c>
      <c r="AT402" s="8">
        <v>0</v>
      </c>
      <c r="AU402" s="8">
        <v>0</v>
      </c>
      <c r="AV402" s="8">
        <v>0</v>
      </c>
      <c r="AW402" s="8">
        <v>0</v>
      </c>
      <c r="AX402" s="8">
        <v>0</v>
      </c>
      <c r="AY402" s="8">
        <v>0</v>
      </c>
      <c r="AZ402" s="8">
        <v>0</v>
      </c>
      <c r="BA402" s="8">
        <v>0</v>
      </c>
      <c r="BB402" s="8">
        <v>0</v>
      </c>
      <c r="BC402" s="8">
        <v>0</v>
      </c>
      <c r="BD402" s="8">
        <v>0</v>
      </c>
      <c r="BE402" s="8">
        <v>0</v>
      </c>
      <c r="BF402" s="8">
        <v>0</v>
      </c>
      <c r="BG402" s="8">
        <v>0</v>
      </c>
      <c r="BH402" s="8">
        <v>0</v>
      </c>
      <c r="BI402" s="8">
        <v>0</v>
      </c>
      <c r="BJ402" s="8">
        <v>0</v>
      </c>
      <c r="BK402" s="8">
        <v>0</v>
      </c>
      <c r="BL402" s="8">
        <v>0</v>
      </c>
      <c r="BM402" s="8">
        <v>0</v>
      </c>
      <c r="BN402" s="8">
        <v>0</v>
      </c>
      <c r="BO402" s="8">
        <v>0</v>
      </c>
      <c r="BP402" s="8">
        <v>0</v>
      </c>
      <c r="BQ402" s="8">
        <v>0</v>
      </c>
      <c r="BR402" s="8">
        <v>0</v>
      </c>
      <c r="BS402" s="8">
        <f t="shared" si="526"/>
        <v>8</v>
      </c>
      <c r="BT402" s="8"/>
      <c r="BU402" s="2">
        <f t="shared" si="437"/>
        <v>1</v>
      </c>
      <c r="BV402" s="2">
        <f t="shared" si="403"/>
        <v>4</v>
      </c>
      <c r="BW402" s="2">
        <f t="shared" si="404"/>
        <v>1</v>
      </c>
      <c r="BX402" s="2">
        <f t="shared" si="407"/>
        <v>0</v>
      </c>
      <c r="BY402" s="2">
        <f t="shared" si="405"/>
        <v>0</v>
      </c>
      <c r="BZ402" s="2">
        <f t="shared" ref="BZ402:CA402" si="581">SUM(AQ402)</f>
        <v>1</v>
      </c>
      <c r="CA402" s="2">
        <f t="shared" si="581"/>
        <v>1</v>
      </c>
      <c r="CB402" s="2">
        <f t="shared" si="431"/>
        <v>0</v>
      </c>
    </row>
    <row r="403" spans="1:80" ht="16" x14ac:dyDescent="0.2">
      <c r="A403" s="3" t="s">
        <v>158</v>
      </c>
      <c r="B403" s="10">
        <v>484</v>
      </c>
      <c r="C403" s="5">
        <v>1</v>
      </c>
      <c r="D403" s="10">
        <v>0</v>
      </c>
      <c r="E403" s="5">
        <v>0</v>
      </c>
      <c r="F403" s="10">
        <v>1993</v>
      </c>
      <c r="G403" s="10" t="s">
        <v>73</v>
      </c>
      <c r="H403" s="7" t="str">
        <f t="shared" si="399"/>
        <v>No</v>
      </c>
      <c r="I403" s="54" t="s">
        <v>55</v>
      </c>
      <c r="J403" s="8">
        <v>1</v>
      </c>
      <c r="K403" s="8" t="s">
        <v>63</v>
      </c>
      <c r="L403" s="8" t="s">
        <v>64</v>
      </c>
      <c r="M403" s="8" t="s">
        <v>64</v>
      </c>
      <c r="N403" s="8">
        <v>0</v>
      </c>
      <c r="O403" s="8">
        <v>1</v>
      </c>
      <c r="P403" s="8">
        <v>1</v>
      </c>
      <c r="Q403" s="8" t="s">
        <v>87</v>
      </c>
      <c r="R403" s="6" t="s">
        <v>159</v>
      </c>
      <c r="S403" s="8">
        <v>0</v>
      </c>
      <c r="T403" s="8">
        <v>1</v>
      </c>
      <c r="U403" s="8">
        <v>1</v>
      </c>
      <c r="V403" s="8">
        <v>1</v>
      </c>
      <c r="W403" s="8">
        <v>1</v>
      </c>
      <c r="X403" s="8">
        <v>1</v>
      </c>
      <c r="Y403" s="8">
        <v>0</v>
      </c>
      <c r="Z403" s="8">
        <v>1</v>
      </c>
      <c r="AA403" s="8" t="s">
        <v>160</v>
      </c>
      <c r="AB403" s="8">
        <v>1</v>
      </c>
      <c r="AC403" s="8">
        <v>0</v>
      </c>
      <c r="AD403" s="8">
        <v>0</v>
      </c>
      <c r="AE403" s="8">
        <v>1</v>
      </c>
      <c r="AF403" s="8">
        <v>0</v>
      </c>
      <c r="AG403" s="8">
        <v>0</v>
      </c>
      <c r="AH403" s="8">
        <v>0</v>
      </c>
      <c r="AI403" s="8">
        <v>1</v>
      </c>
      <c r="AJ403" s="8">
        <v>1</v>
      </c>
      <c r="AK403" s="8">
        <v>0</v>
      </c>
      <c r="AL403" s="8">
        <v>1</v>
      </c>
      <c r="AM403" s="8">
        <v>1</v>
      </c>
      <c r="AN403" s="8">
        <v>0</v>
      </c>
      <c r="AO403" s="8">
        <v>1</v>
      </c>
      <c r="AP403" s="8">
        <v>1</v>
      </c>
      <c r="AQ403" s="8">
        <v>1</v>
      </c>
      <c r="AR403" s="8">
        <v>1</v>
      </c>
      <c r="AS403" s="8">
        <v>0</v>
      </c>
      <c r="AT403" s="8">
        <v>0</v>
      </c>
      <c r="AU403" s="8">
        <v>0</v>
      </c>
      <c r="AV403" s="8">
        <v>0</v>
      </c>
      <c r="AW403" s="8">
        <v>0</v>
      </c>
      <c r="AX403" s="8">
        <v>0</v>
      </c>
      <c r="AY403" s="8">
        <v>0</v>
      </c>
      <c r="AZ403" s="8">
        <v>0</v>
      </c>
      <c r="BA403" s="8">
        <v>0</v>
      </c>
      <c r="BB403" s="8">
        <v>0</v>
      </c>
      <c r="BC403" s="8">
        <v>0</v>
      </c>
      <c r="BD403" s="8">
        <v>0</v>
      </c>
      <c r="BE403" s="8">
        <v>0</v>
      </c>
      <c r="BF403" s="8">
        <v>0</v>
      </c>
      <c r="BG403" s="8">
        <v>0</v>
      </c>
      <c r="BH403" s="8">
        <v>0</v>
      </c>
      <c r="BI403" s="8">
        <v>0</v>
      </c>
      <c r="BJ403" s="8">
        <v>0</v>
      </c>
      <c r="BK403" s="8">
        <v>0</v>
      </c>
      <c r="BL403" s="8">
        <v>0</v>
      </c>
      <c r="BM403" s="8">
        <v>0</v>
      </c>
      <c r="BN403" s="8">
        <v>0</v>
      </c>
      <c r="BO403" s="8">
        <v>0</v>
      </c>
      <c r="BP403" s="8">
        <v>0</v>
      </c>
      <c r="BQ403" s="8">
        <v>0</v>
      </c>
      <c r="BR403" s="8">
        <v>0</v>
      </c>
      <c r="BS403" s="8">
        <f t="shared" si="526"/>
        <v>8</v>
      </c>
      <c r="BT403" s="8"/>
      <c r="BU403" s="2">
        <f t="shared" si="437"/>
        <v>1</v>
      </c>
      <c r="BV403" s="2">
        <f t="shared" si="403"/>
        <v>4</v>
      </c>
      <c r="BW403" s="2">
        <f t="shared" si="404"/>
        <v>1</v>
      </c>
      <c r="BX403" s="2">
        <f t="shared" si="407"/>
        <v>0</v>
      </c>
      <c r="BY403" s="2">
        <f t="shared" si="405"/>
        <v>0</v>
      </c>
      <c r="BZ403" s="2">
        <f t="shared" ref="BZ403:CA403" si="582">SUM(AQ403)</f>
        <v>1</v>
      </c>
      <c r="CA403" s="2">
        <f t="shared" si="582"/>
        <v>1</v>
      </c>
      <c r="CB403" s="2">
        <f t="shared" si="431"/>
        <v>0</v>
      </c>
    </row>
    <row r="404" spans="1:80" ht="16" x14ac:dyDescent="0.2">
      <c r="A404" s="3" t="s">
        <v>158</v>
      </c>
      <c r="B404" s="10">
        <v>484</v>
      </c>
      <c r="C404" s="5">
        <v>1</v>
      </c>
      <c r="D404" s="10">
        <v>0</v>
      </c>
      <c r="E404" s="5">
        <v>0</v>
      </c>
      <c r="F404" s="10">
        <v>1993</v>
      </c>
      <c r="G404" s="10" t="s">
        <v>74</v>
      </c>
      <c r="H404" s="7" t="str">
        <f t="shared" si="399"/>
        <v>No</v>
      </c>
      <c r="I404" s="54" t="s">
        <v>55</v>
      </c>
      <c r="J404" s="8">
        <v>1</v>
      </c>
      <c r="K404" s="8" t="s">
        <v>63</v>
      </c>
      <c r="L404" s="8" t="s">
        <v>64</v>
      </c>
      <c r="M404" s="8" t="s">
        <v>64</v>
      </c>
      <c r="N404" s="8">
        <v>0</v>
      </c>
      <c r="O404" s="8">
        <v>1</v>
      </c>
      <c r="P404" s="8">
        <v>1</v>
      </c>
      <c r="Q404" s="8" t="s">
        <v>87</v>
      </c>
      <c r="R404" s="6" t="s">
        <v>159</v>
      </c>
      <c r="S404" s="8">
        <v>0</v>
      </c>
      <c r="T404" s="8">
        <v>1</v>
      </c>
      <c r="U404" s="8">
        <v>1</v>
      </c>
      <c r="V404" s="8">
        <v>1</v>
      </c>
      <c r="W404" s="8">
        <v>1</v>
      </c>
      <c r="X404" s="8">
        <v>1</v>
      </c>
      <c r="Y404" s="8">
        <v>0</v>
      </c>
      <c r="Z404" s="8">
        <v>1</v>
      </c>
      <c r="AA404" s="8" t="s">
        <v>160</v>
      </c>
      <c r="AB404" s="8">
        <v>1</v>
      </c>
      <c r="AC404" s="8">
        <v>0</v>
      </c>
      <c r="AD404" s="8">
        <v>0</v>
      </c>
      <c r="AE404" s="8">
        <v>1</v>
      </c>
      <c r="AF404" s="8">
        <v>0</v>
      </c>
      <c r="AG404" s="8">
        <v>0</v>
      </c>
      <c r="AH404" s="8">
        <v>0</v>
      </c>
      <c r="AI404" s="8">
        <v>1</v>
      </c>
      <c r="AJ404" s="8">
        <v>1</v>
      </c>
      <c r="AK404" s="8">
        <v>0</v>
      </c>
      <c r="AL404" s="8">
        <v>1</v>
      </c>
      <c r="AM404" s="8">
        <v>1</v>
      </c>
      <c r="AN404" s="8">
        <v>0</v>
      </c>
      <c r="AO404" s="8">
        <v>1</v>
      </c>
      <c r="AP404" s="8">
        <v>1</v>
      </c>
      <c r="AQ404" s="8">
        <v>1</v>
      </c>
      <c r="AR404" s="8">
        <v>1</v>
      </c>
      <c r="AS404" s="8">
        <v>0</v>
      </c>
      <c r="AT404" s="8">
        <v>0</v>
      </c>
      <c r="AU404" s="8">
        <v>0</v>
      </c>
      <c r="AV404" s="8">
        <v>0</v>
      </c>
      <c r="AW404" s="8">
        <v>0</v>
      </c>
      <c r="AX404" s="8">
        <v>0</v>
      </c>
      <c r="AY404" s="8">
        <v>0</v>
      </c>
      <c r="AZ404" s="8">
        <v>0</v>
      </c>
      <c r="BA404" s="8">
        <v>0</v>
      </c>
      <c r="BB404" s="8">
        <v>0</v>
      </c>
      <c r="BC404" s="8">
        <v>0</v>
      </c>
      <c r="BD404" s="8">
        <v>0</v>
      </c>
      <c r="BE404" s="8">
        <v>0</v>
      </c>
      <c r="BF404" s="8">
        <v>0</v>
      </c>
      <c r="BG404" s="8">
        <v>0</v>
      </c>
      <c r="BH404" s="8">
        <v>0</v>
      </c>
      <c r="BI404" s="8">
        <v>0</v>
      </c>
      <c r="BJ404" s="8">
        <v>0</v>
      </c>
      <c r="BK404" s="8">
        <v>0</v>
      </c>
      <c r="BL404" s="8">
        <v>0</v>
      </c>
      <c r="BM404" s="8">
        <v>0</v>
      </c>
      <c r="BN404" s="8">
        <v>0</v>
      </c>
      <c r="BO404" s="8">
        <v>0</v>
      </c>
      <c r="BP404" s="8">
        <v>0</v>
      </c>
      <c r="BQ404" s="8">
        <v>0</v>
      </c>
      <c r="BR404" s="8">
        <v>0</v>
      </c>
      <c r="BS404" s="8">
        <f t="shared" si="526"/>
        <v>8</v>
      </c>
      <c r="BT404" s="8"/>
      <c r="BU404" s="2">
        <f t="shared" si="437"/>
        <v>1</v>
      </c>
      <c r="BV404" s="2">
        <f t="shared" si="403"/>
        <v>4</v>
      </c>
      <c r="BW404" s="2">
        <f t="shared" si="404"/>
        <v>1</v>
      </c>
      <c r="BX404" s="2">
        <f t="shared" si="407"/>
        <v>0</v>
      </c>
      <c r="BY404" s="2">
        <f t="shared" si="405"/>
        <v>0</v>
      </c>
      <c r="BZ404" s="2">
        <f t="shared" ref="BZ404:CA404" si="583">SUM(AQ404)</f>
        <v>1</v>
      </c>
      <c r="CA404" s="2">
        <f t="shared" si="583"/>
        <v>1</v>
      </c>
      <c r="CB404" s="2">
        <f t="shared" si="431"/>
        <v>0</v>
      </c>
    </row>
    <row r="405" spans="1:80" ht="16" x14ac:dyDescent="0.2">
      <c r="A405" s="3" t="s">
        <v>158</v>
      </c>
      <c r="B405" s="10">
        <v>484</v>
      </c>
      <c r="C405" s="5">
        <v>1</v>
      </c>
      <c r="D405" s="10">
        <v>0</v>
      </c>
      <c r="E405" s="5">
        <v>0</v>
      </c>
      <c r="F405" s="10">
        <v>1993</v>
      </c>
      <c r="G405" s="10" t="s">
        <v>75</v>
      </c>
      <c r="H405" s="7" t="str">
        <f t="shared" si="399"/>
        <v>No</v>
      </c>
      <c r="I405" s="54" t="s">
        <v>55</v>
      </c>
      <c r="J405" s="8">
        <v>1</v>
      </c>
      <c r="K405" s="8" t="s">
        <v>63</v>
      </c>
      <c r="L405" s="8" t="s">
        <v>64</v>
      </c>
      <c r="M405" s="8" t="s">
        <v>64</v>
      </c>
      <c r="N405" s="8">
        <v>0</v>
      </c>
      <c r="O405" s="8">
        <v>1</v>
      </c>
      <c r="P405" s="8">
        <v>1</v>
      </c>
      <c r="Q405" s="8" t="s">
        <v>87</v>
      </c>
      <c r="R405" s="6" t="s">
        <v>159</v>
      </c>
      <c r="S405" s="8">
        <v>0</v>
      </c>
      <c r="T405" s="8">
        <v>1</v>
      </c>
      <c r="U405" s="8">
        <v>1</v>
      </c>
      <c r="V405" s="8">
        <v>1</v>
      </c>
      <c r="W405" s="8">
        <v>1</v>
      </c>
      <c r="X405" s="8">
        <v>1</v>
      </c>
      <c r="Y405" s="8">
        <v>0</v>
      </c>
      <c r="Z405" s="8">
        <v>1</v>
      </c>
      <c r="AA405" s="8" t="s">
        <v>160</v>
      </c>
      <c r="AB405" s="8">
        <v>1</v>
      </c>
      <c r="AC405" s="8">
        <v>0</v>
      </c>
      <c r="AD405" s="8">
        <v>0</v>
      </c>
      <c r="AE405" s="8">
        <v>1</v>
      </c>
      <c r="AF405" s="8">
        <v>0</v>
      </c>
      <c r="AG405" s="8">
        <v>0</v>
      </c>
      <c r="AH405" s="8">
        <v>0</v>
      </c>
      <c r="AI405" s="8">
        <v>1</v>
      </c>
      <c r="AJ405" s="8">
        <v>1</v>
      </c>
      <c r="AK405" s="8">
        <v>0</v>
      </c>
      <c r="AL405" s="8">
        <v>1</v>
      </c>
      <c r="AM405" s="8">
        <v>1</v>
      </c>
      <c r="AN405" s="8">
        <v>0</v>
      </c>
      <c r="AO405" s="8">
        <v>1</v>
      </c>
      <c r="AP405" s="8">
        <v>1</v>
      </c>
      <c r="AQ405" s="8">
        <v>1</v>
      </c>
      <c r="AR405" s="8">
        <v>1</v>
      </c>
      <c r="AS405" s="8">
        <v>0</v>
      </c>
      <c r="AT405" s="8">
        <v>0</v>
      </c>
      <c r="AU405" s="8">
        <v>0</v>
      </c>
      <c r="AV405" s="8">
        <v>0</v>
      </c>
      <c r="AW405" s="8">
        <v>0</v>
      </c>
      <c r="AX405" s="8">
        <v>0</v>
      </c>
      <c r="AY405" s="8">
        <v>0</v>
      </c>
      <c r="AZ405" s="8">
        <v>0</v>
      </c>
      <c r="BA405" s="8">
        <v>0</v>
      </c>
      <c r="BB405" s="8">
        <v>0</v>
      </c>
      <c r="BC405" s="8">
        <v>0</v>
      </c>
      <c r="BD405" s="8">
        <v>0</v>
      </c>
      <c r="BE405" s="8">
        <v>0</v>
      </c>
      <c r="BF405" s="8">
        <v>0</v>
      </c>
      <c r="BG405" s="8">
        <v>0</v>
      </c>
      <c r="BH405" s="8">
        <v>0</v>
      </c>
      <c r="BI405" s="8">
        <v>0</v>
      </c>
      <c r="BJ405" s="8">
        <v>0</v>
      </c>
      <c r="BK405" s="8">
        <v>0</v>
      </c>
      <c r="BL405" s="8">
        <v>0</v>
      </c>
      <c r="BM405" s="8">
        <v>0</v>
      </c>
      <c r="BN405" s="8">
        <v>0</v>
      </c>
      <c r="BO405" s="8">
        <v>0</v>
      </c>
      <c r="BP405" s="8">
        <v>0</v>
      </c>
      <c r="BQ405" s="8">
        <v>0</v>
      </c>
      <c r="BR405" s="8">
        <v>0</v>
      </c>
      <c r="BS405" s="8">
        <f t="shared" si="526"/>
        <v>8</v>
      </c>
      <c r="BT405" s="8"/>
      <c r="BU405" s="2">
        <f t="shared" si="437"/>
        <v>1</v>
      </c>
      <c r="BV405" s="2">
        <f t="shared" si="403"/>
        <v>4</v>
      </c>
      <c r="BW405" s="2">
        <f t="shared" si="404"/>
        <v>1</v>
      </c>
      <c r="BX405" s="2">
        <f t="shared" si="407"/>
        <v>0</v>
      </c>
      <c r="BY405" s="2">
        <f t="shared" si="405"/>
        <v>0</v>
      </c>
      <c r="BZ405" s="2">
        <f t="shared" ref="BZ405:CA405" si="584">SUM(AQ405)</f>
        <v>1</v>
      </c>
      <c r="CA405" s="2">
        <f t="shared" si="584"/>
        <v>1</v>
      </c>
      <c r="CB405" s="2">
        <f t="shared" si="431"/>
        <v>0</v>
      </c>
    </row>
    <row r="406" spans="1:80" ht="16" x14ac:dyDescent="0.2">
      <c r="A406" s="3" t="s">
        <v>158</v>
      </c>
      <c r="B406" s="10">
        <v>484</v>
      </c>
      <c r="C406" s="5">
        <v>1</v>
      </c>
      <c r="D406" s="10">
        <v>0</v>
      </c>
      <c r="E406" s="5">
        <v>0</v>
      </c>
      <c r="F406" s="10">
        <v>1993</v>
      </c>
      <c r="G406" s="10" t="s">
        <v>76</v>
      </c>
      <c r="H406" s="7" t="str">
        <f t="shared" si="399"/>
        <v>No</v>
      </c>
      <c r="I406" s="54" t="s">
        <v>55</v>
      </c>
      <c r="J406" s="8">
        <v>1</v>
      </c>
      <c r="K406" s="8" t="s">
        <v>63</v>
      </c>
      <c r="L406" s="8" t="s">
        <v>64</v>
      </c>
      <c r="M406" s="8" t="s">
        <v>64</v>
      </c>
      <c r="N406" s="8">
        <v>0</v>
      </c>
      <c r="O406" s="8">
        <v>1</v>
      </c>
      <c r="P406" s="8">
        <v>1</v>
      </c>
      <c r="Q406" s="8" t="s">
        <v>87</v>
      </c>
      <c r="R406" s="6" t="s">
        <v>159</v>
      </c>
      <c r="S406" s="8">
        <v>0</v>
      </c>
      <c r="T406" s="8">
        <v>1</v>
      </c>
      <c r="U406" s="8">
        <v>1</v>
      </c>
      <c r="V406" s="8">
        <v>1</v>
      </c>
      <c r="W406" s="8">
        <v>1</v>
      </c>
      <c r="X406" s="8">
        <v>1</v>
      </c>
      <c r="Y406" s="8">
        <v>0</v>
      </c>
      <c r="Z406" s="8">
        <v>1</v>
      </c>
      <c r="AA406" s="8" t="s">
        <v>160</v>
      </c>
      <c r="AB406" s="8">
        <v>1</v>
      </c>
      <c r="AC406" s="8">
        <v>0</v>
      </c>
      <c r="AD406" s="8">
        <v>0</v>
      </c>
      <c r="AE406" s="8">
        <v>1</v>
      </c>
      <c r="AF406" s="8">
        <v>0</v>
      </c>
      <c r="AG406" s="8">
        <v>0</v>
      </c>
      <c r="AH406" s="8">
        <v>0</v>
      </c>
      <c r="AI406" s="8">
        <v>1</v>
      </c>
      <c r="AJ406" s="8">
        <v>1</v>
      </c>
      <c r="AK406" s="8">
        <v>0</v>
      </c>
      <c r="AL406" s="8">
        <v>1</v>
      </c>
      <c r="AM406" s="8">
        <v>1</v>
      </c>
      <c r="AN406" s="8">
        <v>0</v>
      </c>
      <c r="AO406" s="8">
        <v>1</v>
      </c>
      <c r="AP406" s="8">
        <v>1</v>
      </c>
      <c r="AQ406" s="8">
        <v>1</v>
      </c>
      <c r="AR406" s="8">
        <v>1</v>
      </c>
      <c r="AS406" s="8">
        <v>0</v>
      </c>
      <c r="AT406" s="8">
        <v>0</v>
      </c>
      <c r="AU406" s="8">
        <v>0</v>
      </c>
      <c r="AV406" s="8">
        <v>0</v>
      </c>
      <c r="AW406" s="8">
        <v>0</v>
      </c>
      <c r="AX406" s="8">
        <v>0</v>
      </c>
      <c r="AY406" s="8">
        <v>0</v>
      </c>
      <c r="AZ406" s="8">
        <v>0</v>
      </c>
      <c r="BA406" s="8">
        <v>0</v>
      </c>
      <c r="BB406" s="8">
        <v>0</v>
      </c>
      <c r="BC406" s="8">
        <v>0</v>
      </c>
      <c r="BD406" s="8">
        <v>0</v>
      </c>
      <c r="BE406" s="8">
        <v>0</v>
      </c>
      <c r="BF406" s="8">
        <v>0</v>
      </c>
      <c r="BG406" s="8">
        <v>0</v>
      </c>
      <c r="BH406" s="8">
        <v>0</v>
      </c>
      <c r="BI406" s="8">
        <v>0</v>
      </c>
      <c r="BJ406" s="8">
        <v>0</v>
      </c>
      <c r="BK406" s="8">
        <v>0</v>
      </c>
      <c r="BL406" s="8">
        <v>0</v>
      </c>
      <c r="BM406" s="8">
        <v>0</v>
      </c>
      <c r="BN406" s="8">
        <v>0</v>
      </c>
      <c r="BO406" s="8">
        <v>0</v>
      </c>
      <c r="BP406" s="8">
        <v>0</v>
      </c>
      <c r="BQ406" s="8">
        <v>0</v>
      </c>
      <c r="BR406" s="8">
        <v>0</v>
      </c>
      <c r="BS406" s="8">
        <f t="shared" si="526"/>
        <v>8</v>
      </c>
      <c r="BT406" s="8"/>
      <c r="BU406" s="2">
        <f t="shared" si="437"/>
        <v>1</v>
      </c>
      <c r="BV406" s="2">
        <f t="shared" si="403"/>
        <v>4</v>
      </c>
      <c r="BW406" s="2">
        <f t="shared" si="404"/>
        <v>1</v>
      </c>
      <c r="BX406" s="2">
        <f t="shared" si="407"/>
        <v>0</v>
      </c>
      <c r="BY406" s="2">
        <f t="shared" si="405"/>
        <v>0</v>
      </c>
      <c r="BZ406" s="2">
        <f t="shared" ref="BZ406:CA406" si="585">SUM(AQ406)</f>
        <v>1</v>
      </c>
      <c r="CA406" s="2">
        <f t="shared" si="585"/>
        <v>1</v>
      </c>
      <c r="CB406" s="2">
        <f t="shared" si="431"/>
        <v>0</v>
      </c>
    </row>
    <row r="407" spans="1:80" ht="16" x14ac:dyDescent="0.2">
      <c r="A407" s="3" t="s">
        <v>158</v>
      </c>
      <c r="B407" s="10">
        <v>484</v>
      </c>
      <c r="C407" s="5">
        <v>1</v>
      </c>
      <c r="D407" s="10">
        <v>0</v>
      </c>
      <c r="E407" s="5">
        <v>0</v>
      </c>
      <c r="F407" s="10">
        <v>1993</v>
      </c>
      <c r="G407" s="10" t="s">
        <v>77</v>
      </c>
      <c r="H407" s="7" t="str">
        <f t="shared" si="399"/>
        <v>No</v>
      </c>
      <c r="I407" s="54" t="s">
        <v>55</v>
      </c>
      <c r="J407" s="8">
        <v>1</v>
      </c>
      <c r="K407" s="8" t="s">
        <v>63</v>
      </c>
      <c r="L407" s="8" t="s">
        <v>64</v>
      </c>
      <c r="M407" s="8" t="s">
        <v>64</v>
      </c>
      <c r="N407" s="8">
        <v>0</v>
      </c>
      <c r="O407" s="8">
        <v>1</v>
      </c>
      <c r="P407" s="8">
        <v>1</v>
      </c>
      <c r="Q407" s="8" t="s">
        <v>87</v>
      </c>
      <c r="R407" s="6" t="s">
        <v>159</v>
      </c>
      <c r="S407" s="8">
        <v>0</v>
      </c>
      <c r="T407" s="8">
        <v>1</v>
      </c>
      <c r="U407" s="8">
        <v>1</v>
      </c>
      <c r="V407" s="8">
        <v>1</v>
      </c>
      <c r="W407" s="8">
        <v>1</v>
      </c>
      <c r="X407" s="8">
        <v>1</v>
      </c>
      <c r="Y407" s="8">
        <v>0</v>
      </c>
      <c r="Z407" s="8">
        <v>1</v>
      </c>
      <c r="AA407" s="8" t="s">
        <v>160</v>
      </c>
      <c r="AB407" s="8">
        <v>1</v>
      </c>
      <c r="AC407" s="8">
        <v>0</v>
      </c>
      <c r="AD407" s="8">
        <v>0</v>
      </c>
      <c r="AE407" s="8">
        <v>1</v>
      </c>
      <c r="AF407" s="8">
        <v>0</v>
      </c>
      <c r="AG407" s="8">
        <v>0</v>
      </c>
      <c r="AH407" s="8">
        <v>0</v>
      </c>
      <c r="AI407" s="8">
        <v>1</v>
      </c>
      <c r="AJ407" s="8">
        <v>1</v>
      </c>
      <c r="AK407" s="8">
        <v>0</v>
      </c>
      <c r="AL407" s="8">
        <v>1</v>
      </c>
      <c r="AM407" s="8">
        <v>1</v>
      </c>
      <c r="AN407" s="8">
        <v>0</v>
      </c>
      <c r="AO407" s="8">
        <v>1</v>
      </c>
      <c r="AP407" s="8">
        <v>1</v>
      </c>
      <c r="AQ407" s="8">
        <v>1</v>
      </c>
      <c r="AR407" s="8">
        <v>1</v>
      </c>
      <c r="AS407" s="8">
        <v>0</v>
      </c>
      <c r="AT407" s="8">
        <v>0</v>
      </c>
      <c r="AU407" s="8">
        <v>0</v>
      </c>
      <c r="AV407" s="8">
        <v>0</v>
      </c>
      <c r="AW407" s="8">
        <v>0</v>
      </c>
      <c r="AX407" s="8">
        <v>0</v>
      </c>
      <c r="AY407" s="8">
        <v>0</v>
      </c>
      <c r="AZ407" s="8">
        <v>0</v>
      </c>
      <c r="BA407" s="8">
        <v>0</v>
      </c>
      <c r="BB407" s="8">
        <v>0</v>
      </c>
      <c r="BC407" s="8">
        <v>0</v>
      </c>
      <c r="BD407" s="8">
        <v>0</v>
      </c>
      <c r="BE407" s="8">
        <v>0</v>
      </c>
      <c r="BF407" s="8">
        <v>0</v>
      </c>
      <c r="BG407" s="8">
        <v>0</v>
      </c>
      <c r="BH407" s="8">
        <v>0</v>
      </c>
      <c r="BI407" s="8">
        <v>0</v>
      </c>
      <c r="BJ407" s="8">
        <v>0</v>
      </c>
      <c r="BK407" s="8">
        <v>0</v>
      </c>
      <c r="BL407" s="8">
        <v>0</v>
      </c>
      <c r="BM407" s="8">
        <v>0</v>
      </c>
      <c r="BN407" s="8">
        <v>0</v>
      </c>
      <c r="BO407" s="8">
        <v>0</v>
      </c>
      <c r="BP407" s="8">
        <v>0</v>
      </c>
      <c r="BQ407" s="8">
        <v>0</v>
      </c>
      <c r="BR407" s="8">
        <v>0</v>
      </c>
      <c r="BS407" s="8">
        <f t="shared" si="526"/>
        <v>8</v>
      </c>
      <c r="BT407" s="8"/>
      <c r="BU407" s="2">
        <f t="shared" si="437"/>
        <v>1</v>
      </c>
      <c r="BV407" s="2">
        <f t="shared" si="403"/>
        <v>4</v>
      </c>
      <c r="BW407" s="2">
        <f t="shared" si="404"/>
        <v>1</v>
      </c>
      <c r="BX407" s="2">
        <f t="shared" si="407"/>
        <v>0</v>
      </c>
      <c r="BY407" s="2">
        <f t="shared" si="405"/>
        <v>0</v>
      </c>
      <c r="BZ407" s="2">
        <f t="shared" ref="BZ407:CA407" si="586">SUM(AQ407)</f>
        <v>1</v>
      </c>
      <c r="CA407" s="2">
        <f t="shared" si="586"/>
        <v>1</v>
      </c>
      <c r="CB407" s="2">
        <f t="shared" si="431"/>
        <v>0</v>
      </c>
    </row>
    <row r="408" spans="1:80" ht="16" x14ac:dyDescent="0.2">
      <c r="A408" s="3" t="s">
        <v>158</v>
      </c>
      <c r="B408" s="10">
        <v>484</v>
      </c>
      <c r="C408" s="5">
        <v>1</v>
      </c>
      <c r="D408" s="10">
        <v>0</v>
      </c>
      <c r="E408" s="5">
        <v>0</v>
      </c>
      <c r="F408" s="10">
        <v>1993</v>
      </c>
      <c r="G408" s="10" t="s">
        <v>78</v>
      </c>
      <c r="H408" s="7" t="str">
        <f t="shared" si="399"/>
        <v>No</v>
      </c>
      <c r="I408" s="54" t="s">
        <v>55</v>
      </c>
      <c r="J408" s="8">
        <v>1</v>
      </c>
      <c r="K408" s="8" t="s">
        <v>63</v>
      </c>
      <c r="L408" s="8" t="s">
        <v>64</v>
      </c>
      <c r="M408" s="8" t="s">
        <v>64</v>
      </c>
      <c r="N408" s="8">
        <v>0</v>
      </c>
      <c r="O408" s="8">
        <v>1</v>
      </c>
      <c r="P408" s="8">
        <v>1</v>
      </c>
      <c r="Q408" s="8" t="s">
        <v>87</v>
      </c>
      <c r="R408" s="6" t="s">
        <v>159</v>
      </c>
      <c r="S408" s="8">
        <v>0</v>
      </c>
      <c r="T408" s="8">
        <v>1</v>
      </c>
      <c r="U408" s="8">
        <v>1</v>
      </c>
      <c r="V408" s="8">
        <v>1</v>
      </c>
      <c r="W408" s="8">
        <v>1</v>
      </c>
      <c r="X408" s="8">
        <v>1</v>
      </c>
      <c r="Y408" s="8">
        <v>0</v>
      </c>
      <c r="Z408" s="8">
        <v>1</v>
      </c>
      <c r="AA408" s="8" t="s">
        <v>160</v>
      </c>
      <c r="AB408" s="8">
        <v>1</v>
      </c>
      <c r="AC408" s="8">
        <v>0</v>
      </c>
      <c r="AD408" s="8">
        <v>0</v>
      </c>
      <c r="AE408" s="8">
        <v>1</v>
      </c>
      <c r="AF408" s="8">
        <v>0</v>
      </c>
      <c r="AG408" s="8">
        <v>0</v>
      </c>
      <c r="AH408" s="8">
        <v>0</v>
      </c>
      <c r="AI408" s="8">
        <v>1</v>
      </c>
      <c r="AJ408" s="8">
        <v>1</v>
      </c>
      <c r="AK408" s="8">
        <v>0</v>
      </c>
      <c r="AL408" s="8">
        <v>1</v>
      </c>
      <c r="AM408" s="8">
        <v>1</v>
      </c>
      <c r="AN408" s="8">
        <v>0</v>
      </c>
      <c r="AO408" s="8">
        <v>1</v>
      </c>
      <c r="AP408" s="8">
        <v>1</v>
      </c>
      <c r="AQ408" s="8">
        <v>1</v>
      </c>
      <c r="AR408" s="8">
        <v>1</v>
      </c>
      <c r="AS408" s="8">
        <v>0</v>
      </c>
      <c r="AT408" s="8">
        <v>0</v>
      </c>
      <c r="AU408" s="8">
        <v>0</v>
      </c>
      <c r="AV408" s="8">
        <v>0</v>
      </c>
      <c r="AW408" s="8">
        <v>0</v>
      </c>
      <c r="AX408" s="8">
        <v>0</v>
      </c>
      <c r="AY408" s="8">
        <v>0</v>
      </c>
      <c r="AZ408" s="8">
        <v>0</v>
      </c>
      <c r="BA408" s="8">
        <v>0</v>
      </c>
      <c r="BB408" s="8">
        <v>0</v>
      </c>
      <c r="BC408" s="8">
        <v>0</v>
      </c>
      <c r="BD408" s="8">
        <v>0</v>
      </c>
      <c r="BE408" s="8">
        <v>0</v>
      </c>
      <c r="BF408" s="8">
        <v>0</v>
      </c>
      <c r="BG408" s="8">
        <v>0</v>
      </c>
      <c r="BH408" s="8">
        <v>0</v>
      </c>
      <c r="BI408" s="8">
        <v>0</v>
      </c>
      <c r="BJ408" s="8">
        <v>0</v>
      </c>
      <c r="BK408" s="8">
        <v>0</v>
      </c>
      <c r="BL408" s="8">
        <v>0</v>
      </c>
      <c r="BM408" s="8">
        <v>0</v>
      </c>
      <c r="BN408" s="8">
        <v>0</v>
      </c>
      <c r="BO408" s="8">
        <v>0</v>
      </c>
      <c r="BP408" s="8">
        <v>0</v>
      </c>
      <c r="BQ408" s="8">
        <v>0</v>
      </c>
      <c r="BR408" s="8">
        <v>0</v>
      </c>
      <c r="BS408" s="8">
        <f t="shared" si="526"/>
        <v>8</v>
      </c>
      <c r="BT408" s="8"/>
      <c r="BU408" s="2">
        <f t="shared" si="437"/>
        <v>1</v>
      </c>
      <c r="BV408" s="2">
        <f t="shared" si="403"/>
        <v>4</v>
      </c>
      <c r="BW408" s="2">
        <f t="shared" si="404"/>
        <v>1</v>
      </c>
      <c r="BX408" s="2">
        <f t="shared" si="407"/>
        <v>0</v>
      </c>
      <c r="BY408" s="2">
        <f t="shared" si="405"/>
        <v>0</v>
      </c>
      <c r="BZ408" s="2">
        <f t="shared" ref="BZ408:CA408" si="587">SUM(AQ408)</f>
        <v>1</v>
      </c>
      <c r="CA408" s="2">
        <f t="shared" si="587"/>
        <v>1</v>
      </c>
      <c r="CB408" s="2">
        <f t="shared" si="431"/>
        <v>0</v>
      </c>
    </row>
    <row r="409" spans="1:80" ht="15" customHeight="1" x14ac:dyDescent="0.2">
      <c r="A409" s="3" t="s">
        <v>158</v>
      </c>
      <c r="B409" s="10">
        <v>484</v>
      </c>
      <c r="C409" s="5">
        <v>1</v>
      </c>
      <c r="D409" s="10">
        <v>0</v>
      </c>
      <c r="E409" s="5">
        <v>0</v>
      </c>
      <c r="F409" s="10">
        <v>1993</v>
      </c>
      <c r="G409" s="10" t="s">
        <v>79</v>
      </c>
      <c r="H409" s="7" t="str">
        <f t="shared" si="399"/>
        <v>No</v>
      </c>
      <c r="I409" s="54" t="s">
        <v>55</v>
      </c>
      <c r="J409" s="8">
        <v>1</v>
      </c>
      <c r="K409" s="8" t="s">
        <v>63</v>
      </c>
      <c r="L409" s="8" t="s">
        <v>64</v>
      </c>
      <c r="M409" s="8" t="s">
        <v>64</v>
      </c>
      <c r="N409" s="8">
        <v>0</v>
      </c>
      <c r="O409" s="8">
        <v>1</v>
      </c>
      <c r="P409" s="8">
        <v>1</v>
      </c>
      <c r="Q409" s="8" t="s">
        <v>87</v>
      </c>
      <c r="R409" s="6" t="s">
        <v>159</v>
      </c>
      <c r="S409" s="8">
        <v>0</v>
      </c>
      <c r="T409" s="8">
        <v>1</v>
      </c>
      <c r="U409" s="8">
        <v>1</v>
      </c>
      <c r="V409" s="8">
        <v>1</v>
      </c>
      <c r="W409" s="8">
        <v>1</v>
      </c>
      <c r="X409" s="8">
        <v>1</v>
      </c>
      <c r="Y409" s="8">
        <v>0</v>
      </c>
      <c r="Z409" s="8">
        <v>1</v>
      </c>
      <c r="AA409" s="8" t="s">
        <v>160</v>
      </c>
      <c r="AB409" s="8">
        <v>1</v>
      </c>
      <c r="AC409" s="8">
        <v>0</v>
      </c>
      <c r="AD409" s="8">
        <v>0</v>
      </c>
      <c r="AE409" s="8">
        <v>1</v>
      </c>
      <c r="AF409" s="8">
        <v>0</v>
      </c>
      <c r="AG409" s="8">
        <v>0</v>
      </c>
      <c r="AH409" s="8">
        <v>0</v>
      </c>
      <c r="AI409" s="8">
        <v>1</v>
      </c>
      <c r="AJ409" s="8">
        <v>1</v>
      </c>
      <c r="AK409" s="8">
        <v>0</v>
      </c>
      <c r="AL409" s="8">
        <v>1</v>
      </c>
      <c r="AM409" s="8">
        <v>1</v>
      </c>
      <c r="AN409" s="8">
        <v>0</v>
      </c>
      <c r="AO409" s="8">
        <v>1</v>
      </c>
      <c r="AP409" s="8">
        <v>1</v>
      </c>
      <c r="AQ409" s="8">
        <v>1</v>
      </c>
      <c r="AR409" s="8">
        <v>1</v>
      </c>
      <c r="AS409" s="8">
        <v>0</v>
      </c>
      <c r="AT409" s="8">
        <v>0</v>
      </c>
      <c r="AU409" s="8">
        <v>0</v>
      </c>
      <c r="AV409" s="8">
        <v>0</v>
      </c>
      <c r="AW409" s="8">
        <v>0</v>
      </c>
      <c r="AX409" s="8">
        <v>0</v>
      </c>
      <c r="AY409" s="8">
        <v>0</v>
      </c>
      <c r="AZ409" s="8">
        <v>0</v>
      </c>
      <c r="BA409" s="8">
        <v>0</v>
      </c>
      <c r="BB409" s="8">
        <v>0</v>
      </c>
      <c r="BC409" s="8">
        <v>0</v>
      </c>
      <c r="BD409" s="8">
        <v>0</v>
      </c>
      <c r="BE409" s="8">
        <v>0</v>
      </c>
      <c r="BF409" s="8">
        <v>0</v>
      </c>
      <c r="BG409" s="8">
        <v>0</v>
      </c>
      <c r="BH409" s="8">
        <v>0</v>
      </c>
      <c r="BI409" s="8">
        <v>0</v>
      </c>
      <c r="BJ409" s="8">
        <v>0</v>
      </c>
      <c r="BK409" s="8">
        <v>0</v>
      </c>
      <c r="BL409" s="8">
        <v>0</v>
      </c>
      <c r="BM409" s="8">
        <v>0</v>
      </c>
      <c r="BN409" s="8">
        <v>0</v>
      </c>
      <c r="BO409" s="8">
        <v>0</v>
      </c>
      <c r="BP409" s="8">
        <v>0</v>
      </c>
      <c r="BQ409" s="8">
        <v>0</v>
      </c>
      <c r="BR409" s="8">
        <v>0</v>
      </c>
      <c r="BS409" s="8">
        <f t="shared" si="526"/>
        <v>8</v>
      </c>
      <c r="BT409" s="8"/>
      <c r="BU409" s="2">
        <f t="shared" si="437"/>
        <v>1</v>
      </c>
      <c r="BV409" s="2">
        <f t="shared" si="403"/>
        <v>4</v>
      </c>
      <c r="BW409" s="2">
        <f t="shared" si="404"/>
        <v>1</v>
      </c>
      <c r="BX409" s="2">
        <f t="shared" si="407"/>
        <v>0</v>
      </c>
      <c r="BY409" s="2">
        <f t="shared" si="405"/>
        <v>0</v>
      </c>
      <c r="BZ409" s="2">
        <f t="shared" ref="BZ409:CA409" si="588">SUM(AQ409)</f>
        <v>1</v>
      </c>
      <c r="CA409" s="2">
        <f t="shared" si="588"/>
        <v>1</v>
      </c>
      <c r="CB409" s="2">
        <f t="shared" si="431"/>
        <v>0</v>
      </c>
    </row>
    <row r="410" spans="1:80" ht="15" customHeight="1" x14ac:dyDescent="0.2">
      <c r="A410" s="3" t="s">
        <v>158</v>
      </c>
      <c r="B410" s="10">
        <v>484</v>
      </c>
      <c r="C410" s="5">
        <v>1</v>
      </c>
      <c r="D410" s="10">
        <v>0</v>
      </c>
      <c r="E410" s="5">
        <v>0</v>
      </c>
      <c r="F410" s="10">
        <v>1993</v>
      </c>
      <c r="G410" s="10" t="s">
        <v>80</v>
      </c>
      <c r="H410" s="7" t="str">
        <f t="shared" si="399"/>
        <v>No</v>
      </c>
      <c r="I410" s="54" t="s">
        <v>55</v>
      </c>
      <c r="J410" s="8">
        <v>1</v>
      </c>
      <c r="K410" s="8" t="s">
        <v>63</v>
      </c>
      <c r="L410" s="8" t="s">
        <v>64</v>
      </c>
      <c r="M410" s="8" t="s">
        <v>64</v>
      </c>
      <c r="N410" s="8">
        <v>0</v>
      </c>
      <c r="O410" s="8">
        <v>1</v>
      </c>
      <c r="P410" s="8">
        <v>1</v>
      </c>
      <c r="Q410" s="8" t="s">
        <v>87</v>
      </c>
      <c r="R410" s="6" t="s">
        <v>159</v>
      </c>
      <c r="S410" s="8">
        <v>0</v>
      </c>
      <c r="T410" s="8">
        <v>1</v>
      </c>
      <c r="U410" s="8">
        <v>1</v>
      </c>
      <c r="V410" s="8">
        <v>1</v>
      </c>
      <c r="W410" s="8">
        <v>1</v>
      </c>
      <c r="X410" s="8">
        <v>1</v>
      </c>
      <c r="Y410" s="8">
        <v>0</v>
      </c>
      <c r="Z410" s="8">
        <v>1</v>
      </c>
      <c r="AA410" s="8" t="s">
        <v>160</v>
      </c>
      <c r="AB410" s="8">
        <v>1</v>
      </c>
      <c r="AC410" s="8">
        <v>0</v>
      </c>
      <c r="AD410" s="8">
        <v>0</v>
      </c>
      <c r="AE410" s="8">
        <v>1</v>
      </c>
      <c r="AF410" s="8">
        <v>0</v>
      </c>
      <c r="AG410" s="8">
        <v>0</v>
      </c>
      <c r="AH410" s="8">
        <v>0</v>
      </c>
      <c r="AI410" s="8">
        <v>1</v>
      </c>
      <c r="AJ410" s="8">
        <v>1</v>
      </c>
      <c r="AK410" s="8">
        <v>0</v>
      </c>
      <c r="AL410" s="8">
        <v>1</v>
      </c>
      <c r="AM410" s="8">
        <v>1</v>
      </c>
      <c r="AN410" s="8">
        <v>0</v>
      </c>
      <c r="AO410" s="8">
        <v>1</v>
      </c>
      <c r="AP410" s="8">
        <v>1</v>
      </c>
      <c r="AQ410" s="8">
        <v>1</v>
      </c>
      <c r="AR410" s="8">
        <v>1</v>
      </c>
      <c r="AS410" s="8">
        <v>0</v>
      </c>
      <c r="AT410" s="8">
        <v>0</v>
      </c>
      <c r="AU410" s="8">
        <v>0</v>
      </c>
      <c r="AV410" s="8">
        <v>0</v>
      </c>
      <c r="AW410" s="8">
        <v>0</v>
      </c>
      <c r="AX410" s="8">
        <v>0</v>
      </c>
      <c r="AY410" s="8">
        <v>0</v>
      </c>
      <c r="AZ410" s="8">
        <v>0</v>
      </c>
      <c r="BA410" s="8">
        <v>0</v>
      </c>
      <c r="BB410" s="8">
        <v>0</v>
      </c>
      <c r="BC410" s="8">
        <v>0</v>
      </c>
      <c r="BD410" s="8">
        <v>0</v>
      </c>
      <c r="BE410" s="8">
        <v>0</v>
      </c>
      <c r="BF410" s="8">
        <v>0</v>
      </c>
      <c r="BG410" s="8">
        <v>0</v>
      </c>
      <c r="BH410" s="8">
        <v>0</v>
      </c>
      <c r="BI410" s="8">
        <v>0</v>
      </c>
      <c r="BJ410" s="8">
        <v>0</v>
      </c>
      <c r="BK410" s="8">
        <v>0</v>
      </c>
      <c r="BL410" s="8">
        <v>0</v>
      </c>
      <c r="BM410" s="8">
        <v>0</v>
      </c>
      <c r="BN410" s="8">
        <v>0</v>
      </c>
      <c r="BO410" s="8">
        <v>0</v>
      </c>
      <c r="BP410" s="8">
        <v>0</v>
      </c>
      <c r="BQ410" s="8">
        <v>0</v>
      </c>
      <c r="BR410" s="8">
        <v>0</v>
      </c>
      <c r="BS410" s="8">
        <f t="shared" si="526"/>
        <v>8</v>
      </c>
      <c r="BT410" s="8"/>
      <c r="BU410" s="2">
        <f t="shared" si="437"/>
        <v>1</v>
      </c>
      <c r="BV410" s="2">
        <f t="shared" si="403"/>
        <v>4</v>
      </c>
      <c r="BW410" s="2">
        <f t="shared" si="404"/>
        <v>1</v>
      </c>
      <c r="BX410" s="2">
        <f t="shared" si="407"/>
        <v>0</v>
      </c>
      <c r="BY410" s="2">
        <f t="shared" si="405"/>
        <v>0</v>
      </c>
      <c r="BZ410" s="2">
        <f t="shared" ref="BZ410:CA410" si="589">SUM(AQ410)</f>
        <v>1</v>
      </c>
      <c r="CA410" s="2">
        <f t="shared" si="589"/>
        <v>1</v>
      </c>
      <c r="CB410" s="2">
        <f t="shared" si="431"/>
        <v>0</v>
      </c>
    </row>
    <row r="411" spans="1:80" ht="16" x14ac:dyDescent="0.2">
      <c r="A411" s="3" t="s">
        <v>158</v>
      </c>
      <c r="B411" s="10">
        <v>484</v>
      </c>
      <c r="C411" s="5">
        <v>1</v>
      </c>
      <c r="D411" s="10">
        <v>0</v>
      </c>
      <c r="E411" s="5">
        <v>0</v>
      </c>
      <c r="F411" s="10">
        <v>1993</v>
      </c>
      <c r="G411" s="10">
        <v>2022</v>
      </c>
      <c r="H411" s="7" t="str">
        <f t="shared" si="399"/>
        <v>No</v>
      </c>
      <c r="I411" s="54" t="s">
        <v>55</v>
      </c>
      <c r="J411" s="8">
        <v>1</v>
      </c>
      <c r="K411" s="8" t="s">
        <v>63</v>
      </c>
      <c r="L411" s="8" t="s">
        <v>64</v>
      </c>
      <c r="M411" s="8" t="s">
        <v>64</v>
      </c>
      <c r="N411" s="8">
        <v>0</v>
      </c>
      <c r="O411" s="8">
        <v>1</v>
      </c>
      <c r="P411" s="8">
        <v>1</v>
      </c>
      <c r="Q411" s="8" t="s">
        <v>87</v>
      </c>
      <c r="R411" s="6" t="s">
        <v>159</v>
      </c>
      <c r="S411" s="8">
        <v>0</v>
      </c>
      <c r="T411" s="8">
        <v>1</v>
      </c>
      <c r="U411" s="8">
        <v>1</v>
      </c>
      <c r="V411" s="8">
        <v>1</v>
      </c>
      <c r="W411" s="8">
        <v>1</v>
      </c>
      <c r="X411" s="8">
        <v>1</v>
      </c>
      <c r="Y411" s="8">
        <v>0</v>
      </c>
      <c r="Z411" s="8">
        <v>1</v>
      </c>
      <c r="AA411" s="8" t="s">
        <v>160</v>
      </c>
      <c r="AB411" s="8">
        <v>1</v>
      </c>
      <c r="AC411" s="8">
        <v>0</v>
      </c>
      <c r="AD411" s="8">
        <v>0</v>
      </c>
      <c r="AE411" s="8">
        <v>1</v>
      </c>
      <c r="AF411" s="8">
        <v>0</v>
      </c>
      <c r="AG411" s="8">
        <v>0</v>
      </c>
      <c r="AH411" s="8">
        <v>0</v>
      </c>
      <c r="AI411" s="8">
        <v>1</v>
      </c>
      <c r="AJ411" s="8">
        <v>1</v>
      </c>
      <c r="AK411" s="8">
        <v>0</v>
      </c>
      <c r="AL411" s="8">
        <v>1</v>
      </c>
      <c r="AM411" s="8">
        <v>1</v>
      </c>
      <c r="AN411" s="8">
        <v>0</v>
      </c>
      <c r="AO411" s="8">
        <v>1</v>
      </c>
      <c r="AP411" s="8">
        <v>1</v>
      </c>
      <c r="AQ411" s="8">
        <v>1</v>
      </c>
      <c r="AR411" s="8">
        <v>1</v>
      </c>
      <c r="AS411" s="8">
        <v>0</v>
      </c>
      <c r="AT411" s="8">
        <v>0</v>
      </c>
      <c r="AU411" s="8">
        <v>0</v>
      </c>
      <c r="AV411" s="8">
        <v>0</v>
      </c>
      <c r="AW411" s="8">
        <v>0</v>
      </c>
      <c r="AX411" s="8">
        <v>0</v>
      </c>
      <c r="AY411" s="8">
        <v>0</v>
      </c>
      <c r="AZ411" s="8">
        <v>0</v>
      </c>
      <c r="BA411" s="8">
        <v>0</v>
      </c>
      <c r="BB411" s="8">
        <v>0</v>
      </c>
      <c r="BC411" s="8">
        <v>0</v>
      </c>
      <c r="BD411" s="8">
        <v>0</v>
      </c>
      <c r="BE411" s="8">
        <v>0</v>
      </c>
      <c r="BF411" s="8">
        <v>0</v>
      </c>
      <c r="BG411" s="8">
        <v>0</v>
      </c>
      <c r="BH411" s="8">
        <v>0</v>
      </c>
      <c r="BI411" s="8">
        <v>0</v>
      </c>
      <c r="BJ411" s="8">
        <v>0</v>
      </c>
      <c r="BK411" s="8">
        <v>0</v>
      </c>
      <c r="BL411" s="8">
        <v>0</v>
      </c>
      <c r="BM411" s="8">
        <v>0</v>
      </c>
      <c r="BN411" s="8">
        <v>0</v>
      </c>
      <c r="BO411" s="8">
        <v>0</v>
      </c>
      <c r="BP411" s="8">
        <v>0</v>
      </c>
      <c r="BQ411" s="8">
        <v>0</v>
      </c>
      <c r="BR411" s="8">
        <v>0</v>
      </c>
      <c r="BS411" s="8">
        <f t="shared" si="526"/>
        <v>8</v>
      </c>
      <c r="BT411" s="8"/>
      <c r="BU411" s="2">
        <f t="shared" si="437"/>
        <v>1</v>
      </c>
      <c r="BV411" s="2">
        <f t="shared" si="403"/>
        <v>4</v>
      </c>
      <c r="BW411" s="2">
        <f t="shared" si="404"/>
        <v>1</v>
      </c>
      <c r="BX411" s="2">
        <f t="shared" si="407"/>
        <v>0</v>
      </c>
      <c r="BY411" s="2">
        <f t="shared" si="405"/>
        <v>0</v>
      </c>
      <c r="BZ411" s="2">
        <f t="shared" ref="BZ411:CA411" si="590">SUM(AQ411)</f>
        <v>1</v>
      </c>
      <c r="CA411" s="2">
        <f t="shared" si="590"/>
        <v>1</v>
      </c>
      <c r="CB411" s="2">
        <f t="shared" si="431"/>
        <v>0</v>
      </c>
    </row>
    <row r="412" spans="1:80" ht="16" x14ac:dyDescent="0.2">
      <c r="A412" s="3" t="s">
        <v>158</v>
      </c>
      <c r="B412" s="10">
        <v>484</v>
      </c>
      <c r="C412" s="5">
        <v>1</v>
      </c>
      <c r="D412" s="10">
        <v>0</v>
      </c>
      <c r="E412" s="5">
        <v>0</v>
      </c>
      <c r="F412" s="10">
        <v>1993</v>
      </c>
      <c r="G412" s="10">
        <v>2023</v>
      </c>
      <c r="H412" s="7" t="str">
        <f t="shared" si="399"/>
        <v>No</v>
      </c>
      <c r="I412" s="54" t="s">
        <v>55</v>
      </c>
      <c r="J412" s="8">
        <v>1</v>
      </c>
      <c r="K412" s="8" t="s">
        <v>63</v>
      </c>
      <c r="L412" s="8" t="s">
        <v>64</v>
      </c>
      <c r="M412" s="8" t="s">
        <v>64</v>
      </c>
      <c r="N412" s="8">
        <v>0</v>
      </c>
      <c r="O412" s="8">
        <v>1</v>
      </c>
      <c r="P412" s="8">
        <v>1</v>
      </c>
      <c r="Q412" s="8" t="s">
        <v>87</v>
      </c>
      <c r="R412" s="6" t="s">
        <v>159</v>
      </c>
      <c r="S412" s="8">
        <v>0</v>
      </c>
      <c r="T412" s="8">
        <v>1</v>
      </c>
      <c r="U412" s="8">
        <v>1</v>
      </c>
      <c r="V412" s="8">
        <v>1</v>
      </c>
      <c r="W412" s="8">
        <v>1</v>
      </c>
      <c r="X412" s="8">
        <v>1</v>
      </c>
      <c r="Y412" s="8">
        <v>0</v>
      </c>
      <c r="Z412" s="8">
        <v>1</v>
      </c>
      <c r="AA412" s="8" t="s">
        <v>160</v>
      </c>
      <c r="AB412" s="8">
        <v>1</v>
      </c>
      <c r="AC412" s="8">
        <v>0</v>
      </c>
      <c r="AD412" s="8">
        <v>0</v>
      </c>
      <c r="AE412" s="8">
        <v>1</v>
      </c>
      <c r="AF412" s="8">
        <v>0</v>
      </c>
      <c r="AG412" s="8">
        <v>0</v>
      </c>
      <c r="AH412" s="8">
        <v>0</v>
      </c>
      <c r="AI412" s="8">
        <v>1</v>
      </c>
      <c r="AJ412" s="8">
        <v>1</v>
      </c>
      <c r="AK412" s="8">
        <v>0</v>
      </c>
      <c r="AL412" s="8">
        <v>1</v>
      </c>
      <c r="AM412" s="8">
        <v>1</v>
      </c>
      <c r="AN412" s="8">
        <v>0</v>
      </c>
      <c r="AO412" s="8">
        <v>1</v>
      </c>
      <c r="AP412" s="8">
        <v>1</v>
      </c>
      <c r="AQ412" s="8">
        <v>1</v>
      </c>
      <c r="AR412" s="8">
        <v>1</v>
      </c>
      <c r="AS412" s="8">
        <v>0</v>
      </c>
      <c r="AT412" s="8">
        <v>0</v>
      </c>
      <c r="AU412" s="8">
        <v>0</v>
      </c>
      <c r="AV412" s="8">
        <v>0</v>
      </c>
      <c r="AW412" s="8">
        <v>0</v>
      </c>
      <c r="AX412" s="8">
        <v>0</v>
      </c>
      <c r="AY412" s="8">
        <v>0</v>
      </c>
      <c r="AZ412" s="8">
        <v>0</v>
      </c>
      <c r="BA412" s="8">
        <v>0</v>
      </c>
      <c r="BB412" s="8">
        <v>0</v>
      </c>
      <c r="BC412" s="8">
        <v>0</v>
      </c>
      <c r="BD412" s="8">
        <v>0</v>
      </c>
      <c r="BE412" s="8">
        <v>0</v>
      </c>
      <c r="BF412" s="8">
        <v>0</v>
      </c>
      <c r="BG412" s="8">
        <v>0</v>
      </c>
      <c r="BH412" s="8">
        <v>0</v>
      </c>
      <c r="BI412" s="8">
        <v>0</v>
      </c>
      <c r="BJ412" s="8">
        <v>0</v>
      </c>
      <c r="BK412" s="8">
        <v>0</v>
      </c>
      <c r="BL412" s="8">
        <v>0</v>
      </c>
      <c r="BM412" s="8">
        <v>0</v>
      </c>
      <c r="BN412" s="8">
        <v>0</v>
      </c>
      <c r="BO412" s="8">
        <v>0</v>
      </c>
      <c r="BP412" s="8">
        <v>0</v>
      </c>
      <c r="BQ412" s="8">
        <v>0</v>
      </c>
      <c r="BR412" s="8">
        <v>0</v>
      </c>
      <c r="BS412" s="8">
        <f t="shared" ref="BS412" si="591">SUM(AI412:BR412)</f>
        <v>8</v>
      </c>
      <c r="BT412" s="8"/>
      <c r="BU412" s="2">
        <f t="shared" ref="BU412" si="592">SUM(AI412,BK412)</f>
        <v>1</v>
      </c>
      <c r="BV412" s="2">
        <f t="shared" ref="BV412" si="593">SUM(AK412, AL412, AM412,AJ412,BL412,BO412, AP412)</f>
        <v>4</v>
      </c>
      <c r="BW412" s="2">
        <f t="shared" ref="BW412" si="594">SUM(AN412, AO412, AS412)</f>
        <v>1</v>
      </c>
      <c r="BX412" s="2">
        <f t="shared" ref="BX412" si="595">SUM(AU412,AV412,AW412,AX412,AY412,AZ412,BA412,BB412,BC412,BD412,BE412,BF412,BG412,BH412,BI412,BJ412,BQ412,BR412,BM412)</f>
        <v>0</v>
      </c>
      <c r="BY412" s="2">
        <f t="shared" ref="BY412" si="596">SUM(BP412, BN412)</f>
        <v>0</v>
      </c>
      <c r="BZ412" s="2">
        <f t="shared" ref="BZ412" si="597">SUM(AQ412)</f>
        <v>1</v>
      </c>
      <c r="CA412" s="2">
        <f t="shared" ref="CA412" si="598">SUM(AR412)</f>
        <v>1</v>
      </c>
      <c r="CB412" s="2">
        <f t="shared" ref="CB412" si="599">SUM(AT412)</f>
        <v>0</v>
      </c>
    </row>
    <row r="413" spans="1:80" ht="16" x14ac:dyDescent="0.2">
      <c r="A413" s="3" t="s">
        <v>161</v>
      </c>
      <c r="B413" s="10">
        <v>528</v>
      </c>
      <c r="C413" s="5">
        <v>1</v>
      </c>
      <c r="D413" s="10">
        <v>1</v>
      </c>
      <c r="E413" s="5">
        <v>0</v>
      </c>
      <c r="F413" s="10">
        <v>1998</v>
      </c>
      <c r="G413" s="10" t="s">
        <v>86</v>
      </c>
      <c r="H413" s="7" t="str">
        <f t="shared" si="399"/>
        <v>No</v>
      </c>
      <c r="I413" s="54" t="s">
        <v>55</v>
      </c>
      <c r="J413" s="8">
        <v>2</v>
      </c>
      <c r="K413" s="8" t="s">
        <v>63</v>
      </c>
      <c r="L413" s="8" t="s">
        <v>64</v>
      </c>
      <c r="M413" s="8" t="s">
        <v>64</v>
      </c>
      <c r="N413" s="8">
        <v>0</v>
      </c>
      <c r="O413" s="8">
        <v>0</v>
      </c>
      <c r="P413" s="8">
        <v>0</v>
      </c>
      <c r="Q413" s="8" t="s">
        <v>65</v>
      </c>
      <c r="R413" s="9">
        <v>0</v>
      </c>
      <c r="S413" s="8">
        <v>1</v>
      </c>
      <c r="T413" s="8">
        <v>0</v>
      </c>
      <c r="U413" s="8">
        <v>1</v>
      </c>
      <c r="V413" s="8">
        <v>0</v>
      </c>
      <c r="W413" s="8">
        <v>1</v>
      </c>
      <c r="X413" s="8">
        <v>0</v>
      </c>
      <c r="Y413" s="8">
        <v>0</v>
      </c>
      <c r="Z413" s="8">
        <v>0</v>
      </c>
      <c r="AA413" s="8" t="s">
        <v>162</v>
      </c>
      <c r="AB413" s="8">
        <v>0</v>
      </c>
      <c r="AC413" s="8">
        <v>0</v>
      </c>
      <c r="AD413" s="8">
        <v>0</v>
      </c>
      <c r="AE413" s="8">
        <v>0</v>
      </c>
      <c r="AF413" s="8">
        <v>0</v>
      </c>
      <c r="AG413" s="8">
        <v>0</v>
      </c>
      <c r="AH413" s="8">
        <v>0</v>
      </c>
      <c r="AI413" s="8">
        <v>0</v>
      </c>
      <c r="AJ413" s="8">
        <v>1</v>
      </c>
      <c r="AK413" s="8">
        <v>0</v>
      </c>
      <c r="AL413" s="8">
        <v>0</v>
      </c>
      <c r="AM413" s="8">
        <v>0</v>
      </c>
      <c r="AN413" s="8">
        <v>0</v>
      </c>
      <c r="AO413" s="8">
        <v>0</v>
      </c>
      <c r="AP413" s="8">
        <v>0</v>
      </c>
      <c r="AQ413" s="8">
        <v>0</v>
      </c>
      <c r="AR413" s="8">
        <v>0</v>
      </c>
      <c r="AS413" s="8">
        <v>0</v>
      </c>
      <c r="AT413" s="8">
        <v>0</v>
      </c>
      <c r="AU413" s="8">
        <v>0</v>
      </c>
      <c r="AV413" s="8">
        <v>0</v>
      </c>
      <c r="AW413" s="8">
        <v>0</v>
      </c>
      <c r="AX413" s="8">
        <v>0</v>
      </c>
      <c r="AY413" s="8">
        <v>0</v>
      </c>
      <c r="AZ413" s="8">
        <v>0</v>
      </c>
      <c r="BA413" s="8">
        <v>0</v>
      </c>
      <c r="BB413" s="8">
        <v>0</v>
      </c>
      <c r="BC413" s="8">
        <v>0</v>
      </c>
      <c r="BD413" s="8">
        <v>0</v>
      </c>
      <c r="BE413" s="8">
        <v>0</v>
      </c>
      <c r="BF413" s="8">
        <v>0</v>
      </c>
      <c r="BG413" s="8">
        <v>0</v>
      </c>
      <c r="BH413" s="8">
        <v>0</v>
      </c>
      <c r="BI413" s="8">
        <v>0</v>
      </c>
      <c r="BJ413" s="8">
        <v>0</v>
      </c>
      <c r="BK413" s="8">
        <v>0</v>
      </c>
      <c r="BL413" s="8">
        <v>1</v>
      </c>
      <c r="BM413" s="8">
        <v>0</v>
      </c>
      <c r="BN413" s="8">
        <v>0</v>
      </c>
      <c r="BO413" s="8">
        <v>0</v>
      </c>
      <c r="BP413" s="8">
        <v>0</v>
      </c>
      <c r="BQ413" s="8">
        <v>0</v>
      </c>
      <c r="BR413" s="8">
        <v>0</v>
      </c>
      <c r="BS413" s="8">
        <f t="shared" si="526"/>
        <v>2</v>
      </c>
      <c r="BT413" s="8"/>
      <c r="BU413" s="2">
        <f t="shared" si="437"/>
        <v>0</v>
      </c>
      <c r="BV413" s="2">
        <f t="shared" si="403"/>
        <v>2</v>
      </c>
      <c r="BW413" s="2">
        <f t="shared" si="404"/>
        <v>0</v>
      </c>
      <c r="BX413" s="2">
        <f t="shared" si="407"/>
        <v>0</v>
      </c>
      <c r="BY413" s="2">
        <f t="shared" si="405"/>
        <v>0</v>
      </c>
      <c r="BZ413" s="2">
        <f t="shared" ref="BZ413:CA413" si="600">SUM(AQ413)</f>
        <v>0</v>
      </c>
      <c r="CA413" s="2">
        <f t="shared" si="600"/>
        <v>0</v>
      </c>
      <c r="CB413" s="2">
        <f t="shared" si="431"/>
        <v>0</v>
      </c>
    </row>
    <row r="414" spans="1:80" ht="16" x14ac:dyDescent="0.2">
      <c r="A414" s="3" t="s">
        <v>161</v>
      </c>
      <c r="B414" s="10">
        <v>528</v>
      </c>
      <c r="C414" s="5">
        <v>1</v>
      </c>
      <c r="D414" s="10">
        <v>1</v>
      </c>
      <c r="E414" s="5">
        <v>0</v>
      </c>
      <c r="F414" s="10">
        <v>1998</v>
      </c>
      <c r="G414" s="10" t="s">
        <v>90</v>
      </c>
      <c r="H414" s="7" t="str">
        <f t="shared" si="399"/>
        <v>No</v>
      </c>
      <c r="I414" s="54" t="s">
        <v>55</v>
      </c>
      <c r="J414" s="8">
        <v>2</v>
      </c>
      <c r="K414" s="8" t="s">
        <v>63</v>
      </c>
      <c r="L414" s="8" t="s">
        <v>64</v>
      </c>
      <c r="M414" s="8" t="s">
        <v>64</v>
      </c>
      <c r="N414" s="8">
        <v>0</v>
      </c>
      <c r="O414" s="8">
        <v>0</v>
      </c>
      <c r="P414" s="8">
        <v>0</v>
      </c>
      <c r="Q414" s="8" t="s">
        <v>65</v>
      </c>
      <c r="R414" s="9">
        <v>0</v>
      </c>
      <c r="S414" s="8">
        <v>1</v>
      </c>
      <c r="T414" s="8">
        <v>0</v>
      </c>
      <c r="U414" s="8">
        <v>1</v>
      </c>
      <c r="V414" s="8">
        <v>0</v>
      </c>
      <c r="W414" s="8">
        <v>1</v>
      </c>
      <c r="X414" s="8">
        <v>0</v>
      </c>
      <c r="Y414" s="8">
        <v>0</v>
      </c>
      <c r="Z414" s="8">
        <v>0</v>
      </c>
      <c r="AA414" s="8" t="s">
        <v>162</v>
      </c>
      <c r="AB414" s="8">
        <v>0</v>
      </c>
      <c r="AC414" s="8">
        <v>0</v>
      </c>
      <c r="AD414" s="8">
        <v>0</v>
      </c>
      <c r="AE414" s="8">
        <v>0</v>
      </c>
      <c r="AF414" s="8">
        <v>0</v>
      </c>
      <c r="AG414" s="8">
        <v>0</v>
      </c>
      <c r="AH414" s="8">
        <v>0</v>
      </c>
      <c r="AI414" s="8">
        <v>0</v>
      </c>
      <c r="AJ414" s="8">
        <v>1</v>
      </c>
      <c r="AK414" s="8">
        <v>0</v>
      </c>
      <c r="AL414" s="8">
        <v>0</v>
      </c>
      <c r="AM414" s="8">
        <v>0</v>
      </c>
      <c r="AN414" s="8">
        <v>0</v>
      </c>
      <c r="AO414" s="8">
        <v>0</v>
      </c>
      <c r="AP414" s="8">
        <v>0</v>
      </c>
      <c r="AQ414" s="8">
        <v>0</v>
      </c>
      <c r="AR414" s="8">
        <v>0</v>
      </c>
      <c r="AS414" s="8">
        <v>0</v>
      </c>
      <c r="AT414" s="8">
        <v>0</v>
      </c>
      <c r="AU414" s="8">
        <v>0</v>
      </c>
      <c r="AV414" s="8">
        <v>0</v>
      </c>
      <c r="AW414" s="8">
        <v>0</v>
      </c>
      <c r="AX414" s="8">
        <v>0</v>
      </c>
      <c r="AY414" s="8">
        <v>0</v>
      </c>
      <c r="AZ414" s="8">
        <v>0</v>
      </c>
      <c r="BA414" s="8">
        <v>0</v>
      </c>
      <c r="BB414" s="8">
        <v>0</v>
      </c>
      <c r="BC414" s="8">
        <v>0</v>
      </c>
      <c r="BD414" s="8">
        <v>0</v>
      </c>
      <c r="BE414" s="8">
        <v>0</v>
      </c>
      <c r="BF414" s="8">
        <v>0</v>
      </c>
      <c r="BG414" s="8">
        <v>0</v>
      </c>
      <c r="BH414" s="8">
        <v>0</v>
      </c>
      <c r="BI414" s="8">
        <v>0</v>
      </c>
      <c r="BJ414" s="8">
        <v>0</v>
      </c>
      <c r="BK414" s="8">
        <v>0</v>
      </c>
      <c r="BL414" s="8">
        <v>1</v>
      </c>
      <c r="BM414" s="8">
        <v>0</v>
      </c>
      <c r="BN414" s="8">
        <v>0</v>
      </c>
      <c r="BO414" s="8">
        <v>0</v>
      </c>
      <c r="BP414" s="8">
        <v>0</v>
      </c>
      <c r="BQ414" s="8">
        <v>0</v>
      </c>
      <c r="BR414" s="8">
        <v>0</v>
      </c>
      <c r="BS414" s="8">
        <f t="shared" si="526"/>
        <v>2</v>
      </c>
      <c r="BT414" s="8"/>
      <c r="BU414" s="2">
        <f t="shared" si="437"/>
        <v>0</v>
      </c>
      <c r="BV414" s="2">
        <f t="shared" si="403"/>
        <v>2</v>
      </c>
      <c r="BW414" s="2">
        <f t="shared" si="404"/>
        <v>0</v>
      </c>
      <c r="BX414" s="2">
        <f t="shared" si="407"/>
        <v>0</v>
      </c>
      <c r="BY414" s="2">
        <f t="shared" si="405"/>
        <v>0</v>
      </c>
      <c r="BZ414" s="2">
        <f t="shared" ref="BZ414:CA414" si="601">SUM(AQ414)</f>
        <v>0</v>
      </c>
      <c r="CA414" s="2">
        <f t="shared" si="601"/>
        <v>0</v>
      </c>
      <c r="CB414" s="2">
        <f t="shared" si="431"/>
        <v>0</v>
      </c>
    </row>
    <row r="415" spans="1:80" ht="16" x14ac:dyDescent="0.2">
      <c r="A415" s="3" t="s">
        <v>161</v>
      </c>
      <c r="B415" s="10">
        <v>528</v>
      </c>
      <c r="C415" s="5">
        <v>1</v>
      </c>
      <c r="D415" s="10">
        <v>1</v>
      </c>
      <c r="E415" s="5">
        <v>0</v>
      </c>
      <c r="F415" s="10">
        <v>1998</v>
      </c>
      <c r="G415" s="10" t="s">
        <v>91</v>
      </c>
      <c r="H415" s="7" t="str">
        <f t="shared" si="399"/>
        <v>No</v>
      </c>
      <c r="I415" s="54" t="s">
        <v>55</v>
      </c>
      <c r="J415" s="8">
        <v>2</v>
      </c>
      <c r="K415" s="8" t="s">
        <v>63</v>
      </c>
      <c r="L415" s="8" t="s">
        <v>64</v>
      </c>
      <c r="M415" s="8" t="s">
        <v>64</v>
      </c>
      <c r="N415" s="8">
        <v>0</v>
      </c>
      <c r="O415" s="8">
        <v>0</v>
      </c>
      <c r="P415" s="8">
        <v>0</v>
      </c>
      <c r="Q415" s="8" t="s">
        <v>65</v>
      </c>
      <c r="R415" s="9">
        <v>0</v>
      </c>
      <c r="S415" s="8">
        <v>1</v>
      </c>
      <c r="T415" s="8">
        <v>0</v>
      </c>
      <c r="U415" s="8">
        <v>1</v>
      </c>
      <c r="V415" s="8">
        <v>0</v>
      </c>
      <c r="W415" s="8">
        <v>1</v>
      </c>
      <c r="X415" s="8">
        <v>0</v>
      </c>
      <c r="Y415" s="8">
        <v>0</v>
      </c>
      <c r="Z415" s="8">
        <v>0</v>
      </c>
      <c r="AA415" s="8" t="s">
        <v>162</v>
      </c>
      <c r="AB415" s="8">
        <v>0</v>
      </c>
      <c r="AC415" s="8">
        <v>0</v>
      </c>
      <c r="AD415" s="8">
        <v>0</v>
      </c>
      <c r="AE415" s="8">
        <v>0</v>
      </c>
      <c r="AF415" s="8">
        <v>0</v>
      </c>
      <c r="AG415" s="8">
        <v>0</v>
      </c>
      <c r="AH415" s="8">
        <v>0</v>
      </c>
      <c r="AI415" s="8">
        <v>0</v>
      </c>
      <c r="AJ415" s="8">
        <v>1</v>
      </c>
      <c r="AK415" s="8">
        <v>0</v>
      </c>
      <c r="AL415" s="8">
        <v>0</v>
      </c>
      <c r="AM415" s="8">
        <v>0</v>
      </c>
      <c r="AN415" s="8">
        <v>0</v>
      </c>
      <c r="AO415" s="8">
        <v>0</v>
      </c>
      <c r="AP415" s="8">
        <v>0</v>
      </c>
      <c r="AQ415" s="8">
        <v>0</v>
      </c>
      <c r="AR415" s="8">
        <v>0</v>
      </c>
      <c r="AS415" s="8">
        <v>0</v>
      </c>
      <c r="AT415" s="8">
        <v>0</v>
      </c>
      <c r="AU415" s="8">
        <v>0</v>
      </c>
      <c r="AV415" s="8">
        <v>0</v>
      </c>
      <c r="AW415" s="8">
        <v>0</v>
      </c>
      <c r="AX415" s="8">
        <v>0</v>
      </c>
      <c r="AY415" s="8">
        <v>0</v>
      </c>
      <c r="AZ415" s="8">
        <v>0</v>
      </c>
      <c r="BA415" s="8">
        <v>0</v>
      </c>
      <c r="BB415" s="8">
        <v>0</v>
      </c>
      <c r="BC415" s="8">
        <v>0</v>
      </c>
      <c r="BD415" s="8">
        <v>0</v>
      </c>
      <c r="BE415" s="8">
        <v>0</v>
      </c>
      <c r="BF415" s="8">
        <v>0</v>
      </c>
      <c r="BG415" s="8">
        <v>0</v>
      </c>
      <c r="BH415" s="8">
        <v>0</v>
      </c>
      <c r="BI415" s="8">
        <v>0</v>
      </c>
      <c r="BJ415" s="8">
        <v>0</v>
      </c>
      <c r="BK415" s="8">
        <v>0</v>
      </c>
      <c r="BL415" s="8">
        <v>1</v>
      </c>
      <c r="BM415" s="8">
        <v>0</v>
      </c>
      <c r="BN415" s="8">
        <v>0</v>
      </c>
      <c r="BO415" s="8">
        <v>0</v>
      </c>
      <c r="BP415" s="8">
        <v>0</v>
      </c>
      <c r="BQ415" s="8">
        <v>0</v>
      </c>
      <c r="BR415" s="8">
        <v>0</v>
      </c>
      <c r="BS415" s="8">
        <f t="shared" si="526"/>
        <v>2</v>
      </c>
      <c r="BT415" s="8"/>
      <c r="BU415" s="2">
        <f t="shared" si="437"/>
        <v>0</v>
      </c>
      <c r="BV415" s="2">
        <f t="shared" si="403"/>
        <v>2</v>
      </c>
      <c r="BW415" s="2">
        <f t="shared" si="404"/>
        <v>0</v>
      </c>
      <c r="BX415" s="2">
        <f t="shared" si="407"/>
        <v>0</v>
      </c>
      <c r="BY415" s="2">
        <f t="shared" si="405"/>
        <v>0</v>
      </c>
      <c r="BZ415" s="2">
        <f t="shared" ref="BZ415:CA415" si="602">SUM(AQ415)</f>
        <v>0</v>
      </c>
      <c r="CA415" s="2">
        <f t="shared" si="602"/>
        <v>0</v>
      </c>
      <c r="CB415" s="2">
        <f t="shared" si="431"/>
        <v>0</v>
      </c>
    </row>
    <row r="416" spans="1:80" ht="16" x14ac:dyDescent="0.2">
      <c r="A416" s="3" t="s">
        <v>161</v>
      </c>
      <c r="B416" s="10">
        <v>528</v>
      </c>
      <c r="C416" s="5">
        <v>1</v>
      </c>
      <c r="D416" s="10">
        <v>1</v>
      </c>
      <c r="E416" s="5">
        <v>0</v>
      </c>
      <c r="F416" s="10">
        <v>1998</v>
      </c>
      <c r="G416" s="10" t="s">
        <v>93</v>
      </c>
      <c r="H416" s="7" t="str">
        <f t="shared" si="399"/>
        <v>No</v>
      </c>
      <c r="I416" s="54" t="s">
        <v>55</v>
      </c>
      <c r="J416" s="8">
        <v>2</v>
      </c>
      <c r="K416" s="8" t="s">
        <v>63</v>
      </c>
      <c r="L416" s="8" t="s">
        <v>64</v>
      </c>
      <c r="M416" s="8" t="s">
        <v>64</v>
      </c>
      <c r="N416" s="8">
        <v>0</v>
      </c>
      <c r="O416" s="8">
        <v>0</v>
      </c>
      <c r="P416" s="8">
        <v>0</v>
      </c>
      <c r="Q416" s="8" t="s">
        <v>65</v>
      </c>
      <c r="R416" s="9">
        <v>0</v>
      </c>
      <c r="S416" s="8">
        <v>1</v>
      </c>
      <c r="T416" s="8">
        <v>0</v>
      </c>
      <c r="U416" s="8">
        <v>1</v>
      </c>
      <c r="V416" s="8">
        <v>0</v>
      </c>
      <c r="W416" s="8">
        <v>1</v>
      </c>
      <c r="X416" s="8">
        <v>0</v>
      </c>
      <c r="Y416" s="8">
        <v>0</v>
      </c>
      <c r="Z416" s="8">
        <v>0</v>
      </c>
      <c r="AA416" s="8" t="s">
        <v>162</v>
      </c>
      <c r="AB416" s="8">
        <v>0</v>
      </c>
      <c r="AC416" s="8">
        <v>0</v>
      </c>
      <c r="AD416" s="8">
        <v>0</v>
      </c>
      <c r="AE416" s="8">
        <v>0</v>
      </c>
      <c r="AF416" s="8">
        <v>0</v>
      </c>
      <c r="AG416" s="8">
        <v>0</v>
      </c>
      <c r="AH416" s="8">
        <v>0</v>
      </c>
      <c r="AI416" s="8">
        <v>0</v>
      </c>
      <c r="AJ416" s="8">
        <v>1</v>
      </c>
      <c r="AK416" s="8">
        <v>0</v>
      </c>
      <c r="AL416" s="8">
        <v>0</v>
      </c>
      <c r="AM416" s="8">
        <v>0</v>
      </c>
      <c r="AN416" s="8">
        <v>0</v>
      </c>
      <c r="AO416" s="8">
        <v>0</v>
      </c>
      <c r="AP416" s="8">
        <v>0</v>
      </c>
      <c r="AQ416" s="8">
        <v>0</v>
      </c>
      <c r="AR416" s="8">
        <v>0</v>
      </c>
      <c r="AS416" s="8">
        <v>0</v>
      </c>
      <c r="AT416" s="8">
        <v>0</v>
      </c>
      <c r="AU416" s="8">
        <v>0</v>
      </c>
      <c r="AV416" s="8">
        <v>0</v>
      </c>
      <c r="AW416" s="8">
        <v>0</v>
      </c>
      <c r="AX416" s="8">
        <v>0</v>
      </c>
      <c r="AY416" s="8">
        <v>0</v>
      </c>
      <c r="AZ416" s="8">
        <v>0</v>
      </c>
      <c r="BA416" s="8">
        <v>0</v>
      </c>
      <c r="BB416" s="8">
        <v>0</v>
      </c>
      <c r="BC416" s="8">
        <v>0</v>
      </c>
      <c r="BD416" s="8">
        <v>0</v>
      </c>
      <c r="BE416" s="8">
        <v>0</v>
      </c>
      <c r="BF416" s="8">
        <v>0</v>
      </c>
      <c r="BG416" s="8">
        <v>0</v>
      </c>
      <c r="BH416" s="8">
        <v>0</v>
      </c>
      <c r="BI416" s="8">
        <v>0</v>
      </c>
      <c r="BJ416" s="8">
        <v>0</v>
      </c>
      <c r="BK416" s="8">
        <v>0</v>
      </c>
      <c r="BL416" s="8">
        <v>1</v>
      </c>
      <c r="BM416" s="8">
        <v>0</v>
      </c>
      <c r="BN416" s="8">
        <v>0</v>
      </c>
      <c r="BO416" s="8">
        <v>0</v>
      </c>
      <c r="BP416" s="8">
        <v>0</v>
      </c>
      <c r="BQ416" s="8">
        <v>0</v>
      </c>
      <c r="BR416" s="8">
        <v>0</v>
      </c>
      <c r="BS416" s="8">
        <f t="shared" si="526"/>
        <v>2</v>
      </c>
      <c r="BT416" s="8"/>
      <c r="BU416" s="2">
        <f t="shared" si="437"/>
        <v>0</v>
      </c>
      <c r="BV416" s="2">
        <f t="shared" si="403"/>
        <v>2</v>
      </c>
      <c r="BW416" s="2">
        <f t="shared" si="404"/>
        <v>0</v>
      </c>
      <c r="BX416" s="2">
        <f t="shared" si="407"/>
        <v>0</v>
      </c>
      <c r="BY416" s="2">
        <f t="shared" si="405"/>
        <v>0</v>
      </c>
      <c r="BZ416" s="2">
        <f t="shared" ref="BZ416:CA416" si="603">SUM(AQ416)</f>
        <v>0</v>
      </c>
      <c r="CA416" s="2">
        <f t="shared" si="603"/>
        <v>0</v>
      </c>
      <c r="CB416" s="2">
        <f t="shared" si="431"/>
        <v>0</v>
      </c>
    </row>
    <row r="417" spans="1:80" ht="16" x14ac:dyDescent="0.2">
      <c r="A417" s="3" t="s">
        <v>161</v>
      </c>
      <c r="B417" s="10">
        <v>528</v>
      </c>
      <c r="C417" s="5">
        <v>1</v>
      </c>
      <c r="D417" s="10">
        <v>1</v>
      </c>
      <c r="E417" s="5">
        <v>0</v>
      </c>
      <c r="F417" s="10">
        <v>1998</v>
      </c>
      <c r="G417" s="10" t="s">
        <v>70</v>
      </c>
      <c r="H417" s="7" t="str">
        <f t="shared" si="399"/>
        <v>No</v>
      </c>
      <c r="I417" s="54" t="s">
        <v>55</v>
      </c>
      <c r="J417" s="8">
        <v>2</v>
      </c>
      <c r="K417" s="8" t="s">
        <v>63</v>
      </c>
      <c r="L417" s="8" t="s">
        <v>64</v>
      </c>
      <c r="M417" s="8" t="s">
        <v>64</v>
      </c>
      <c r="N417" s="8">
        <v>0</v>
      </c>
      <c r="O417" s="8">
        <v>0</v>
      </c>
      <c r="P417" s="8">
        <v>0</v>
      </c>
      <c r="Q417" s="8" t="s">
        <v>65</v>
      </c>
      <c r="R417" s="9">
        <v>0</v>
      </c>
      <c r="S417" s="8">
        <v>1</v>
      </c>
      <c r="T417" s="8">
        <v>0</v>
      </c>
      <c r="U417" s="8">
        <v>1</v>
      </c>
      <c r="V417" s="8">
        <v>0</v>
      </c>
      <c r="W417" s="8">
        <v>1</v>
      </c>
      <c r="X417" s="8">
        <v>0</v>
      </c>
      <c r="Y417" s="8">
        <v>0</v>
      </c>
      <c r="Z417" s="8">
        <v>0</v>
      </c>
      <c r="AA417" s="8" t="s">
        <v>162</v>
      </c>
      <c r="AB417" s="8">
        <v>0</v>
      </c>
      <c r="AC417" s="8">
        <v>0</v>
      </c>
      <c r="AD417" s="8">
        <v>0</v>
      </c>
      <c r="AE417" s="8">
        <v>0</v>
      </c>
      <c r="AF417" s="8">
        <v>0</v>
      </c>
      <c r="AG417" s="8">
        <v>0</v>
      </c>
      <c r="AH417" s="8">
        <v>0</v>
      </c>
      <c r="AI417" s="8">
        <v>0</v>
      </c>
      <c r="AJ417" s="8">
        <v>1</v>
      </c>
      <c r="AK417" s="8">
        <v>0</v>
      </c>
      <c r="AL417" s="8">
        <v>0</v>
      </c>
      <c r="AM417" s="8">
        <v>0</v>
      </c>
      <c r="AN417" s="8">
        <v>0</v>
      </c>
      <c r="AO417" s="8">
        <v>0</v>
      </c>
      <c r="AP417" s="8">
        <v>0</v>
      </c>
      <c r="AQ417" s="8">
        <v>0</v>
      </c>
      <c r="AR417" s="8">
        <v>0</v>
      </c>
      <c r="AS417" s="8">
        <v>0</v>
      </c>
      <c r="AT417" s="8">
        <v>0</v>
      </c>
      <c r="AU417" s="8">
        <v>0</v>
      </c>
      <c r="AV417" s="8">
        <v>0</v>
      </c>
      <c r="AW417" s="8">
        <v>0</v>
      </c>
      <c r="AX417" s="8">
        <v>0</v>
      </c>
      <c r="AY417" s="8">
        <v>0</v>
      </c>
      <c r="AZ417" s="8">
        <v>0</v>
      </c>
      <c r="BA417" s="8">
        <v>0</v>
      </c>
      <c r="BB417" s="8">
        <v>0</v>
      </c>
      <c r="BC417" s="8">
        <v>0</v>
      </c>
      <c r="BD417" s="8">
        <v>0</v>
      </c>
      <c r="BE417" s="8">
        <v>0</v>
      </c>
      <c r="BF417" s="8">
        <v>0</v>
      </c>
      <c r="BG417" s="8">
        <v>0</v>
      </c>
      <c r="BH417" s="8">
        <v>0</v>
      </c>
      <c r="BI417" s="8">
        <v>0</v>
      </c>
      <c r="BJ417" s="8">
        <v>0</v>
      </c>
      <c r="BK417" s="8">
        <v>0</v>
      </c>
      <c r="BL417" s="8">
        <v>1</v>
      </c>
      <c r="BM417" s="8">
        <v>0</v>
      </c>
      <c r="BN417" s="8">
        <v>0</v>
      </c>
      <c r="BO417" s="8">
        <v>0</v>
      </c>
      <c r="BP417" s="8">
        <v>0</v>
      </c>
      <c r="BQ417" s="8">
        <v>0</v>
      </c>
      <c r="BR417" s="8">
        <v>0</v>
      </c>
      <c r="BS417" s="8">
        <f t="shared" si="526"/>
        <v>2</v>
      </c>
      <c r="BT417" s="8"/>
      <c r="BU417" s="2">
        <f t="shared" si="437"/>
        <v>0</v>
      </c>
      <c r="BV417" s="2">
        <f t="shared" si="403"/>
        <v>2</v>
      </c>
      <c r="BW417" s="2">
        <f t="shared" si="404"/>
        <v>0</v>
      </c>
      <c r="BX417" s="2">
        <f t="shared" si="407"/>
        <v>0</v>
      </c>
      <c r="BY417" s="2">
        <f t="shared" si="405"/>
        <v>0</v>
      </c>
      <c r="BZ417" s="2">
        <f t="shared" ref="BZ417:CA417" si="604">SUM(AQ417)</f>
        <v>0</v>
      </c>
      <c r="CA417" s="2">
        <f t="shared" si="604"/>
        <v>0</v>
      </c>
      <c r="CB417" s="2">
        <f t="shared" si="431"/>
        <v>0</v>
      </c>
    </row>
    <row r="418" spans="1:80" ht="16" x14ac:dyDescent="0.2">
      <c r="A418" s="3" t="s">
        <v>161</v>
      </c>
      <c r="B418" s="10">
        <v>528</v>
      </c>
      <c r="C418" s="5">
        <v>1</v>
      </c>
      <c r="D418" s="10">
        <v>1</v>
      </c>
      <c r="E418" s="5">
        <v>0</v>
      </c>
      <c r="F418" s="10">
        <v>1998</v>
      </c>
      <c r="G418" s="10" t="s">
        <v>71</v>
      </c>
      <c r="H418" s="7" t="str">
        <f t="shared" si="399"/>
        <v>No</v>
      </c>
      <c r="I418" s="54" t="s">
        <v>55</v>
      </c>
      <c r="J418" s="8">
        <v>2</v>
      </c>
      <c r="K418" s="8" t="s">
        <v>63</v>
      </c>
      <c r="L418" s="8" t="s">
        <v>64</v>
      </c>
      <c r="M418" s="8" t="s">
        <v>64</v>
      </c>
      <c r="N418" s="8">
        <v>0</v>
      </c>
      <c r="O418" s="8">
        <v>0</v>
      </c>
      <c r="P418" s="8">
        <v>0</v>
      </c>
      <c r="Q418" s="8" t="s">
        <v>65</v>
      </c>
      <c r="R418" s="9">
        <v>0</v>
      </c>
      <c r="S418" s="8">
        <v>1</v>
      </c>
      <c r="T418" s="8">
        <v>0</v>
      </c>
      <c r="U418" s="8">
        <v>1</v>
      </c>
      <c r="V418" s="8">
        <v>0</v>
      </c>
      <c r="W418" s="8">
        <v>1</v>
      </c>
      <c r="X418" s="8">
        <v>0</v>
      </c>
      <c r="Y418" s="8">
        <v>0</v>
      </c>
      <c r="Z418" s="8">
        <v>0</v>
      </c>
      <c r="AA418" s="8" t="s">
        <v>162</v>
      </c>
      <c r="AB418" s="8">
        <v>0</v>
      </c>
      <c r="AC418" s="8">
        <v>0</v>
      </c>
      <c r="AD418" s="8">
        <v>0</v>
      </c>
      <c r="AE418" s="8">
        <v>0</v>
      </c>
      <c r="AF418" s="8">
        <v>0</v>
      </c>
      <c r="AG418" s="8">
        <v>0</v>
      </c>
      <c r="AH418" s="8">
        <v>0</v>
      </c>
      <c r="AI418" s="8">
        <v>0</v>
      </c>
      <c r="AJ418" s="8">
        <v>1</v>
      </c>
      <c r="AK418" s="8">
        <v>0</v>
      </c>
      <c r="AL418" s="8">
        <v>0</v>
      </c>
      <c r="AM418" s="8">
        <v>0</v>
      </c>
      <c r="AN418" s="8">
        <v>0</v>
      </c>
      <c r="AO418" s="8">
        <v>0</v>
      </c>
      <c r="AP418" s="8">
        <v>0</v>
      </c>
      <c r="AQ418" s="8">
        <v>0</v>
      </c>
      <c r="AR418" s="8">
        <v>0</v>
      </c>
      <c r="AS418" s="8">
        <v>0</v>
      </c>
      <c r="AT418" s="8">
        <v>0</v>
      </c>
      <c r="AU418" s="8">
        <v>0</v>
      </c>
      <c r="AV418" s="8">
        <v>0</v>
      </c>
      <c r="AW418" s="8">
        <v>0</v>
      </c>
      <c r="AX418" s="8">
        <v>0</v>
      </c>
      <c r="AY418" s="8">
        <v>0</v>
      </c>
      <c r="AZ418" s="8">
        <v>0</v>
      </c>
      <c r="BA418" s="8">
        <v>0</v>
      </c>
      <c r="BB418" s="8">
        <v>0</v>
      </c>
      <c r="BC418" s="8">
        <v>0</v>
      </c>
      <c r="BD418" s="8">
        <v>0</v>
      </c>
      <c r="BE418" s="8">
        <v>0</v>
      </c>
      <c r="BF418" s="8">
        <v>0</v>
      </c>
      <c r="BG418" s="8">
        <v>0</v>
      </c>
      <c r="BH418" s="8">
        <v>0</v>
      </c>
      <c r="BI418" s="8">
        <v>0</v>
      </c>
      <c r="BJ418" s="8">
        <v>0</v>
      </c>
      <c r="BK418" s="8">
        <v>0</v>
      </c>
      <c r="BL418" s="8">
        <v>1</v>
      </c>
      <c r="BM418" s="8">
        <v>0</v>
      </c>
      <c r="BN418" s="8">
        <v>0</v>
      </c>
      <c r="BO418" s="8">
        <v>0</v>
      </c>
      <c r="BP418" s="8">
        <v>0</v>
      </c>
      <c r="BQ418" s="8">
        <v>0</v>
      </c>
      <c r="BR418" s="8">
        <v>0</v>
      </c>
      <c r="BS418" s="8">
        <f t="shared" si="526"/>
        <v>2</v>
      </c>
      <c r="BT418" s="8"/>
      <c r="BU418" s="2">
        <f t="shared" si="437"/>
        <v>0</v>
      </c>
      <c r="BV418" s="2">
        <f t="shared" si="403"/>
        <v>2</v>
      </c>
      <c r="BW418" s="2">
        <f t="shared" si="404"/>
        <v>0</v>
      </c>
      <c r="BX418" s="2">
        <f t="shared" si="407"/>
        <v>0</v>
      </c>
      <c r="BY418" s="2">
        <f t="shared" si="405"/>
        <v>0</v>
      </c>
      <c r="BZ418" s="2">
        <f t="shared" ref="BZ418:CA418" si="605">SUM(AQ418)</f>
        <v>0</v>
      </c>
      <c r="CA418" s="2">
        <f t="shared" si="605"/>
        <v>0</v>
      </c>
      <c r="CB418" s="2">
        <f t="shared" si="431"/>
        <v>0</v>
      </c>
    </row>
    <row r="419" spans="1:80" ht="16" x14ac:dyDescent="0.2">
      <c r="A419" s="3" t="s">
        <v>161</v>
      </c>
      <c r="B419" s="10">
        <v>528</v>
      </c>
      <c r="C419" s="5">
        <v>1</v>
      </c>
      <c r="D419" s="10">
        <v>1</v>
      </c>
      <c r="E419" s="5">
        <v>0</v>
      </c>
      <c r="F419" s="10">
        <v>1998</v>
      </c>
      <c r="G419" s="10" t="s">
        <v>72</v>
      </c>
      <c r="H419" s="7" t="str">
        <f t="shared" si="399"/>
        <v>No</v>
      </c>
      <c r="I419" s="54" t="s">
        <v>55</v>
      </c>
      <c r="J419" s="8">
        <v>2</v>
      </c>
      <c r="K419" s="8" t="s">
        <v>63</v>
      </c>
      <c r="L419" s="8" t="s">
        <v>64</v>
      </c>
      <c r="M419" s="8" t="s">
        <v>64</v>
      </c>
      <c r="N419" s="8">
        <v>0</v>
      </c>
      <c r="O419" s="8">
        <v>0</v>
      </c>
      <c r="P419" s="8">
        <v>0</v>
      </c>
      <c r="Q419" s="8" t="s">
        <v>65</v>
      </c>
      <c r="R419" s="9">
        <v>0</v>
      </c>
      <c r="S419" s="8">
        <v>1</v>
      </c>
      <c r="T419" s="8">
        <v>0</v>
      </c>
      <c r="U419" s="8">
        <v>1</v>
      </c>
      <c r="V419" s="8">
        <v>0</v>
      </c>
      <c r="W419" s="8">
        <v>1</v>
      </c>
      <c r="X419" s="8">
        <v>0</v>
      </c>
      <c r="Y419" s="8">
        <v>0</v>
      </c>
      <c r="Z419" s="8">
        <v>0</v>
      </c>
      <c r="AA419" s="8" t="s">
        <v>162</v>
      </c>
      <c r="AB419" s="8">
        <v>0</v>
      </c>
      <c r="AC419" s="8">
        <v>0</v>
      </c>
      <c r="AD419" s="8">
        <v>0</v>
      </c>
      <c r="AE419" s="8">
        <v>0</v>
      </c>
      <c r="AF419" s="8">
        <v>0</v>
      </c>
      <c r="AG419" s="8">
        <v>0</v>
      </c>
      <c r="AH419" s="8">
        <v>0</v>
      </c>
      <c r="AI419" s="8">
        <v>0</v>
      </c>
      <c r="AJ419" s="8">
        <v>1</v>
      </c>
      <c r="AK419" s="8">
        <v>0</v>
      </c>
      <c r="AL419" s="8">
        <v>0</v>
      </c>
      <c r="AM419" s="8">
        <v>0</v>
      </c>
      <c r="AN419" s="8">
        <v>0</v>
      </c>
      <c r="AO419" s="8">
        <v>0</v>
      </c>
      <c r="AP419" s="8">
        <v>0</v>
      </c>
      <c r="AQ419" s="8">
        <v>0</v>
      </c>
      <c r="AR419" s="8">
        <v>0</v>
      </c>
      <c r="AS419" s="8">
        <v>0</v>
      </c>
      <c r="AT419" s="8">
        <v>0</v>
      </c>
      <c r="AU419" s="8">
        <v>0</v>
      </c>
      <c r="AV419" s="8">
        <v>0</v>
      </c>
      <c r="AW419" s="8">
        <v>0</v>
      </c>
      <c r="AX419" s="8">
        <v>0</v>
      </c>
      <c r="AY419" s="8">
        <v>0</v>
      </c>
      <c r="AZ419" s="8">
        <v>0</v>
      </c>
      <c r="BA419" s="8">
        <v>0</v>
      </c>
      <c r="BB419" s="8">
        <v>0</v>
      </c>
      <c r="BC419" s="8">
        <v>0</v>
      </c>
      <c r="BD419" s="8">
        <v>0</v>
      </c>
      <c r="BE419" s="8">
        <v>0</v>
      </c>
      <c r="BF419" s="8">
        <v>0</v>
      </c>
      <c r="BG419" s="8">
        <v>0</v>
      </c>
      <c r="BH419" s="8">
        <v>0</v>
      </c>
      <c r="BI419" s="8">
        <v>0</v>
      </c>
      <c r="BJ419" s="8">
        <v>0</v>
      </c>
      <c r="BK419" s="8">
        <v>0</v>
      </c>
      <c r="BL419" s="8">
        <v>1</v>
      </c>
      <c r="BM419" s="8">
        <v>0</v>
      </c>
      <c r="BN419" s="8">
        <v>0</v>
      </c>
      <c r="BO419" s="8">
        <v>0</v>
      </c>
      <c r="BP419" s="8">
        <v>0</v>
      </c>
      <c r="BQ419" s="8">
        <v>0</v>
      </c>
      <c r="BR419" s="8">
        <v>0</v>
      </c>
      <c r="BS419" s="8">
        <f t="shared" si="526"/>
        <v>2</v>
      </c>
      <c r="BT419" s="8"/>
      <c r="BU419" s="2">
        <f t="shared" si="437"/>
        <v>0</v>
      </c>
      <c r="BV419" s="2">
        <f t="shared" si="403"/>
        <v>2</v>
      </c>
      <c r="BW419" s="2">
        <f t="shared" si="404"/>
        <v>0</v>
      </c>
      <c r="BX419" s="2">
        <f t="shared" si="407"/>
        <v>0</v>
      </c>
      <c r="BY419" s="2">
        <f t="shared" si="405"/>
        <v>0</v>
      </c>
      <c r="BZ419" s="2">
        <f t="shared" ref="BZ419:CA419" si="606">SUM(AQ419)</f>
        <v>0</v>
      </c>
      <c r="CA419" s="2">
        <f t="shared" si="606"/>
        <v>0</v>
      </c>
      <c r="CB419" s="2">
        <f t="shared" si="431"/>
        <v>0</v>
      </c>
    </row>
    <row r="420" spans="1:80" ht="16" x14ac:dyDescent="0.2">
      <c r="A420" s="3" t="s">
        <v>161</v>
      </c>
      <c r="B420" s="10">
        <v>528</v>
      </c>
      <c r="C420" s="5">
        <v>1</v>
      </c>
      <c r="D420" s="10">
        <v>1</v>
      </c>
      <c r="E420" s="5">
        <v>0</v>
      </c>
      <c r="F420" s="10">
        <v>1998</v>
      </c>
      <c r="G420" s="10" t="s">
        <v>73</v>
      </c>
      <c r="H420" s="7" t="str">
        <f t="shared" si="399"/>
        <v>No</v>
      </c>
      <c r="I420" s="54" t="s">
        <v>55</v>
      </c>
      <c r="J420" s="8">
        <v>2</v>
      </c>
      <c r="K420" s="8" t="s">
        <v>63</v>
      </c>
      <c r="L420" s="8" t="s">
        <v>64</v>
      </c>
      <c r="M420" s="8" t="s">
        <v>64</v>
      </c>
      <c r="N420" s="8">
        <v>0</v>
      </c>
      <c r="O420" s="8">
        <v>0</v>
      </c>
      <c r="P420" s="8">
        <v>0</v>
      </c>
      <c r="Q420" s="8" t="s">
        <v>65</v>
      </c>
      <c r="R420" s="9">
        <v>0</v>
      </c>
      <c r="S420" s="8">
        <v>1</v>
      </c>
      <c r="T420" s="8">
        <v>0</v>
      </c>
      <c r="U420" s="8">
        <v>1</v>
      </c>
      <c r="V420" s="8">
        <v>0</v>
      </c>
      <c r="W420" s="8">
        <v>1</v>
      </c>
      <c r="X420" s="8">
        <v>0</v>
      </c>
      <c r="Y420" s="8">
        <v>0</v>
      </c>
      <c r="Z420" s="8">
        <v>0</v>
      </c>
      <c r="AA420" s="8" t="s">
        <v>162</v>
      </c>
      <c r="AB420" s="8">
        <v>0</v>
      </c>
      <c r="AC420" s="8">
        <v>0</v>
      </c>
      <c r="AD420" s="8">
        <v>0</v>
      </c>
      <c r="AE420" s="8">
        <v>0</v>
      </c>
      <c r="AF420" s="8">
        <v>0</v>
      </c>
      <c r="AG420" s="8">
        <v>0</v>
      </c>
      <c r="AH420" s="8">
        <v>0</v>
      </c>
      <c r="AI420" s="8">
        <v>0</v>
      </c>
      <c r="AJ420" s="8">
        <v>1</v>
      </c>
      <c r="AK420" s="8">
        <v>0</v>
      </c>
      <c r="AL420" s="8">
        <v>0</v>
      </c>
      <c r="AM420" s="8">
        <v>0</v>
      </c>
      <c r="AN420" s="8">
        <v>0</v>
      </c>
      <c r="AO420" s="8">
        <v>0</v>
      </c>
      <c r="AP420" s="8">
        <v>0</v>
      </c>
      <c r="AQ420" s="8">
        <v>0</v>
      </c>
      <c r="AR420" s="8">
        <v>0</v>
      </c>
      <c r="AS420" s="8">
        <v>0</v>
      </c>
      <c r="AT420" s="8">
        <v>0</v>
      </c>
      <c r="AU420" s="8">
        <v>0</v>
      </c>
      <c r="AV420" s="8">
        <v>0</v>
      </c>
      <c r="AW420" s="8">
        <v>0</v>
      </c>
      <c r="AX420" s="8">
        <v>0</v>
      </c>
      <c r="AY420" s="8">
        <v>0</v>
      </c>
      <c r="AZ420" s="8">
        <v>0</v>
      </c>
      <c r="BA420" s="8">
        <v>0</v>
      </c>
      <c r="BB420" s="8">
        <v>0</v>
      </c>
      <c r="BC420" s="8">
        <v>0</v>
      </c>
      <c r="BD420" s="8">
        <v>0</v>
      </c>
      <c r="BE420" s="8">
        <v>0</v>
      </c>
      <c r="BF420" s="8">
        <v>0</v>
      </c>
      <c r="BG420" s="8">
        <v>0</v>
      </c>
      <c r="BH420" s="8">
        <v>0</v>
      </c>
      <c r="BI420" s="8">
        <v>0</v>
      </c>
      <c r="BJ420" s="8">
        <v>0</v>
      </c>
      <c r="BK420" s="8">
        <v>0</v>
      </c>
      <c r="BL420" s="8">
        <v>1</v>
      </c>
      <c r="BM420" s="8">
        <v>0</v>
      </c>
      <c r="BN420" s="8">
        <v>0</v>
      </c>
      <c r="BO420" s="8">
        <v>0</v>
      </c>
      <c r="BP420" s="8">
        <v>0</v>
      </c>
      <c r="BQ420" s="8">
        <v>0</v>
      </c>
      <c r="BR420" s="8">
        <v>0</v>
      </c>
      <c r="BS420" s="8">
        <f t="shared" si="526"/>
        <v>2</v>
      </c>
      <c r="BT420" s="8"/>
      <c r="BU420" s="2">
        <f t="shared" si="437"/>
        <v>0</v>
      </c>
      <c r="BV420" s="2">
        <f t="shared" si="403"/>
        <v>2</v>
      </c>
      <c r="BW420" s="2">
        <f t="shared" si="404"/>
        <v>0</v>
      </c>
      <c r="BX420" s="2">
        <f t="shared" si="407"/>
        <v>0</v>
      </c>
      <c r="BY420" s="2">
        <f t="shared" si="405"/>
        <v>0</v>
      </c>
      <c r="BZ420" s="2">
        <f t="shared" ref="BZ420:CA420" si="607">SUM(AQ420)</f>
        <v>0</v>
      </c>
      <c r="CA420" s="2">
        <f t="shared" si="607"/>
        <v>0</v>
      </c>
      <c r="CB420" s="2">
        <f t="shared" si="431"/>
        <v>0</v>
      </c>
    </row>
    <row r="421" spans="1:80" ht="16" x14ac:dyDescent="0.2">
      <c r="A421" s="3" t="s">
        <v>161</v>
      </c>
      <c r="B421" s="10">
        <v>528</v>
      </c>
      <c r="C421" s="5">
        <v>1</v>
      </c>
      <c r="D421" s="10">
        <v>1</v>
      </c>
      <c r="E421" s="5">
        <v>0</v>
      </c>
      <c r="F421" s="10">
        <v>1998</v>
      </c>
      <c r="G421" s="10" t="s">
        <v>74</v>
      </c>
      <c r="H421" s="7" t="str">
        <f t="shared" si="399"/>
        <v>No</v>
      </c>
      <c r="I421" s="54" t="s">
        <v>55</v>
      </c>
      <c r="J421" s="8">
        <v>2</v>
      </c>
      <c r="K421" s="8" t="s">
        <v>63</v>
      </c>
      <c r="L421" s="8" t="s">
        <v>64</v>
      </c>
      <c r="M421" s="8" t="s">
        <v>64</v>
      </c>
      <c r="N421" s="8">
        <v>0</v>
      </c>
      <c r="O421" s="8">
        <v>0</v>
      </c>
      <c r="P421" s="8">
        <v>0</v>
      </c>
      <c r="Q421" s="8" t="s">
        <v>65</v>
      </c>
      <c r="R421" s="9">
        <v>0</v>
      </c>
      <c r="S421" s="8">
        <v>1</v>
      </c>
      <c r="T421" s="8">
        <v>0</v>
      </c>
      <c r="U421" s="8">
        <v>1</v>
      </c>
      <c r="V421" s="8">
        <v>0</v>
      </c>
      <c r="W421" s="8">
        <v>1</v>
      </c>
      <c r="X421" s="8">
        <v>0</v>
      </c>
      <c r="Y421" s="8">
        <v>0</v>
      </c>
      <c r="Z421" s="8">
        <v>0</v>
      </c>
      <c r="AA421" s="8" t="s">
        <v>162</v>
      </c>
      <c r="AB421" s="8">
        <v>0</v>
      </c>
      <c r="AC421" s="8">
        <v>0</v>
      </c>
      <c r="AD421" s="8">
        <v>0</v>
      </c>
      <c r="AE421" s="8">
        <v>0</v>
      </c>
      <c r="AF421" s="8">
        <v>0</v>
      </c>
      <c r="AG421" s="8">
        <v>0</v>
      </c>
      <c r="AH421" s="8">
        <v>0</v>
      </c>
      <c r="AI421" s="8">
        <v>0</v>
      </c>
      <c r="AJ421" s="8">
        <v>1</v>
      </c>
      <c r="AK421" s="8">
        <v>0</v>
      </c>
      <c r="AL421" s="8">
        <v>0</v>
      </c>
      <c r="AM421" s="8">
        <v>0</v>
      </c>
      <c r="AN421" s="8">
        <v>0</v>
      </c>
      <c r="AO421" s="8">
        <v>0</v>
      </c>
      <c r="AP421" s="8">
        <v>0</v>
      </c>
      <c r="AQ421" s="8">
        <v>0</v>
      </c>
      <c r="AR421" s="8">
        <v>0</v>
      </c>
      <c r="AS421" s="8">
        <v>0</v>
      </c>
      <c r="AT421" s="8">
        <v>0</v>
      </c>
      <c r="AU421" s="8">
        <v>0</v>
      </c>
      <c r="AV421" s="8">
        <v>0</v>
      </c>
      <c r="AW421" s="8">
        <v>0</v>
      </c>
      <c r="AX421" s="8">
        <v>0</v>
      </c>
      <c r="AY421" s="8">
        <v>0</v>
      </c>
      <c r="AZ421" s="8">
        <v>0</v>
      </c>
      <c r="BA421" s="8">
        <v>0</v>
      </c>
      <c r="BB421" s="8">
        <v>0</v>
      </c>
      <c r="BC421" s="8">
        <v>0</v>
      </c>
      <c r="BD421" s="8">
        <v>0</v>
      </c>
      <c r="BE421" s="8">
        <v>0</v>
      </c>
      <c r="BF421" s="8">
        <v>0</v>
      </c>
      <c r="BG421" s="8">
        <v>0</v>
      </c>
      <c r="BH421" s="8">
        <v>0</v>
      </c>
      <c r="BI421" s="8">
        <v>0</v>
      </c>
      <c r="BJ421" s="8">
        <v>0</v>
      </c>
      <c r="BK421" s="8">
        <v>0</v>
      </c>
      <c r="BL421" s="8">
        <v>1</v>
      </c>
      <c r="BM421" s="8">
        <v>0</v>
      </c>
      <c r="BN421" s="8">
        <v>0</v>
      </c>
      <c r="BO421" s="8">
        <v>0</v>
      </c>
      <c r="BP421" s="8">
        <v>0</v>
      </c>
      <c r="BQ421" s="8">
        <v>0</v>
      </c>
      <c r="BR421" s="8">
        <v>0</v>
      </c>
      <c r="BS421" s="8">
        <f t="shared" si="526"/>
        <v>2</v>
      </c>
      <c r="BT421" s="8"/>
      <c r="BU421" s="2">
        <f t="shared" si="437"/>
        <v>0</v>
      </c>
      <c r="BV421" s="2">
        <f t="shared" si="403"/>
        <v>2</v>
      </c>
      <c r="BW421" s="2">
        <f t="shared" si="404"/>
        <v>0</v>
      </c>
      <c r="BX421" s="2">
        <f t="shared" si="407"/>
        <v>0</v>
      </c>
      <c r="BY421" s="2">
        <f t="shared" si="405"/>
        <v>0</v>
      </c>
      <c r="BZ421" s="2">
        <f t="shared" ref="BZ421:CA421" si="608">SUM(AQ421)</f>
        <v>0</v>
      </c>
      <c r="CA421" s="2">
        <f t="shared" si="608"/>
        <v>0</v>
      </c>
      <c r="CB421" s="2">
        <f t="shared" si="431"/>
        <v>0</v>
      </c>
    </row>
    <row r="422" spans="1:80" ht="16" x14ac:dyDescent="0.2">
      <c r="A422" s="3" t="s">
        <v>161</v>
      </c>
      <c r="B422" s="10">
        <v>528</v>
      </c>
      <c r="C422" s="5">
        <v>1</v>
      </c>
      <c r="D422" s="10">
        <v>1</v>
      </c>
      <c r="E422" s="5">
        <v>0</v>
      </c>
      <c r="F422" s="10">
        <v>1998</v>
      </c>
      <c r="G422" s="10" t="s">
        <v>75</v>
      </c>
      <c r="H422" s="7" t="str">
        <f t="shared" si="399"/>
        <v>No</v>
      </c>
      <c r="I422" s="54" t="s">
        <v>55</v>
      </c>
      <c r="J422" s="8">
        <v>2</v>
      </c>
      <c r="K422" s="8" t="s">
        <v>63</v>
      </c>
      <c r="L422" s="8" t="s">
        <v>64</v>
      </c>
      <c r="M422" s="8" t="s">
        <v>64</v>
      </c>
      <c r="N422" s="8">
        <v>0</v>
      </c>
      <c r="O422" s="8">
        <v>0</v>
      </c>
      <c r="P422" s="8">
        <v>0</v>
      </c>
      <c r="Q422" s="8" t="s">
        <v>65</v>
      </c>
      <c r="R422" s="9">
        <v>0</v>
      </c>
      <c r="S422" s="8">
        <v>1</v>
      </c>
      <c r="T422" s="8">
        <v>0</v>
      </c>
      <c r="U422" s="8">
        <v>1</v>
      </c>
      <c r="V422" s="8">
        <v>0</v>
      </c>
      <c r="W422" s="8">
        <v>1</v>
      </c>
      <c r="X422" s="8">
        <v>0</v>
      </c>
      <c r="Y422" s="8">
        <v>0</v>
      </c>
      <c r="Z422" s="8">
        <v>0</v>
      </c>
      <c r="AA422" s="8" t="s">
        <v>162</v>
      </c>
      <c r="AB422" s="8">
        <v>0</v>
      </c>
      <c r="AC422" s="8">
        <v>0</v>
      </c>
      <c r="AD422" s="8">
        <v>0</v>
      </c>
      <c r="AE422" s="8">
        <v>0</v>
      </c>
      <c r="AF422" s="8">
        <v>0</v>
      </c>
      <c r="AG422" s="8">
        <v>0</v>
      </c>
      <c r="AH422" s="8">
        <v>0</v>
      </c>
      <c r="AI422" s="8">
        <v>0</v>
      </c>
      <c r="AJ422" s="8">
        <v>1</v>
      </c>
      <c r="AK422" s="8">
        <v>0</v>
      </c>
      <c r="AL422" s="8">
        <v>0</v>
      </c>
      <c r="AM422" s="8">
        <v>0</v>
      </c>
      <c r="AN422" s="8">
        <v>0</v>
      </c>
      <c r="AO422" s="8">
        <v>0</v>
      </c>
      <c r="AP422" s="8">
        <v>0</v>
      </c>
      <c r="AQ422" s="8">
        <v>0</v>
      </c>
      <c r="AR422" s="8">
        <v>0</v>
      </c>
      <c r="AS422" s="8">
        <v>0</v>
      </c>
      <c r="AT422" s="8">
        <v>0</v>
      </c>
      <c r="AU422" s="8">
        <v>0</v>
      </c>
      <c r="AV422" s="8">
        <v>0</v>
      </c>
      <c r="AW422" s="8">
        <v>0</v>
      </c>
      <c r="AX422" s="8">
        <v>0</v>
      </c>
      <c r="AY422" s="8">
        <v>0</v>
      </c>
      <c r="AZ422" s="8">
        <v>0</v>
      </c>
      <c r="BA422" s="8">
        <v>0</v>
      </c>
      <c r="BB422" s="8">
        <v>0</v>
      </c>
      <c r="BC422" s="8">
        <v>0</v>
      </c>
      <c r="BD422" s="8">
        <v>0</v>
      </c>
      <c r="BE422" s="8">
        <v>0</v>
      </c>
      <c r="BF422" s="8">
        <v>0</v>
      </c>
      <c r="BG422" s="8">
        <v>0</v>
      </c>
      <c r="BH422" s="8">
        <v>0</v>
      </c>
      <c r="BI422" s="8">
        <v>0</v>
      </c>
      <c r="BJ422" s="8">
        <v>0</v>
      </c>
      <c r="BK422" s="8">
        <v>0</v>
      </c>
      <c r="BL422" s="8">
        <v>1</v>
      </c>
      <c r="BM422" s="8">
        <v>0</v>
      </c>
      <c r="BN422" s="8">
        <v>0</v>
      </c>
      <c r="BO422" s="8">
        <v>0</v>
      </c>
      <c r="BP422" s="8">
        <v>0</v>
      </c>
      <c r="BQ422" s="8">
        <v>0</v>
      </c>
      <c r="BR422" s="8">
        <v>0</v>
      </c>
      <c r="BS422" s="8">
        <f t="shared" si="526"/>
        <v>2</v>
      </c>
      <c r="BT422" s="8"/>
      <c r="BU422" s="2">
        <f t="shared" si="437"/>
        <v>0</v>
      </c>
      <c r="BV422" s="2">
        <f t="shared" si="403"/>
        <v>2</v>
      </c>
      <c r="BW422" s="2">
        <f t="shared" si="404"/>
        <v>0</v>
      </c>
      <c r="BX422" s="2">
        <f t="shared" si="407"/>
        <v>0</v>
      </c>
      <c r="BY422" s="2">
        <f t="shared" si="405"/>
        <v>0</v>
      </c>
      <c r="BZ422" s="2">
        <f t="shared" ref="BZ422:CA422" si="609">SUM(AQ422)</f>
        <v>0</v>
      </c>
      <c r="CA422" s="2">
        <f t="shared" si="609"/>
        <v>0</v>
      </c>
      <c r="CB422" s="2">
        <f t="shared" si="431"/>
        <v>0</v>
      </c>
    </row>
    <row r="423" spans="1:80" ht="16" x14ac:dyDescent="0.2">
      <c r="A423" s="3" t="s">
        <v>161</v>
      </c>
      <c r="B423" s="10">
        <v>528</v>
      </c>
      <c r="C423" s="5">
        <v>1</v>
      </c>
      <c r="D423" s="10">
        <v>1</v>
      </c>
      <c r="E423" s="5">
        <v>0</v>
      </c>
      <c r="F423" s="10">
        <v>1998</v>
      </c>
      <c r="G423" s="10" t="s">
        <v>76</v>
      </c>
      <c r="H423" s="7" t="str">
        <f t="shared" si="399"/>
        <v>No</v>
      </c>
      <c r="I423" s="54" t="s">
        <v>55</v>
      </c>
      <c r="J423" s="8">
        <v>2</v>
      </c>
      <c r="K423" s="8" t="s">
        <v>63</v>
      </c>
      <c r="L423" s="8" t="s">
        <v>64</v>
      </c>
      <c r="M423" s="8" t="s">
        <v>64</v>
      </c>
      <c r="N423" s="8">
        <v>0</v>
      </c>
      <c r="O423" s="8">
        <v>0</v>
      </c>
      <c r="P423" s="8">
        <v>0</v>
      </c>
      <c r="Q423" s="8" t="s">
        <v>65</v>
      </c>
      <c r="R423" s="9">
        <v>0</v>
      </c>
      <c r="S423" s="8">
        <v>1</v>
      </c>
      <c r="T423" s="8">
        <v>0</v>
      </c>
      <c r="U423" s="8">
        <v>1</v>
      </c>
      <c r="V423" s="8">
        <v>0</v>
      </c>
      <c r="W423" s="8">
        <v>1</v>
      </c>
      <c r="X423" s="8">
        <v>0</v>
      </c>
      <c r="Y423" s="8">
        <v>0</v>
      </c>
      <c r="Z423" s="8">
        <v>0</v>
      </c>
      <c r="AA423" s="8" t="s">
        <v>162</v>
      </c>
      <c r="AB423" s="8">
        <v>0</v>
      </c>
      <c r="AC423" s="8">
        <v>0</v>
      </c>
      <c r="AD423" s="8">
        <v>0</v>
      </c>
      <c r="AE423" s="8">
        <v>0</v>
      </c>
      <c r="AF423" s="8">
        <v>0</v>
      </c>
      <c r="AG423" s="8">
        <v>0</v>
      </c>
      <c r="AH423" s="8">
        <v>0</v>
      </c>
      <c r="AI423" s="8">
        <v>0</v>
      </c>
      <c r="AJ423" s="8">
        <v>1</v>
      </c>
      <c r="AK423" s="8">
        <v>0</v>
      </c>
      <c r="AL423" s="8">
        <v>0</v>
      </c>
      <c r="AM423" s="8">
        <v>0</v>
      </c>
      <c r="AN423" s="8">
        <v>0</v>
      </c>
      <c r="AO423" s="8">
        <v>0</v>
      </c>
      <c r="AP423" s="8">
        <v>0</v>
      </c>
      <c r="AQ423" s="8">
        <v>0</v>
      </c>
      <c r="AR423" s="8">
        <v>0</v>
      </c>
      <c r="AS423" s="8">
        <v>0</v>
      </c>
      <c r="AT423" s="8">
        <v>0</v>
      </c>
      <c r="AU423" s="8">
        <v>0</v>
      </c>
      <c r="AV423" s="8">
        <v>0</v>
      </c>
      <c r="AW423" s="8">
        <v>0</v>
      </c>
      <c r="AX423" s="8">
        <v>0</v>
      </c>
      <c r="AY423" s="8">
        <v>0</v>
      </c>
      <c r="AZ423" s="8">
        <v>0</v>
      </c>
      <c r="BA423" s="8">
        <v>0</v>
      </c>
      <c r="BB423" s="8">
        <v>0</v>
      </c>
      <c r="BC423" s="8">
        <v>0</v>
      </c>
      <c r="BD423" s="8">
        <v>0</v>
      </c>
      <c r="BE423" s="8">
        <v>0</v>
      </c>
      <c r="BF423" s="8">
        <v>0</v>
      </c>
      <c r="BG423" s="8">
        <v>0</v>
      </c>
      <c r="BH423" s="8">
        <v>0</v>
      </c>
      <c r="BI423" s="8">
        <v>0</v>
      </c>
      <c r="BJ423" s="8">
        <v>0</v>
      </c>
      <c r="BK423" s="8">
        <v>0</v>
      </c>
      <c r="BL423" s="8">
        <v>1</v>
      </c>
      <c r="BM423" s="8">
        <v>0</v>
      </c>
      <c r="BN423" s="8">
        <v>0</v>
      </c>
      <c r="BO423" s="8">
        <v>0</v>
      </c>
      <c r="BP423" s="8">
        <v>0</v>
      </c>
      <c r="BQ423" s="8">
        <v>0</v>
      </c>
      <c r="BR423" s="8">
        <v>0</v>
      </c>
      <c r="BS423" s="8">
        <f t="shared" si="526"/>
        <v>2</v>
      </c>
      <c r="BT423" s="8"/>
      <c r="BU423" s="2">
        <f t="shared" si="437"/>
        <v>0</v>
      </c>
      <c r="BV423" s="2">
        <f t="shared" si="403"/>
        <v>2</v>
      </c>
      <c r="BW423" s="2">
        <f t="shared" si="404"/>
        <v>0</v>
      </c>
      <c r="BX423" s="2">
        <f t="shared" si="407"/>
        <v>0</v>
      </c>
      <c r="BY423" s="2">
        <f t="shared" si="405"/>
        <v>0</v>
      </c>
      <c r="BZ423" s="2">
        <f t="shared" ref="BZ423:CA423" si="610">SUM(AQ423)</f>
        <v>0</v>
      </c>
      <c r="CA423" s="2">
        <f t="shared" si="610"/>
        <v>0</v>
      </c>
      <c r="CB423" s="2">
        <f t="shared" si="431"/>
        <v>0</v>
      </c>
    </row>
    <row r="424" spans="1:80" ht="16" x14ac:dyDescent="0.2">
      <c r="A424" s="3" t="s">
        <v>161</v>
      </c>
      <c r="B424" s="10">
        <v>528</v>
      </c>
      <c r="C424" s="5">
        <v>1</v>
      </c>
      <c r="D424" s="10">
        <v>1</v>
      </c>
      <c r="E424" s="5">
        <v>0</v>
      </c>
      <c r="F424" s="10">
        <v>1998</v>
      </c>
      <c r="G424" s="10" t="s">
        <v>77</v>
      </c>
      <c r="H424" s="7" t="str">
        <f t="shared" si="399"/>
        <v>No</v>
      </c>
      <c r="I424" s="54" t="s">
        <v>55</v>
      </c>
      <c r="J424" s="8">
        <v>2</v>
      </c>
      <c r="K424" s="8" t="s">
        <v>63</v>
      </c>
      <c r="L424" s="8" t="s">
        <v>64</v>
      </c>
      <c r="M424" s="8" t="s">
        <v>64</v>
      </c>
      <c r="N424" s="8">
        <v>0</v>
      </c>
      <c r="O424" s="8">
        <v>0</v>
      </c>
      <c r="P424" s="8">
        <v>0</v>
      </c>
      <c r="Q424" s="8" t="s">
        <v>65</v>
      </c>
      <c r="R424" s="9">
        <v>0</v>
      </c>
      <c r="S424" s="8">
        <v>1</v>
      </c>
      <c r="T424" s="8">
        <v>0</v>
      </c>
      <c r="U424" s="8">
        <v>1</v>
      </c>
      <c r="V424" s="8">
        <v>0</v>
      </c>
      <c r="W424" s="8">
        <v>1</v>
      </c>
      <c r="X424" s="8">
        <v>0</v>
      </c>
      <c r="Y424" s="8">
        <v>0</v>
      </c>
      <c r="Z424" s="8">
        <v>0</v>
      </c>
      <c r="AA424" s="8" t="s">
        <v>162</v>
      </c>
      <c r="AB424" s="8">
        <v>0</v>
      </c>
      <c r="AC424" s="8">
        <v>0</v>
      </c>
      <c r="AD424" s="8">
        <v>0</v>
      </c>
      <c r="AE424" s="8">
        <v>0</v>
      </c>
      <c r="AF424" s="8">
        <v>0</v>
      </c>
      <c r="AG424" s="8">
        <v>0</v>
      </c>
      <c r="AH424" s="8">
        <v>0</v>
      </c>
      <c r="AI424" s="8">
        <v>0</v>
      </c>
      <c r="AJ424" s="8">
        <v>1</v>
      </c>
      <c r="AK424" s="8">
        <v>0</v>
      </c>
      <c r="AL424" s="8">
        <v>0</v>
      </c>
      <c r="AM424" s="8">
        <v>0</v>
      </c>
      <c r="AN424" s="8">
        <v>0</v>
      </c>
      <c r="AO424" s="8">
        <v>0</v>
      </c>
      <c r="AP424" s="8">
        <v>0</v>
      </c>
      <c r="AQ424" s="8">
        <v>0</v>
      </c>
      <c r="AR424" s="8">
        <v>0</v>
      </c>
      <c r="AS424" s="8">
        <v>0</v>
      </c>
      <c r="AT424" s="8">
        <v>0</v>
      </c>
      <c r="AU424" s="8">
        <v>0</v>
      </c>
      <c r="AV424" s="8">
        <v>0</v>
      </c>
      <c r="AW424" s="8">
        <v>0</v>
      </c>
      <c r="AX424" s="8">
        <v>0</v>
      </c>
      <c r="AY424" s="8">
        <v>0</v>
      </c>
      <c r="AZ424" s="8">
        <v>0</v>
      </c>
      <c r="BA424" s="8">
        <v>0</v>
      </c>
      <c r="BB424" s="8">
        <v>0</v>
      </c>
      <c r="BC424" s="8">
        <v>0</v>
      </c>
      <c r="BD424" s="8">
        <v>0</v>
      </c>
      <c r="BE424" s="8">
        <v>0</v>
      </c>
      <c r="BF424" s="8">
        <v>0</v>
      </c>
      <c r="BG424" s="8">
        <v>0</v>
      </c>
      <c r="BH424" s="8">
        <v>0</v>
      </c>
      <c r="BI424" s="8">
        <v>0</v>
      </c>
      <c r="BJ424" s="8">
        <v>0</v>
      </c>
      <c r="BK424" s="8">
        <v>0</v>
      </c>
      <c r="BL424" s="8">
        <v>1</v>
      </c>
      <c r="BM424" s="8">
        <v>0</v>
      </c>
      <c r="BN424" s="8">
        <v>0</v>
      </c>
      <c r="BO424" s="8">
        <v>0</v>
      </c>
      <c r="BP424" s="8">
        <v>0</v>
      </c>
      <c r="BQ424" s="8">
        <v>0</v>
      </c>
      <c r="BR424" s="8">
        <v>0</v>
      </c>
      <c r="BS424" s="8">
        <f t="shared" si="526"/>
        <v>2</v>
      </c>
      <c r="BT424" s="8"/>
      <c r="BU424" s="2">
        <f t="shared" si="437"/>
        <v>0</v>
      </c>
      <c r="BV424" s="2">
        <f t="shared" si="403"/>
        <v>2</v>
      </c>
      <c r="BW424" s="2">
        <f t="shared" si="404"/>
        <v>0</v>
      </c>
      <c r="BX424" s="2">
        <f t="shared" si="407"/>
        <v>0</v>
      </c>
      <c r="BY424" s="2">
        <f t="shared" si="405"/>
        <v>0</v>
      </c>
      <c r="BZ424" s="2">
        <f t="shared" ref="BZ424:CA424" si="611">SUM(AQ424)</f>
        <v>0</v>
      </c>
      <c r="CA424" s="2">
        <f t="shared" si="611"/>
        <v>0</v>
      </c>
      <c r="CB424" s="2">
        <f t="shared" si="431"/>
        <v>0</v>
      </c>
    </row>
    <row r="425" spans="1:80" ht="16" x14ac:dyDescent="0.2">
      <c r="A425" s="3" t="s">
        <v>161</v>
      </c>
      <c r="B425" s="10">
        <v>528</v>
      </c>
      <c r="C425" s="5">
        <v>1</v>
      </c>
      <c r="D425" s="10">
        <v>1</v>
      </c>
      <c r="E425" s="5">
        <v>0</v>
      </c>
      <c r="F425" s="10">
        <v>1998</v>
      </c>
      <c r="G425" s="10" t="s">
        <v>78</v>
      </c>
      <c r="H425" s="7" t="str">
        <f t="shared" si="399"/>
        <v>No</v>
      </c>
      <c r="I425" s="54" t="s">
        <v>55</v>
      </c>
      <c r="J425" s="8">
        <v>2</v>
      </c>
      <c r="K425" s="8" t="s">
        <v>63</v>
      </c>
      <c r="L425" s="8" t="s">
        <v>64</v>
      </c>
      <c r="M425" s="8" t="s">
        <v>64</v>
      </c>
      <c r="N425" s="8">
        <v>0</v>
      </c>
      <c r="O425" s="8">
        <v>0</v>
      </c>
      <c r="P425" s="8">
        <v>0</v>
      </c>
      <c r="Q425" s="8" t="s">
        <v>65</v>
      </c>
      <c r="R425" s="9">
        <v>0</v>
      </c>
      <c r="S425" s="8">
        <v>1</v>
      </c>
      <c r="T425" s="8">
        <v>0</v>
      </c>
      <c r="U425" s="8">
        <v>1</v>
      </c>
      <c r="V425" s="8">
        <v>0</v>
      </c>
      <c r="W425" s="8">
        <v>1</v>
      </c>
      <c r="X425" s="8">
        <v>0</v>
      </c>
      <c r="Y425" s="8">
        <v>0</v>
      </c>
      <c r="Z425" s="8">
        <v>0</v>
      </c>
      <c r="AA425" s="8" t="s">
        <v>162</v>
      </c>
      <c r="AB425" s="8">
        <v>0</v>
      </c>
      <c r="AC425" s="8">
        <v>0</v>
      </c>
      <c r="AD425" s="8">
        <v>0</v>
      </c>
      <c r="AE425" s="8">
        <v>0</v>
      </c>
      <c r="AF425" s="8">
        <v>0</v>
      </c>
      <c r="AG425" s="8">
        <v>0</v>
      </c>
      <c r="AH425" s="8">
        <v>0</v>
      </c>
      <c r="AI425" s="8">
        <v>0</v>
      </c>
      <c r="AJ425" s="8">
        <v>1</v>
      </c>
      <c r="AK425" s="8">
        <v>0</v>
      </c>
      <c r="AL425" s="8">
        <v>0</v>
      </c>
      <c r="AM425" s="8">
        <v>1</v>
      </c>
      <c r="AN425" s="8">
        <v>0</v>
      </c>
      <c r="AO425" s="8">
        <v>0</v>
      </c>
      <c r="AP425" s="8">
        <v>0</v>
      </c>
      <c r="AQ425" s="8">
        <v>0</v>
      </c>
      <c r="AR425" s="8">
        <v>0</v>
      </c>
      <c r="AS425" s="8">
        <v>0</v>
      </c>
      <c r="AT425" s="8">
        <v>0</v>
      </c>
      <c r="AU425" s="8">
        <v>0</v>
      </c>
      <c r="AV425" s="8">
        <v>0</v>
      </c>
      <c r="AW425" s="8">
        <v>0</v>
      </c>
      <c r="AX425" s="8">
        <v>0</v>
      </c>
      <c r="AY425" s="8">
        <v>0</v>
      </c>
      <c r="AZ425" s="8">
        <v>0</v>
      </c>
      <c r="BA425" s="8">
        <v>0</v>
      </c>
      <c r="BB425" s="8">
        <v>0</v>
      </c>
      <c r="BC425" s="8">
        <v>0</v>
      </c>
      <c r="BD425" s="8">
        <v>0</v>
      </c>
      <c r="BE425" s="8">
        <v>0</v>
      </c>
      <c r="BF425" s="8">
        <v>0</v>
      </c>
      <c r="BG425" s="8">
        <v>0</v>
      </c>
      <c r="BH425" s="8">
        <v>0</v>
      </c>
      <c r="BI425" s="8">
        <v>0</v>
      </c>
      <c r="BJ425" s="8">
        <v>0</v>
      </c>
      <c r="BK425" s="8">
        <v>0</v>
      </c>
      <c r="BL425" s="8">
        <v>1</v>
      </c>
      <c r="BM425" s="8">
        <v>0</v>
      </c>
      <c r="BN425" s="8">
        <v>0</v>
      </c>
      <c r="BO425" s="8">
        <v>0</v>
      </c>
      <c r="BP425" s="8">
        <v>0</v>
      </c>
      <c r="BQ425" s="8">
        <v>0</v>
      </c>
      <c r="BR425" s="8">
        <v>0</v>
      </c>
      <c r="BS425" s="8">
        <f t="shared" si="526"/>
        <v>3</v>
      </c>
      <c r="BT425" s="8"/>
      <c r="BU425" s="2">
        <f t="shared" si="437"/>
        <v>0</v>
      </c>
      <c r="BV425" s="2">
        <f t="shared" si="403"/>
        <v>3</v>
      </c>
      <c r="BW425" s="2">
        <f t="shared" si="404"/>
        <v>0</v>
      </c>
      <c r="BX425" s="2">
        <f t="shared" si="407"/>
        <v>0</v>
      </c>
      <c r="BY425" s="2">
        <f t="shared" si="405"/>
        <v>0</v>
      </c>
      <c r="BZ425" s="2">
        <f t="shared" ref="BZ425:CA425" si="612">SUM(AQ425)</f>
        <v>0</v>
      </c>
      <c r="CA425" s="2">
        <f t="shared" si="612"/>
        <v>0</v>
      </c>
      <c r="CB425" s="2">
        <f t="shared" si="431"/>
        <v>0</v>
      </c>
    </row>
    <row r="426" spans="1:80" ht="15" customHeight="1" x14ac:dyDescent="0.2">
      <c r="A426" s="3" t="s">
        <v>161</v>
      </c>
      <c r="B426" s="10">
        <v>528</v>
      </c>
      <c r="C426" s="5">
        <v>1</v>
      </c>
      <c r="D426" s="10">
        <v>1</v>
      </c>
      <c r="E426" s="5">
        <v>0</v>
      </c>
      <c r="F426" s="10">
        <v>1998</v>
      </c>
      <c r="G426" s="10" t="s">
        <v>79</v>
      </c>
      <c r="H426" s="7" t="str">
        <f t="shared" si="399"/>
        <v>Yes</v>
      </c>
      <c r="I426" s="54" t="s">
        <v>56</v>
      </c>
      <c r="J426" s="8">
        <v>3</v>
      </c>
      <c r="K426" s="8" t="s">
        <v>63</v>
      </c>
      <c r="L426" s="8" t="s">
        <v>64</v>
      </c>
      <c r="M426" s="8" t="s">
        <v>64</v>
      </c>
      <c r="N426" s="8">
        <v>0</v>
      </c>
      <c r="O426" s="8">
        <v>0</v>
      </c>
      <c r="P426" s="8">
        <v>0</v>
      </c>
      <c r="Q426" s="8" t="s">
        <v>65</v>
      </c>
      <c r="R426" s="9">
        <v>0</v>
      </c>
      <c r="S426" s="8">
        <v>1</v>
      </c>
      <c r="T426" s="8">
        <v>0</v>
      </c>
      <c r="U426" s="8">
        <v>1</v>
      </c>
      <c r="V426" s="8">
        <v>0</v>
      </c>
      <c r="W426" s="8">
        <v>1</v>
      </c>
      <c r="X426" s="8">
        <v>0</v>
      </c>
      <c r="Y426" s="8">
        <v>0</v>
      </c>
      <c r="Z426" s="8">
        <v>0</v>
      </c>
      <c r="AA426" s="8" t="s">
        <v>162</v>
      </c>
      <c r="AB426" s="8">
        <v>0</v>
      </c>
      <c r="AC426" s="8">
        <v>0</v>
      </c>
      <c r="AD426" s="8">
        <v>0</v>
      </c>
      <c r="AE426" s="8">
        <v>0</v>
      </c>
      <c r="AF426" s="8">
        <v>0</v>
      </c>
      <c r="AG426" s="8">
        <v>0</v>
      </c>
      <c r="AH426" s="8">
        <v>0</v>
      </c>
      <c r="AI426" s="8">
        <v>0</v>
      </c>
      <c r="AJ426" s="8">
        <v>1</v>
      </c>
      <c r="AK426" s="8">
        <v>0</v>
      </c>
      <c r="AL426" s="8">
        <v>0</v>
      </c>
      <c r="AM426" s="8">
        <v>1</v>
      </c>
      <c r="AN426" s="8">
        <v>0</v>
      </c>
      <c r="AO426" s="8">
        <v>0</v>
      </c>
      <c r="AP426" s="8">
        <v>0</v>
      </c>
      <c r="AQ426" s="8">
        <v>0</v>
      </c>
      <c r="AR426" s="8">
        <v>0</v>
      </c>
      <c r="AS426" s="8">
        <v>0</v>
      </c>
      <c r="AT426" s="8">
        <v>0</v>
      </c>
      <c r="AU426" s="8">
        <v>0</v>
      </c>
      <c r="AV426" s="8">
        <v>0</v>
      </c>
      <c r="AW426" s="8">
        <v>0</v>
      </c>
      <c r="AX426" s="8">
        <v>0</v>
      </c>
      <c r="AY426" s="8">
        <v>0</v>
      </c>
      <c r="AZ426" s="8">
        <v>0</v>
      </c>
      <c r="BA426" s="8">
        <v>0</v>
      </c>
      <c r="BB426" s="8">
        <v>0</v>
      </c>
      <c r="BC426" s="8">
        <v>0</v>
      </c>
      <c r="BD426" s="8">
        <v>0</v>
      </c>
      <c r="BE426" s="8">
        <v>0</v>
      </c>
      <c r="BF426" s="8">
        <v>0</v>
      </c>
      <c r="BG426" s="8">
        <v>0</v>
      </c>
      <c r="BH426" s="8">
        <v>0</v>
      </c>
      <c r="BI426" s="8">
        <v>0</v>
      </c>
      <c r="BJ426" s="8">
        <v>0</v>
      </c>
      <c r="BK426" s="8">
        <v>0</v>
      </c>
      <c r="BL426" s="8">
        <v>1</v>
      </c>
      <c r="BM426" s="8">
        <v>0</v>
      </c>
      <c r="BN426" s="8">
        <v>0</v>
      </c>
      <c r="BO426" s="8">
        <v>0</v>
      </c>
      <c r="BP426" s="8">
        <v>0</v>
      </c>
      <c r="BQ426" s="8">
        <v>0</v>
      </c>
      <c r="BR426" s="8">
        <v>0</v>
      </c>
      <c r="BS426" s="8">
        <f t="shared" si="526"/>
        <v>3</v>
      </c>
      <c r="BT426" s="8"/>
      <c r="BU426" s="2">
        <f t="shared" si="437"/>
        <v>0</v>
      </c>
      <c r="BV426" s="2">
        <f t="shared" si="403"/>
        <v>3</v>
      </c>
      <c r="BW426" s="2">
        <f t="shared" si="404"/>
        <v>0</v>
      </c>
      <c r="BX426" s="2">
        <f t="shared" si="407"/>
        <v>0</v>
      </c>
      <c r="BY426" s="2">
        <f t="shared" si="405"/>
        <v>0</v>
      </c>
      <c r="BZ426" s="2">
        <f t="shared" ref="BZ426:CA426" si="613">SUM(AQ426)</f>
        <v>0</v>
      </c>
      <c r="CA426" s="2">
        <f t="shared" si="613"/>
        <v>0</v>
      </c>
      <c r="CB426" s="2">
        <f t="shared" si="431"/>
        <v>0</v>
      </c>
    </row>
    <row r="427" spans="1:80" ht="15" customHeight="1" x14ac:dyDescent="0.2">
      <c r="A427" s="3" t="s">
        <v>161</v>
      </c>
      <c r="B427" s="10">
        <v>528</v>
      </c>
      <c r="C427" s="5">
        <v>1</v>
      </c>
      <c r="D427" s="10">
        <v>1</v>
      </c>
      <c r="E427" s="5">
        <v>0</v>
      </c>
      <c r="F427" s="10">
        <v>1998</v>
      </c>
      <c r="G427" s="10" t="s">
        <v>80</v>
      </c>
      <c r="H427" s="7" t="str">
        <f t="shared" si="399"/>
        <v>No</v>
      </c>
      <c r="I427" s="54" t="s">
        <v>55</v>
      </c>
      <c r="J427" s="8">
        <v>3</v>
      </c>
      <c r="K427" s="8" t="s">
        <v>63</v>
      </c>
      <c r="L427" s="8" t="s">
        <v>64</v>
      </c>
      <c r="M427" s="8" t="s">
        <v>64</v>
      </c>
      <c r="N427" s="8">
        <v>0</v>
      </c>
      <c r="O427" s="8">
        <v>0</v>
      </c>
      <c r="P427" s="8">
        <v>0</v>
      </c>
      <c r="Q427" s="8" t="s">
        <v>65</v>
      </c>
      <c r="R427" s="9">
        <v>0</v>
      </c>
      <c r="S427" s="8">
        <v>1</v>
      </c>
      <c r="T427" s="8">
        <v>0</v>
      </c>
      <c r="U427" s="8">
        <v>1</v>
      </c>
      <c r="V427" s="8">
        <v>0</v>
      </c>
      <c r="W427" s="8">
        <v>1</v>
      </c>
      <c r="X427" s="8">
        <v>0</v>
      </c>
      <c r="Y427" s="8">
        <v>0</v>
      </c>
      <c r="Z427" s="8">
        <v>0</v>
      </c>
      <c r="AA427" s="8" t="s">
        <v>162</v>
      </c>
      <c r="AB427" s="8">
        <v>0</v>
      </c>
      <c r="AC427" s="8">
        <v>0</v>
      </c>
      <c r="AD427" s="8">
        <v>0</v>
      </c>
      <c r="AE427" s="8">
        <v>0</v>
      </c>
      <c r="AF427" s="8">
        <v>0</v>
      </c>
      <c r="AG427" s="8">
        <v>0</v>
      </c>
      <c r="AH427" s="8">
        <v>0</v>
      </c>
      <c r="AI427" s="8">
        <v>0</v>
      </c>
      <c r="AJ427" s="8">
        <v>1</v>
      </c>
      <c r="AK427" s="8">
        <v>0</v>
      </c>
      <c r="AL427" s="8">
        <v>0</v>
      </c>
      <c r="AM427" s="8">
        <v>1</v>
      </c>
      <c r="AN427" s="8">
        <v>0</v>
      </c>
      <c r="AO427" s="8">
        <v>0</v>
      </c>
      <c r="AP427" s="8">
        <v>0</v>
      </c>
      <c r="AQ427" s="8">
        <v>0</v>
      </c>
      <c r="AR427" s="8">
        <v>0</v>
      </c>
      <c r="AS427" s="8">
        <v>0</v>
      </c>
      <c r="AT427" s="8">
        <v>0</v>
      </c>
      <c r="AU427" s="8">
        <v>0</v>
      </c>
      <c r="AV427" s="8">
        <v>0</v>
      </c>
      <c r="AW427" s="8">
        <v>0</v>
      </c>
      <c r="AX427" s="8">
        <v>0</v>
      </c>
      <c r="AY427" s="8">
        <v>0</v>
      </c>
      <c r="AZ427" s="8">
        <v>0</v>
      </c>
      <c r="BA427" s="8">
        <v>0</v>
      </c>
      <c r="BB427" s="8">
        <v>0</v>
      </c>
      <c r="BC427" s="8">
        <v>0</v>
      </c>
      <c r="BD427" s="8">
        <v>0</v>
      </c>
      <c r="BE427" s="8">
        <v>0</v>
      </c>
      <c r="BF427" s="8">
        <v>0</v>
      </c>
      <c r="BG427" s="8">
        <v>0</v>
      </c>
      <c r="BH427" s="8">
        <v>0</v>
      </c>
      <c r="BI427" s="8">
        <v>0</v>
      </c>
      <c r="BJ427" s="8">
        <v>0</v>
      </c>
      <c r="BK427" s="8">
        <v>0</v>
      </c>
      <c r="BL427" s="8">
        <v>1</v>
      </c>
      <c r="BM427" s="8">
        <v>0</v>
      </c>
      <c r="BN427" s="8">
        <v>0</v>
      </c>
      <c r="BO427" s="8">
        <v>0</v>
      </c>
      <c r="BP427" s="8">
        <v>0</v>
      </c>
      <c r="BQ427" s="8">
        <v>0</v>
      </c>
      <c r="BR427" s="8">
        <v>0</v>
      </c>
      <c r="BS427" s="8">
        <f t="shared" si="526"/>
        <v>3</v>
      </c>
      <c r="BT427" s="8"/>
      <c r="BU427" s="2">
        <f t="shared" si="437"/>
        <v>0</v>
      </c>
      <c r="BV427" s="2">
        <f t="shared" si="403"/>
        <v>3</v>
      </c>
      <c r="BW427" s="2">
        <f t="shared" si="404"/>
        <v>0</v>
      </c>
      <c r="BX427" s="2">
        <f t="shared" si="407"/>
        <v>0</v>
      </c>
      <c r="BY427" s="2">
        <f t="shared" si="405"/>
        <v>0</v>
      </c>
      <c r="BZ427" s="2">
        <f t="shared" ref="BZ427:CA427" si="614">SUM(AQ427)</f>
        <v>0</v>
      </c>
      <c r="CA427" s="2">
        <f t="shared" si="614"/>
        <v>0</v>
      </c>
      <c r="CB427" s="2">
        <f t="shared" si="431"/>
        <v>0</v>
      </c>
    </row>
    <row r="428" spans="1:80" ht="16" x14ac:dyDescent="0.2">
      <c r="A428" s="3" t="s">
        <v>161</v>
      </c>
      <c r="B428" s="10">
        <v>528</v>
      </c>
      <c r="C428" s="5">
        <v>1</v>
      </c>
      <c r="D428" s="10">
        <v>1</v>
      </c>
      <c r="E428" s="5">
        <v>0</v>
      </c>
      <c r="F428" s="10">
        <v>1998</v>
      </c>
      <c r="G428" s="10">
        <v>2022</v>
      </c>
      <c r="H428" s="7" t="str">
        <f t="shared" si="399"/>
        <v>Yes</v>
      </c>
      <c r="I428" s="54" t="s">
        <v>56</v>
      </c>
      <c r="J428" s="8">
        <v>4</v>
      </c>
      <c r="K428" s="8" t="s">
        <v>63</v>
      </c>
      <c r="L428" s="8" t="s">
        <v>64</v>
      </c>
      <c r="M428" s="8" t="s">
        <v>64</v>
      </c>
      <c r="N428" s="8">
        <v>1</v>
      </c>
      <c r="O428" s="8">
        <v>0</v>
      </c>
      <c r="P428" s="8">
        <v>0</v>
      </c>
      <c r="Q428" s="8" t="s">
        <v>65</v>
      </c>
      <c r="R428" s="9">
        <v>0</v>
      </c>
      <c r="S428" s="8">
        <v>1</v>
      </c>
      <c r="T428" s="6">
        <v>0</v>
      </c>
      <c r="U428" s="8">
        <v>1</v>
      </c>
      <c r="V428" s="8">
        <v>1</v>
      </c>
      <c r="W428" s="8">
        <v>1</v>
      </c>
      <c r="X428" s="8">
        <v>0</v>
      </c>
      <c r="Y428" s="8">
        <v>0</v>
      </c>
      <c r="Z428" s="8">
        <v>0</v>
      </c>
      <c r="AA428" s="8" t="s">
        <v>162</v>
      </c>
      <c r="AB428" s="8">
        <v>0</v>
      </c>
      <c r="AC428" s="8">
        <v>1</v>
      </c>
      <c r="AD428" s="8">
        <v>0</v>
      </c>
      <c r="AE428" s="8">
        <v>0</v>
      </c>
      <c r="AF428" s="8">
        <v>1</v>
      </c>
      <c r="AG428" s="8">
        <v>0</v>
      </c>
      <c r="AH428" s="8">
        <v>0</v>
      </c>
      <c r="AI428" s="8">
        <v>1</v>
      </c>
      <c r="AJ428" s="8">
        <v>1</v>
      </c>
      <c r="AK428" s="8">
        <v>0</v>
      </c>
      <c r="AL428" s="8">
        <v>1</v>
      </c>
      <c r="AM428" s="8">
        <v>1</v>
      </c>
      <c r="AN428" s="8">
        <v>0</v>
      </c>
      <c r="AO428" s="8">
        <v>0</v>
      </c>
      <c r="AP428" s="8">
        <v>0</v>
      </c>
      <c r="AQ428" s="8">
        <v>1</v>
      </c>
      <c r="AR428" s="8">
        <v>0</v>
      </c>
      <c r="AS428" s="8">
        <v>0</v>
      </c>
      <c r="AT428" s="8">
        <v>0</v>
      </c>
      <c r="AU428" s="8">
        <v>1</v>
      </c>
      <c r="AV428" s="8">
        <v>0</v>
      </c>
      <c r="AW428" s="8">
        <v>0</v>
      </c>
      <c r="AX428" s="8">
        <v>0</v>
      </c>
      <c r="AY428" s="8">
        <v>0</v>
      </c>
      <c r="AZ428" s="8">
        <v>0</v>
      </c>
      <c r="BA428" s="8">
        <v>0</v>
      </c>
      <c r="BB428" s="8">
        <v>0</v>
      </c>
      <c r="BC428" s="8">
        <v>0</v>
      </c>
      <c r="BD428" s="8">
        <v>0</v>
      </c>
      <c r="BE428" s="8">
        <v>0</v>
      </c>
      <c r="BF428" s="8">
        <v>0</v>
      </c>
      <c r="BG428" s="8">
        <v>0</v>
      </c>
      <c r="BH428" s="8">
        <v>0</v>
      </c>
      <c r="BI428" s="8">
        <v>0</v>
      </c>
      <c r="BJ428" s="8">
        <v>0</v>
      </c>
      <c r="BK428" s="8">
        <v>0</v>
      </c>
      <c r="BL428" s="8">
        <v>1</v>
      </c>
      <c r="BM428" s="8">
        <v>0</v>
      </c>
      <c r="BN428" s="8">
        <v>0</v>
      </c>
      <c r="BO428" s="8">
        <v>0</v>
      </c>
      <c r="BP428" s="8">
        <v>0</v>
      </c>
      <c r="BQ428" s="8">
        <v>0</v>
      </c>
      <c r="BR428" s="8">
        <v>0</v>
      </c>
      <c r="BS428" s="8">
        <f t="shared" si="526"/>
        <v>7</v>
      </c>
      <c r="BT428" s="8"/>
      <c r="BU428" s="2">
        <f t="shared" si="437"/>
        <v>1</v>
      </c>
      <c r="BV428" s="2">
        <f t="shared" si="403"/>
        <v>4</v>
      </c>
      <c r="BW428" s="2">
        <f t="shared" si="404"/>
        <v>0</v>
      </c>
      <c r="BX428" s="2">
        <f t="shared" si="407"/>
        <v>1</v>
      </c>
      <c r="BY428" s="2">
        <f t="shared" si="405"/>
        <v>0</v>
      </c>
      <c r="BZ428" s="2">
        <f t="shared" ref="BZ428:CA428" si="615">SUM(AQ428)</f>
        <v>1</v>
      </c>
      <c r="CA428" s="2">
        <f t="shared" si="615"/>
        <v>0</v>
      </c>
      <c r="CB428" s="2">
        <f t="shared" si="431"/>
        <v>0</v>
      </c>
    </row>
    <row r="429" spans="1:80" ht="16" x14ac:dyDescent="0.2">
      <c r="A429" s="38" t="s">
        <v>161</v>
      </c>
      <c r="B429" s="38">
        <v>528</v>
      </c>
      <c r="C429" s="53">
        <v>1</v>
      </c>
      <c r="D429" s="38">
        <v>1</v>
      </c>
      <c r="E429" s="53">
        <v>0</v>
      </c>
      <c r="F429" s="38">
        <v>1998</v>
      </c>
      <c r="G429" s="38">
        <v>2023</v>
      </c>
      <c r="H429" s="38" t="s">
        <v>82</v>
      </c>
      <c r="I429" s="57">
        <v>1</v>
      </c>
      <c r="J429" s="38">
        <v>5</v>
      </c>
      <c r="K429" s="38" t="s">
        <v>63</v>
      </c>
      <c r="L429" s="38" t="s">
        <v>64</v>
      </c>
      <c r="M429" s="38" t="s">
        <v>64</v>
      </c>
      <c r="N429" s="38">
        <v>1</v>
      </c>
      <c r="O429" s="38">
        <v>0</v>
      </c>
      <c r="P429" s="38">
        <v>1</v>
      </c>
      <c r="Q429" s="38" t="s">
        <v>65</v>
      </c>
      <c r="R429" s="103">
        <v>0.1</v>
      </c>
      <c r="S429" s="38">
        <v>1</v>
      </c>
      <c r="T429" s="38">
        <v>0</v>
      </c>
      <c r="U429" s="38">
        <v>1</v>
      </c>
      <c r="V429" s="38">
        <v>1</v>
      </c>
      <c r="W429" s="38">
        <v>1</v>
      </c>
      <c r="X429" s="38">
        <v>0</v>
      </c>
      <c r="Y429" s="38">
        <v>0</v>
      </c>
      <c r="Z429" s="38">
        <v>0</v>
      </c>
      <c r="AA429" s="38" t="s">
        <v>162</v>
      </c>
      <c r="AB429" s="38">
        <v>0</v>
      </c>
      <c r="AC429" s="38">
        <v>1</v>
      </c>
      <c r="AD429" s="38">
        <v>0</v>
      </c>
      <c r="AE429" s="38">
        <v>1</v>
      </c>
      <c r="AF429" s="38">
        <v>1</v>
      </c>
      <c r="AG429" s="38">
        <v>0</v>
      </c>
      <c r="AH429" s="38">
        <v>0</v>
      </c>
      <c r="AI429" s="38">
        <v>1</v>
      </c>
      <c r="AJ429" s="38">
        <v>1</v>
      </c>
      <c r="AK429" s="38">
        <v>0</v>
      </c>
      <c r="AL429" s="38">
        <v>1</v>
      </c>
      <c r="AM429" s="38">
        <v>1</v>
      </c>
      <c r="AN429" s="38">
        <v>0</v>
      </c>
      <c r="AO429" s="38">
        <v>0</v>
      </c>
      <c r="AP429" s="38">
        <v>0</v>
      </c>
      <c r="AQ429" s="38">
        <v>1</v>
      </c>
      <c r="AR429" s="38">
        <v>0</v>
      </c>
      <c r="AS429" s="38">
        <v>0</v>
      </c>
      <c r="AT429" s="38">
        <v>0</v>
      </c>
      <c r="AU429" s="38">
        <v>1</v>
      </c>
      <c r="AV429" s="38">
        <v>0</v>
      </c>
      <c r="AW429" s="38">
        <v>0</v>
      </c>
      <c r="AX429" s="38">
        <v>0</v>
      </c>
      <c r="AY429" s="38">
        <v>1</v>
      </c>
      <c r="AZ429" s="38">
        <v>0</v>
      </c>
      <c r="BA429" s="38">
        <v>0</v>
      </c>
      <c r="BB429" s="38">
        <v>1</v>
      </c>
      <c r="BC429" s="38">
        <v>0</v>
      </c>
      <c r="BD429" s="38">
        <v>0</v>
      </c>
      <c r="BE429" s="38">
        <v>0</v>
      </c>
      <c r="BF429" s="38">
        <v>0</v>
      </c>
      <c r="BG429" s="38">
        <v>0</v>
      </c>
      <c r="BH429" s="38">
        <v>0</v>
      </c>
      <c r="BI429" s="38">
        <v>0</v>
      </c>
      <c r="BJ429" s="38">
        <v>0</v>
      </c>
      <c r="BK429" s="38">
        <v>0</v>
      </c>
      <c r="BL429" s="38">
        <v>1</v>
      </c>
      <c r="BM429" s="38">
        <v>0</v>
      </c>
      <c r="BN429" s="38">
        <v>0</v>
      </c>
      <c r="BO429" s="38">
        <v>0</v>
      </c>
      <c r="BP429" s="38">
        <v>0</v>
      </c>
      <c r="BQ429" s="38">
        <v>0</v>
      </c>
      <c r="BR429" s="38">
        <v>0</v>
      </c>
      <c r="BS429" s="38">
        <v>9</v>
      </c>
      <c r="BT429" s="38" t="s">
        <v>163</v>
      </c>
      <c r="BU429" s="38">
        <v>1</v>
      </c>
      <c r="BV429" s="38">
        <v>4</v>
      </c>
      <c r="BW429" s="38">
        <v>0</v>
      </c>
      <c r="BX429" s="38">
        <v>3</v>
      </c>
      <c r="BY429" s="38">
        <v>0</v>
      </c>
      <c r="BZ429" s="38">
        <v>1</v>
      </c>
      <c r="CA429" s="38">
        <v>0</v>
      </c>
      <c r="CB429" s="38">
        <v>0</v>
      </c>
    </row>
    <row r="430" spans="1:80" ht="15" customHeight="1" x14ac:dyDescent="0.2">
      <c r="A430" s="3" t="s">
        <v>164</v>
      </c>
      <c r="B430" s="10">
        <v>554</v>
      </c>
      <c r="C430" s="5">
        <v>1</v>
      </c>
      <c r="D430" s="10">
        <v>0</v>
      </c>
      <c r="E430" s="10">
        <v>1</v>
      </c>
      <c r="F430" s="10">
        <v>1964</v>
      </c>
      <c r="G430" s="10" t="s">
        <v>86</v>
      </c>
      <c r="H430" s="7" t="str">
        <f t="shared" si="399"/>
        <v>No</v>
      </c>
      <c r="I430" s="54" t="s">
        <v>55</v>
      </c>
      <c r="J430" s="8">
        <v>1</v>
      </c>
      <c r="K430" s="8" t="s">
        <v>51</v>
      </c>
      <c r="L430" s="8" t="s">
        <v>64</v>
      </c>
      <c r="M430" s="8" t="s">
        <v>64</v>
      </c>
      <c r="N430" s="8">
        <v>0</v>
      </c>
      <c r="O430" s="8">
        <v>1</v>
      </c>
      <c r="P430" s="8">
        <v>1</v>
      </c>
      <c r="Q430" s="8" t="s">
        <v>67</v>
      </c>
      <c r="R430" s="9" t="s">
        <v>165</v>
      </c>
      <c r="S430" s="8">
        <v>0</v>
      </c>
      <c r="T430" s="6" t="s">
        <v>56</v>
      </c>
      <c r="U430" s="8">
        <v>1</v>
      </c>
      <c r="V430" s="8">
        <v>1</v>
      </c>
      <c r="W430" s="8">
        <v>1</v>
      </c>
      <c r="X430" s="8">
        <v>1</v>
      </c>
      <c r="Y430" s="8">
        <v>0</v>
      </c>
      <c r="Z430" s="8">
        <v>1</v>
      </c>
      <c r="AA430" s="8" t="s">
        <v>166</v>
      </c>
      <c r="AB430" s="8">
        <v>0</v>
      </c>
      <c r="AC430" s="8">
        <v>0</v>
      </c>
      <c r="AD430" s="8">
        <v>0</v>
      </c>
      <c r="AE430" s="8">
        <v>1</v>
      </c>
      <c r="AF430" s="8">
        <v>0</v>
      </c>
      <c r="AG430" s="8">
        <v>0</v>
      </c>
      <c r="AH430" s="8">
        <v>0</v>
      </c>
      <c r="AI430" s="8">
        <v>0</v>
      </c>
      <c r="AJ430" s="8">
        <v>0</v>
      </c>
      <c r="AK430" s="8">
        <v>0</v>
      </c>
      <c r="AL430" s="8">
        <v>0</v>
      </c>
      <c r="AM430" s="8">
        <v>0</v>
      </c>
      <c r="AN430" s="8">
        <v>0</v>
      </c>
      <c r="AO430" s="8">
        <v>0</v>
      </c>
      <c r="AP430" s="8">
        <v>0</v>
      </c>
      <c r="AQ430" s="8">
        <v>0</v>
      </c>
      <c r="AR430" s="8">
        <v>0</v>
      </c>
      <c r="AS430" s="8">
        <v>0</v>
      </c>
      <c r="AT430" s="8">
        <v>0</v>
      </c>
      <c r="AU430" s="8">
        <v>0</v>
      </c>
      <c r="AV430" s="8">
        <v>0</v>
      </c>
      <c r="AW430" s="8">
        <v>0</v>
      </c>
      <c r="AX430" s="8">
        <v>0</v>
      </c>
      <c r="AY430" s="8">
        <v>0</v>
      </c>
      <c r="AZ430" s="8">
        <v>0</v>
      </c>
      <c r="BA430" s="8">
        <v>0</v>
      </c>
      <c r="BB430" s="8">
        <v>0</v>
      </c>
      <c r="BC430" s="8">
        <v>0</v>
      </c>
      <c r="BD430" s="8">
        <v>0</v>
      </c>
      <c r="BE430" s="8">
        <v>0</v>
      </c>
      <c r="BF430" s="8">
        <v>0</v>
      </c>
      <c r="BG430" s="8">
        <v>0</v>
      </c>
      <c r="BH430" s="8">
        <v>0</v>
      </c>
      <c r="BI430" s="8">
        <v>0</v>
      </c>
      <c r="BJ430" s="8">
        <v>0</v>
      </c>
      <c r="BK430" s="8">
        <v>0</v>
      </c>
      <c r="BL430" s="8">
        <v>0</v>
      </c>
      <c r="BM430" s="8">
        <v>0</v>
      </c>
      <c r="BN430" s="8">
        <v>0</v>
      </c>
      <c r="BO430" s="8">
        <v>0</v>
      </c>
      <c r="BP430" s="8">
        <v>0</v>
      </c>
      <c r="BQ430" s="8">
        <v>0</v>
      </c>
      <c r="BR430" s="8">
        <v>0</v>
      </c>
      <c r="BS430" s="8">
        <f t="shared" si="526"/>
        <v>0</v>
      </c>
      <c r="BT430" s="8"/>
      <c r="BU430" s="2">
        <f t="shared" si="437"/>
        <v>0</v>
      </c>
      <c r="BV430" s="2">
        <f t="shared" si="403"/>
        <v>0</v>
      </c>
      <c r="BW430" s="2">
        <f t="shared" si="404"/>
        <v>0</v>
      </c>
      <c r="BX430" s="2">
        <f t="shared" si="407"/>
        <v>0</v>
      </c>
      <c r="BY430" s="2">
        <f t="shared" si="405"/>
        <v>0</v>
      </c>
      <c r="BZ430" s="2">
        <f t="shared" ref="BZ430:CA430" si="616">SUM(AQ430)</f>
        <v>0</v>
      </c>
      <c r="CA430" s="2">
        <f t="shared" si="616"/>
        <v>0</v>
      </c>
      <c r="CB430" s="2">
        <f t="shared" si="431"/>
        <v>0</v>
      </c>
    </row>
    <row r="431" spans="1:80" ht="15" customHeight="1" x14ac:dyDescent="0.2">
      <c r="A431" s="3" t="s">
        <v>164</v>
      </c>
      <c r="B431" s="10">
        <v>554</v>
      </c>
      <c r="C431" s="5">
        <v>1</v>
      </c>
      <c r="D431" s="10">
        <v>0</v>
      </c>
      <c r="E431" s="10">
        <v>1</v>
      </c>
      <c r="F431" s="10">
        <v>1964</v>
      </c>
      <c r="G431" s="10" t="s">
        <v>90</v>
      </c>
      <c r="H431" s="7" t="str">
        <f t="shared" si="399"/>
        <v>No</v>
      </c>
      <c r="I431" s="54" t="s">
        <v>55</v>
      </c>
      <c r="J431" s="8">
        <v>1</v>
      </c>
      <c r="K431" s="8" t="s">
        <v>51</v>
      </c>
      <c r="L431" s="8" t="s">
        <v>64</v>
      </c>
      <c r="M431" s="8" t="s">
        <v>64</v>
      </c>
      <c r="N431" s="8">
        <v>0</v>
      </c>
      <c r="O431" s="8">
        <v>1</v>
      </c>
      <c r="P431" s="8">
        <v>1</v>
      </c>
      <c r="Q431" s="8" t="s">
        <v>67</v>
      </c>
      <c r="R431" s="9" t="s">
        <v>165</v>
      </c>
      <c r="S431" s="8">
        <v>0</v>
      </c>
      <c r="T431" s="6" t="s">
        <v>56</v>
      </c>
      <c r="U431" s="8">
        <v>1</v>
      </c>
      <c r="V431" s="8">
        <v>1</v>
      </c>
      <c r="W431" s="8">
        <v>1</v>
      </c>
      <c r="X431" s="8">
        <v>1</v>
      </c>
      <c r="Y431" s="8">
        <v>0</v>
      </c>
      <c r="Z431" s="8">
        <v>1</v>
      </c>
      <c r="AA431" s="8" t="s">
        <v>166</v>
      </c>
      <c r="AB431" s="8">
        <v>0</v>
      </c>
      <c r="AC431" s="8">
        <v>0</v>
      </c>
      <c r="AD431" s="8">
        <v>0</v>
      </c>
      <c r="AE431" s="8">
        <v>1</v>
      </c>
      <c r="AF431" s="8">
        <v>0</v>
      </c>
      <c r="AG431" s="8">
        <v>0</v>
      </c>
      <c r="AH431" s="8">
        <v>0</v>
      </c>
      <c r="AI431" s="8">
        <v>0</v>
      </c>
      <c r="AJ431" s="8">
        <v>0</v>
      </c>
      <c r="AK431" s="8">
        <v>0</v>
      </c>
      <c r="AL431" s="8">
        <v>0</v>
      </c>
      <c r="AM431" s="8">
        <v>0</v>
      </c>
      <c r="AN431" s="8">
        <v>0</v>
      </c>
      <c r="AO431" s="8">
        <v>0</v>
      </c>
      <c r="AP431" s="8">
        <v>0</v>
      </c>
      <c r="AQ431" s="8">
        <v>0</v>
      </c>
      <c r="AR431" s="8">
        <v>0</v>
      </c>
      <c r="AS431" s="8">
        <v>0</v>
      </c>
      <c r="AT431" s="8">
        <v>0</v>
      </c>
      <c r="AU431" s="8">
        <v>0</v>
      </c>
      <c r="AV431" s="8">
        <v>0</v>
      </c>
      <c r="AW431" s="8">
        <v>0</v>
      </c>
      <c r="AX431" s="8">
        <v>0</v>
      </c>
      <c r="AY431" s="8">
        <v>0</v>
      </c>
      <c r="AZ431" s="8">
        <v>0</v>
      </c>
      <c r="BA431" s="8">
        <v>0</v>
      </c>
      <c r="BB431" s="8">
        <v>0</v>
      </c>
      <c r="BC431" s="8">
        <v>0</v>
      </c>
      <c r="BD431" s="8">
        <v>0</v>
      </c>
      <c r="BE431" s="8">
        <v>0</v>
      </c>
      <c r="BF431" s="8">
        <v>0</v>
      </c>
      <c r="BG431" s="8">
        <v>0</v>
      </c>
      <c r="BH431" s="8">
        <v>0</v>
      </c>
      <c r="BI431" s="8">
        <v>0</v>
      </c>
      <c r="BJ431" s="8">
        <v>0</v>
      </c>
      <c r="BK431" s="8">
        <v>0</v>
      </c>
      <c r="BL431" s="8">
        <v>0</v>
      </c>
      <c r="BM431" s="8">
        <v>0</v>
      </c>
      <c r="BN431" s="8">
        <v>0</v>
      </c>
      <c r="BO431" s="8">
        <v>0</v>
      </c>
      <c r="BP431" s="8">
        <v>0</v>
      </c>
      <c r="BQ431" s="8">
        <v>0</v>
      </c>
      <c r="BR431" s="8">
        <v>0</v>
      </c>
      <c r="BS431" s="8">
        <f t="shared" si="526"/>
        <v>0</v>
      </c>
      <c r="BT431" s="8"/>
      <c r="BU431" s="2">
        <f t="shared" si="437"/>
        <v>0</v>
      </c>
      <c r="BV431" s="2">
        <f t="shared" si="403"/>
        <v>0</v>
      </c>
      <c r="BW431" s="2">
        <f t="shared" si="404"/>
        <v>0</v>
      </c>
      <c r="BX431" s="2">
        <f t="shared" si="407"/>
        <v>0</v>
      </c>
      <c r="BY431" s="2">
        <f t="shared" si="405"/>
        <v>0</v>
      </c>
      <c r="BZ431" s="2">
        <f t="shared" ref="BZ431:CA431" si="617">SUM(AQ431)</f>
        <v>0</v>
      </c>
      <c r="CA431" s="2">
        <f t="shared" si="617"/>
        <v>0</v>
      </c>
      <c r="CB431" s="2">
        <f t="shared" si="431"/>
        <v>0</v>
      </c>
    </row>
    <row r="432" spans="1:80" ht="15" customHeight="1" x14ac:dyDescent="0.2">
      <c r="A432" s="3" t="s">
        <v>164</v>
      </c>
      <c r="B432" s="10">
        <v>554</v>
      </c>
      <c r="C432" s="5">
        <v>1</v>
      </c>
      <c r="D432" s="10">
        <v>0</v>
      </c>
      <c r="E432" s="10">
        <v>1</v>
      </c>
      <c r="F432" s="10">
        <v>1964</v>
      </c>
      <c r="G432" s="10" t="s">
        <v>91</v>
      </c>
      <c r="H432" s="7" t="str">
        <f t="shared" si="399"/>
        <v>No</v>
      </c>
      <c r="I432" s="54" t="s">
        <v>55</v>
      </c>
      <c r="J432" s="8">
        <v>1</v>
      </c>
      <c r="K432" s="8" t="s">
        <v>51</v>
      </c>
      <c r="L432" s="8" t="s">
        <v>64</v>
      </c>
      <c r="M432" s="8" t="s">
        <v>64</v>
      </c>
      <c r="N432" s="8">
        <v>0</v>
      </c>
      <c r="O432" s="8">
        <v>1</v>
      </c>
      <c r="P432" s="8">
        <v>1</v>
      </c>
      <c r="Q432" s="8" t="s">
        <v>67</v>
      </c>
      <c r="R432" s="9" t="s">
        <v>165</v>
      </c>
      <c r="S432" s="8">
        <v>0</v>
      </c>
      <c r="T432" s="6" t="s">
        <v>56</v>
      </c>
      <c r="U432" s="8">
        <v>1</v>
      </c>
      <c r="V432" s="8">
        <v>1</v>
      </c>
      <c r="W432" s="8">
        <v>1</v>
      </c>
      <c r="X432" s="8">
        <v>1</v>
      </c>
      <c r="Y432" s="8">
        <v>0</v>
      </c>
      <c r="Z432" s="8">
        <v>1</v>
      </c>
      <c r="AA432" s="8" t="s">
        <v>166</v>
      </c>
      <c r="AB432" s="8">
        <v>0</v>
      </c>
      <c r="AC432" s="8">
        <v>0</v>
      </c>
      <c r="AD432" s="8">
        <v>0</v>
      </c>
      <c r="AE432" s="8">
        <v>1</v>
      </c>
      <c r="AF432" s="8">
        <v>0</v>
      </c>
      <c r="AG432" s="8">
        <v>0</v>
      </c>
      <c r="AH432" s="8">
        <v>0</v>
      </c>
      <c r="AI432" s="8">
        <v>0</v>
      </c>
      <c r="AJ432" s="8">
        <v>0</v>
      </c>
      <c r="AK432" s="8">
        <v>0</v>
      </c>
      <c r="AL432" s="8">
        <v>0</v>
      </c>
      <c r="AM432" s="8">
        <v>0</v>
      </c>
      <c r="AN432" s="8">
        <v>0</v>
      </c>
      <c r="AO432" s="8">
        <v>0</v>
      </c>
      <c r="AP432" s="8">
        <v>0</v>
      </c>
      <c r="AQ432" s="8">
        <v>0</v>
      </c>
      <c r="AR432" s="8">
        <v>0</v>
      </c>
      <c r="AS432" s="8">
        <v>0</v>
      </c>
      <c r="AT432" s="8">
        <v>0</v>
      </c>
      <c r="AU432" s="8">
        <v>0</v>
      </c>
      <c r="AV432" s="8">
        <v>0</v>
      </c>
      <c r="AW432" s="8">
        <v>0</v>
      </c>
      <c r="AX432" s="8">
        <v>0</v>
      </c>
      <c r="AY432" s="8">
        <v>0</v>
      </c>
      <c r="AZ432" s="8">
        <v>0</v>
      </c>
      <c r="BA432" s="8">
        <v>0</v>
      </c>
      <c r="BB432" s="8">
        <v>0</v>
      </c>
      <c r="BC432" s="8">
        <v>0</v>
      </c>
      <c r="BD432" s="8">
        <v>0</v>
      </c>
      <c r="BE432" s="8">
        <v>0</v>
      </c>
      <c r="BF432" s="8">
        <v>0</v>
      </c>
      <c r="BG432" s="8">
        <v>0</v>
      </c>
      <c r="BH432" s="8">
        <v>0</v>
      </c>
      <c r="BI432" s="8">
        <v>0</v>
      </c>
      <c r="BJ432" s="8">
        <v>0</v>
      </c>
      <c r="BK432" s="8">
        <v>0</v>
      </c>
      <c r="BL432" s="8">
        <v>0</v>
      </c>
      <c r="BM432" s="8">
        <v>0</v>
      </c>
      <c r="BN432" s="8">
        <v>0</v>
      </c>
      <c r="BO432" s="8">
        <v>0</v>
      </c>
      <c r="BP432" s="8">
        <v>0</v>
      </c>
      <c r="BQ432" s="8">
        <v>0</v>
      </c>
      <c r="BR432" s="8">
        <v>0</v>
      </c>
      <c r="BS432" s="8">
        <f t="shared" si="526"/>
        <v>0</v>
      </c>
      <c r="BT432" s="8"/>
      <c r="BU432" s="2">
        <f t="shared" si="437"/>
        <v>0</v>
      </c>
      <c r="BV432" s="2">
        <f t="shared" si="403"/>
        <v>0</v>
      </c>
      <c r="BW432" s="2">
        <f t="shared" si="404"/>
        <v>0</v>
      </c>
      <c r="BX432" s="2">
        <f t="shared" si="407"/>
        <v>0</v>
      </c>
      <c r="BY432" s="2">
        <f t="shared" si="405"/>
        <v>0</v>
      </c>
      <c r="BZ432" s="2">
        <f t="shared" ref="BZ432:CA432" si="618">SUM(AQ432)</f>
        <v>0</v>
      </c>
      <c r="CA432" s="2">
        <f t="shared" si="618"/>
        <v>0</v>
      </c>
      <c r="CB432" s="2">
        <f t="shared" si="431"/>
        <v>0</v>
      </c>
    </row>
    <row r="433" spans="1:80" ht="15" customHeight="1" x14ac:dyDescent="0.2">
      <c r="A433" s="3" t="s">
        <v>164</v>
      </c>
      <c r="B433" s="10">
        <v>554</v>
      </c>
      <c r="C433" s="5">
        <v>1</v>
      </c>
      <c r="D433" s="10">
        <v>0</v>
      </c>
      <c r="E433" s="10">
        <v>1</v>
      </c>
      <c r="F433" s="10">
        <v>1964</v>
      </c>
      <c r="G433" s="10" t="s">
        <v>93</v>
      </c>
      <c r="H433" s="7" t="str">
        <f t="shared" si="399"/>
        <v>No</v>
      </c>
      <c r="I433" s="54" t="s">
        <v>55</v>
      </c>
      <c r="J433" s="8">
        <v>1</v>
      </c>
      <c r="K433" s="8" t="s">
        <v>51</v>
      </c>
      <c r="L433" s="8" t="s">
        <v>64</v>
      </c>
      <c r="M433" s="8" t="s">
        <v>64</v>
      </c>
      <c r="N433" s="8">
        <v>0</v>
      </c>
      <c r="O433" s="8">
        <v>1</v>
      </c>
      <c r="P433" s="8">
        <v>1</v>
      </c>
      <c r="Q433" s="8" t="s">
        <v>67</v>
      </c>
      <c r="R433" s="9" t="s">
        <v>165</v>
      </c>
      <c r="S433" s="8">
        <v>0</v>
      </c>
      <c r="T433" s="6" t="s">
        <v>56</v>
      </c>
      <c r="U433" s="8">
        <v>1</v>
      </c>
      <c r="V433" s="8">
        <v>1</v>
      </c>
      <c r="W433" s="8">
        <v>1</v>
      </c>
      <c r="X433" s="8">
        <v>1</v>
      </c>
      <c r="Y433" s="8">
        <v>0</v>
      </c>
      <c r="Z433" s="8">
        <v>1</v>
      </c>
      <c r="AA433" s="8" t="s">
        <v>166</v>
      </c>
      <c r="AB433" s="8">
        <v>0</v>
      </c>
      <c r="AC433" s="8">
        <v>0</v>
      </c>
      <c r="AD433" s="8">
        <v>0</v>
      </c>
      <c r="AE433" s="8">
        <v>1</v>
      </c>
      <c r="AF433" s="8">
        <v>0</v>
      </c>
      <c r="AG433" s="8">
        <v>0</v>
      </c>
      <c r="AH433" s="8">
        <v>0</v>
      </c>
      <c r="AI433" s="8">
        <v>0</v>
      </c>
      <c r="AJ433" s="8">
        <v>0</v>
      </c>
      <c r="AK433" s="8">
        <v>0</v>
      </c>
      <c r="AL433" s="8">
        <v>0</v>
      </c>
      <c r="AM433" s="8">
        <v>0</v>
      </c>
      <c r="AN433" s="8">
        <v>0</v>
      </c>
      <c r="AO433" s="8">
        <v>0</v>
      </c>
      <c r="AP433" s="8">
        <v>0</v>
      </c>
      <c r="AQ433" s="8">
        <v>0</v>
      </c>
      <c r="AR433" s="8">
        <v>0</v>
      </c>
      <c r="AS433" s="8">
        <v>0</v>
      </c>
      <c r="AT433" s="8">
        <v>0</v>
      </c>
      <c r="AU433" s="8">
        <v>0</v>
      </c>
      <c r="AV433" s="8">
        <v>0</v>
      </c>
      <c r="AW433" s="8">
        <v>0</v>
      </c>
      <c r="AX433" s="8">
        <v>0</v>
      </c>
      <c r="AY433" s="8">
        <v>0</v>
      </c>
      <c r="AZ433" s="8">
        <v>0</v>
      </c>
      <c r="BA433" s="8">
        <v>0</v>
      </c>
      <c r="BB433" s="8">
        <v>0</v>
      </c>
      <c r="BC433" s="8">
        <v>0</v>
      </c>
      <c r="BD433" s="8">
        <v>0</v>
      </c>
      <c r="BE433" s="8">
        <v>0</v>
      </c>
      <c r="BF433" s="8">
        <v>0</v>
      </c>
      <c r="BG433" s="8">
        <v>0</v>
      </c>
      <c r="BH433" s="8">
        <v>0</v>
      </c>
      <c r="BI433" s="8">
        <v>0</v>
      </c>
      <c r="BJ433" s="8">
        <v>0</v>
      </c>
      <c r="BK433" s="8">
        <v>0</v>
      </c>
      <c r="BL433" s="8">
        <v>0</v>
      </c>
      <c r="BM433" s="8">
        <v>0</v>
      </c>
      <c r="BN433" s="8">
        <v>0</v>
      </c>
      <c r="BO433" s="8">
        <v>0</v>
      </c>
      <c r="BP433" s="8">
        <v>0</v>
      </c>
      <c r="BQ433" s="8">
        <v>0</v>
      </c>
      <c r="BR433" s="8">
        <v>0</v>
      </c>
      <c r="BS433" s="8">
        <f t="shared" si="526"/>
        <v>0</v>
      </c>
      <c r="BT433" s="8"/>
      <c r="BU433" s="2">
        <f t="shared" si="437"/>
        <v>0</v>
      </c>
      <c r="BV433" s="2">
        <f t="shared" si="403"/>
        <v>0</v>
      </c>
      <c r="BW433" s="2">
        <f t="shared" si="404"/>
        <v>0</v>
      </c>
      <c r="BX433" s="2">
        <f t="shared" si="407"/>
        <v>0</v>
      </c>
      <c r="BY433" s="2">
        <f t="shared" si="405"/>
        <v>0</v>
      </c>
      <c r="BZ433" s="2">
        <f t="shared" ref="BZ433:CA433" si="619">SUM(AQ433)</f>
        <v>0</v>
      </c>
      <c r="CA433" s="2">
        <f t="shared" si="619"/>
        <v>0</v>
      </c>
      <c r="CB433" s="2">
        <f t="shared" si="431"/>
        <v>0</v>
      </c>
    </row>
    <row r="434" spans="1:80" ht="15" customHeight="1" x14ac:dyDescent="0.2">
      <c r="A434" s="3" t="s">
        <v>164</v>
      </c>
      <c r="B434" s="10">
        <v>554</v>
      </c>
      <c r="C434" s="5">
        <v>1</v>
      </c>
      <c r="D434" s="10">
        <v>0</v>
      </c>
      <c r="E434" s="10">
        <v>1</v>
      </c>
      <c r="F434" s="10">
        <v>1964</v>
      </c>
      <c r="G434" s="10" t="s">
        <v>70</v>
      </c>
      <c r="H434" s="7" t="str">
        <f t="shared" si="399"/>
        <v>No</v>
      </c>
      <c r="I434" s="54" t="s">
        <v>55</v>
      </c>
      <c r="J434" s="8">
        <v>1</v>
      </c>
      <c r="K434" s="8" t="s">
        <v>51</v>
      </c>
      <c r="L434" s="8" t="s">
        <v>64</v>
      </c>
      <c r="M434" s="8" t="s">
        <v>64</v>
      </c>
      <c r="N434" s="8">
        <v>0</v>
      </c>
      <c r="O434" s="8">
        <v>1</v>
      </c>
      <c r="P434" s="8">
        <v>1</v>
      </c>
      <c r="Q434" s="8" t="s">
        <v>67</v>
      </c>
      <c r="R434" s="9" t="s">
        <v>165</v>
      </c>
      <c r="S434" s="8">
        <v>0</v>
      </c>
      <c r="T434" s="6" t="s">
        <v>56</v>
      </c>
      <c r="U434" s="8">
        <v>1</v>
      </c>
      <c r="V434" s="8">
        <v>1</v>
      </c>
      <c r="W434" s="8">
        <v>1</v>
      </c>
      <c r="X434" s="8">
        <v>1</v>
      </c>
      <c r="Y434" s="8">
        <v>0</v>
      </c>
      <c r="Z434" s="8">
        <v>1</v>
      </c>
      <c r="AA434" s="8" t="s">
        <v>166</v>
      </c>
      <c r="AB434" s="8">
        <v>0</v>
      </c>
      <c r="AC434" s="8">
        <v>0</v>
      </c>
      <c r="AD434" s="8">
        <v>0</v>
      </c>
      <c r="AE434" s="8">
        <v>1</v>
      </c>
      <c r="AF434" s="8">
        <v>0</v>
      </c>
      <c r="AG434" s="8">
        <v>0</v>
      </c>
      <c r="AH434" s="8">
        <v>0</v>
      </c>
      <c r="AI434" s="8">
        <v>0</v>
      </c>
      <c r="AJ434" s="8">
        <v>0</v>
      </c>
      <c r="AK434" s="8">
        <v>0</v>
      </c>
      <c r="AL434" s="8">
        <v>0</v>
      </c>
      <c r="AM434" s="8">
        <v>0</v>
      </c>
      <c r="AN434" s="8">
        <v>0</v>
      </c>
      <c r="AO434" s="8">
        <v>0</v>
      </c>
      <c r="AP434" s="8">
        <v>0</v>
      </c>
      <c r="AQ434" s="8">
        <v>0</v>
      </c>
      <c r="AR434" s="8">
        <v>0</v>
      </c>
      <c r="AS434" s="8">
        <v>0</v>
      </c>
      <c r="AT434" s="8">
        <v>0</v>
      </c>
      <c r="AU434" s="8">
        <v>0</v>
      </c>
      <c r="AV434" s="8">
        <v>0</v>
      </c>
      <c r="AW434" s="8">
        <v>0</v>
      </c>
      <c r="AX434" s="8">
        <v>0</v>
      </c>
      <c r="AY434" s="8">
        <v>0</v>
      </c>
      <c r="AZ434" s="8">
        <v>0</v>
      </c>
      <c r="BA434" s="8">
        <v>0</v>
      </c>
      <c r="BB434" s="8">
        <v>0</v>
      </c>
      <c r="BC434" s="8">
        <v>0</v>
      </c>
      <c r="BD434" s="8">
        <v>0</v>
      </c>
      <c r="BE434" s="8">
        <v>0</v>
      </c>
      <c r="BF434" s="8">
        <v>0</v>
      </c>
      <c r="BG434" s="8">
        <v>0</v>
      </c>
      <c r="BH434" s="8">
        <v>0</v>
      </c>
      <c r="BI434" s="8">
        <v>0</v>
      </c>
      <c r="BJ434" s="8">
        <v>0</v>
      </c>
      <c r="BK434" s="8">
        <v>0</v>
      </c>
      <c r="BL434" s="8">
        <v>0</v>
      </c>
      <c r="BM434" s="8">
        <v>0</v>
      </c>
      <c r="BN434" s="8">
        <v>0</v>
      </c>
      <c r="BO434" s="8">
        <v>0</v>
      </c>
      <c r="BP434" s="8">
        <v>0</v>
      </c>
      <c r="BQ434" s="8">
        <v>0</v>
      </c>
      <c r="BR434" s="8">
        <v>0</v>
      </c>
      <c r="BS434" s="8">
        <f t="shared" si="526"/>
        <v>0</v>
      </c>
      <c r="BT434" s="8"/>
      <c r="BU434" s="2">
        <f t="shared" si="437"/>
        <v>0</v>
      </c>
      <c r="BV434" s="2">
        <f t="shared" si="403"/>
        <v>0</v>
      </c>
      <c r="BW434" s="2">
        <f t="shared" si="404"/>
        <v>0</v>
      </c>
      <c r="BX434" s="2">
        <f t="shared" si="407"/>
        <v>0</v>
      </c>
      <c r="BY434" s="2">
        <f t="shared" si="405"/>
        <v>0</v>
      </c>
      <c r="BZ434" s="2">
        <f t="shared" ref="BZ434:CA434" si="620">SUM(AQ434)</f>
        <v>0</v>
      </c>
      <c r="CA434" s="2">
        <f t="shared" si="620"/>
        <v>0</v>
      </c>
      <c r="CB434" s="2">
        <f t="shared" si="431"/>
        <v>0</v>
      </c>
    </row>
    <row r="435" spans="1:80" ht="15" customHeight="1" x14ac:dyDescent="0.2">
      <c r="A435" s="3" t="s">
        <v>164</v>
      </c>
      <c r="B435" s="10">
        <v>554</v>
      </c>
      <c r="C435" s="5">
        <v>1</v>
      </c>
      <c r="D435" s="10">
        <v>0</v>
      </c>
      <c r="E435" s="10">
        <v>1</v>
      </c>
      <c r="F435" s="10">
        <v>1964</v>
      </c>
      <c r="G435" s="10" t="s">
        <v>71</v>
      </c>
      <c r="H435" s="7" t="str">
        <f t="shared" si="399"/>
        <v>No</v>
      </c>
      <c r="I435" s="54" t="s">
        <v>55</v>
      </c>
      <c r="J435" s="8">
        <v>1</v>
      </c>
      <c r="K435" s="8" t="s">
        <v>51</v>
      </c>
      <c r="L435" s="8" t="s">
        <v>64</v>
      </c>
      <c r="M435" s="8" t="s">
        <v>64</v>
      </c>
      <c r="N435" s="8">
        <v>0</v>
      </c>
      <c r="O435" s="8">
        <v>1</v>
      </c>
      <c r="P435" s="8">
        <v>1</v>
      </c>
      <c r="Q435" s="8" t="s">
        <v>67</v>
      </c>
      <c r="R435" s="9" t="s">
        <v>165</v>
      </c>
      <c r="S435" s="8">
        <v>0</v>
      </c>
      <c r="T435" s="6" t="s">
        <v>56</v>
      </c>
      <c r="U435" s="8">
        <v>1</v>
      </c>
      <c r="V435" s="8">
        <v>1</v>
      </c>
      <c r="W435" s="8">
        <v>1</v>
      </c>
      <c r="X435" s="8">
        <v>1</v>
      </c>
      <c r="Y435" s="8">
        <v>0</v>
      </c>
      <c r="Z435" s="8">
        <v>1</v>
      </c>
      <c r="AA435" s="8" t="s">
        <v>166</v>
      </c>
      <c r="AB435" s="8">
        <v>0</v>
      </c>
      <c r="AC435" s="8">
        <v>0</v>
      </c>
      <c r="AD435" s="8">
        <v>0</v>
      </c>
      <c r="AE435" s="8">
        <v>1</v>
      </c>
      <c r="AF435" s="8">
        <v>0</v>
      </c>
      <c r="AG435" s="8">
        <v>0</v>
      </c>
      <c r="AH435" s="8">
        <v>0</v>
      </c>
      <c r="AI435" s="8">
        <v>0</v>
      </c>
      <c r="AJ435" s="8">
        <v>0</v>
      </c>
      <c r="AK435" s="8">
        <v>0</v>
      </c>
      <c r="AL435" s="8">
        <v>0</v>
      </c>
      <c r="AM435" s="8">
        <v>0</v>
      </c>
      <c r="AN435" s="8">
        <v>0</v>
      </c>
      <c r="AO435" s="8">
        <v>0</v>
      </c>
      <c r="AP435" s="8">
        <v>0</v>
      </c>
      <c r="AQ435" s="8">
        <v>0</v>
      </c>
      <c r="AR435" s="8">
        <v>0</v>
      </c>
      <c r="AS435" s="8">
        <v>0</v>
      </c>
      <c r="AT435" s="8">
        <v>0</v>
      </c>
      <c r="AU435" s="8">
        <v>0</v>
      </c>
      <c r="AV435" s="8">
        <v>0</v>
      </c>
      <c r="AW435" s="8">
        <v>0</v>
      </c>
      <c r="AX435" s="8">
        <v>0</v>
      </c>
      <c r="AY435" s="8">
        <v>0</v>
      </c>
      <c r="AZ435" s="8">
        <v>0</v>
      </c>
      <c r="BA435" s="8">
        <v>0</v>
      </c>
      <c r="BB435" s="8">
        <v>0</v>
      </c>
      <c r="BC435" s="8">
        <v>0</v>
      </c>
      <c r="BD435" s="8">
        <v>0</v>
      </c>
      <c r="BE435" s="8">
        <v>0</v>
      </c>
      <c r="BF435" s="8">
        <v>0</v>
      </c>
      <c r="BG435" s="8">
        <v>0</v>
      </c>
      <c r="BH435" s="8">
        <v>0</v>
      </c>
      <c r="BI435" s="8">
        <v>0</v>
      </c>
      <c r="BJ435" s="8">
        <v>0</v>
      </c>
      <c r="BK435" s="8">
        <v>0</v>
      </c>
      <c r="BL435" s="8">
        <v>0</v>
      </c>
      <c r="BM435" s="8">
        <v>0</v>
      </c>
      <c r="BN435" s="8">
        <v>0</v>
      </c>
      <c r="BO435" s="8">
        <v>0</v>
      </c>
      <c r="BP435" s="8">
        <v>0</v>
      </c>
      <c r="BQ435" s="8">
        <v>0</v>
      </c>
      <c r="BR435" s="8">
        <v>0</v>
      </c>
      <c r="BS435" s="8">
        <f t="shared" si="526"/>
        <v>0</v>
      </c>
      <c r="BT435" s="8"/>
      <c r="BU435" s="2">
        <f t="shared" si="437"/>
        <v>0</v>
      </c>
      <c r="BV435" s="2">
        <f t="shared" si="403"/>
        <v>0</v>
      </c>
      <c r="BW435" s="2">
        <f t="shared" si="404"/>
        <v>0</v>
      </c>
      <c r="BX435" s="2">
        <f t="shared" si="407"/>
        <v>0</v>
      </c>
      <c r="BY435" s="2">
        <f t="shared" si="405"/>
        <v>0</v>
      </c>
      <c r="BZ435" s="2">
        <f t="shared" ref="BZ435:CA435" si="621">SUM(AQ435)</f>
        <v>0</v>
      </c>
      <c r="CA435" s="2">
        <f t="shared" si="621"/>
        <v>0</v>
      </c>
      <c r="CB435" s="2">
        <f t="shared" si="431"/>
        <v>0</v>
      </c>
    </row>
    <row r="436" spans="1:80" ht="15" customHeight="1" x14ac:dyDescent="0.2">
      <c r="A436" s="3" t="s">
        <v>164</v>
      </c>
      <c r="B436" s="10">
        <v>554</v>
      </c>
      <c r="C436" s="5">
        <v>1</v>
      </c>
      <c r="D436" s="10">
        <v>0</v>
      </c>
      <c r="E436" s="10">
        <v>1</v>
      </c>
      <c r="F436" s="10">
        <v>1964</v>
      </c>
      <c r="G436" s="10" t="s">
        <v>72</v>
      </c>
      <c r="H436" s="7" t="str">
        <f t="shared" si="399"/>
        <v>Yes</v>
      </c>
      <c r="I436" s="54" t="s">
        <v>56</v>
      </c>
      <c r="J436" s="8">
        <v>1</v>
      </c>
      <c r="K436" s="8" t="s">
        <v>51</v>
      </c>
      <c r="L436" s="8" t="s">
        <v>64</v>
      </c>
      <c r="M436" s="8" t="s">
        <v>64</v>
      </c>
      <c r="N436" s="8">
        <v>0</v>
      </c>
      <c r="O436" s="8">
        <v>1</v>
      </c>
      <c r="P436" s="8">
        <v>1</v>
      </c>
      <c r="Q436" s="8" t="s">
        <v>67</v>
      </c>
      <c r="R436" s="9" t="s">
        <v>165</v>
      </c>
      <c r="S436" s="8">
        <v>0</v>
      </c>
      <c r="T436" s="6" t="s">
        <v>56</v>
      </c>
      <c r="U436" s="8">
        <v>1</v>
      </c>
      <c r="V436" s="8">
        <v>1</v>
      </c>
      <c r="W436" s="8">
        <v>1</v>
      </c>
      <c r="X436" s="8">
        <v>1</v>
      </c>
      <c r="Y436" s="8">
        <v>0</v>
      </c>
      <c r="Z436" s="8">
        <v>1</v>
      </c>
      <c r="AA436" s="8" t="s">
        <v>166</v>
      </c>
      <c r="AB436" s="8">
        <v>0</v>
      </c>
      <c r="AC436" s="8">
        <v>0</v>
      </c>
      <c r="AD436" s="8">
        <v>1</v>
      </c>
      <c r="AE436" s="8">
        <v>1</v>
      </c>
      <c r="AF436" s="8">
        <v>0</v>
      </c>
      <c r="AG436" s="8">
        <v>0</v>
      </c>
      <c r="AH436" s="8">
        <v>0</v>
      </c>
      <c r="AI436" s="8">
        <v>0</v>
      </c>
      <c r="AJ436" s="8">
        <v>0</v>
      </c>
      <c r="AK436" s="8">
        <v>0</v>
      </c>
      <c r="AL436" s="8">
        <v>0</v>
      </c>
      <c r="AM436" s="8">
        <v>0</v>
      </c>
      <c r="AN436" s="8">
        <v>0</v>
      </c>
      <c r="AO436" s="8">
        <v>0</v>
      </c>
      <c r="AP436" s="8">
        <v>0</v>
      </c>
      <c r="AQ436" s="8">
        <v>0</v>
      </c>
      <c r="AR436" s="8">
        <v>0</v>
      </c>
      <c r="AS436" s="8">
        <v>0</v>
      </c>
      <c r="AT436" s="8">
        <v>0</v>
      </c>
      <c r="AU436" s="8">
        <v>0</v>
      </c>
      <c r="AV436" s="8">
        <v>0</v>
      </c>
      <c r="AW436" s="8">
        <v>0</v>
      </c>
      <c r="AX436" s="8">
        <v>0</v>
      </c>
      <c r="AY436" s="8">
        <v>0</v>
      </c>
      <c r="AZ436" s="8">
        <v>0</v>
      </c>
      <c r="BA436" s="8">
        <v>0</v>
      </c>
      <c r="BB436" s="8">
        <v>0</v>
      </c>
      <c r="BC436" s="8">
        <v>0</v>
      </c>
      <c r="BD436" s="8">
        <v>0</v>
      </c>
      <c r="BE436" s="8">
        <v>0</v>
      </c>
      <c r="BF436" s="8">
        <v>0</v>
      </c>
      <c r="BG436" s="8">
        <v>0</v>
      </c>
      <c r="BH436" s="8">
        <v>0</v>
      </c>
      <c r="BI436" s="8">
        <v>0</v>
      </c>
      <c r="BJ436" s="8">
        <v>0</v>
      </c>
      <c r="BK436" s="8">
        <v>0</v>
      </c>
      <c r="BL436" s="8">
        <v>0</v>
      </c>
      <c r="BM436" s="8">
        <v>0</v>
      </c>
      <c r="BN436" s="8">
        <v>0</v>
      </c>
      <c r="BO436" s="8">
        <v>0</v>
      </c>
      <c r="BP436" s="8">
        <v>0</v>
      </c>
      <c r="BQ436" s="8">
        <v>0</v>
      </c>
      <c r="BR436" s="8">
        <v>0</v>
      </c>
      <c r="BS436" s="8">
        <f t="shared" si="526"/>
        <v>0</v>
      </c>
      <c r="BT436" s="8"/>
      <c r="BU436" s="2">
        <f t="shared" si="437"/>
        <v>0</v>
      </c>
      <c r="BV436" s="2">
        <f t="shared" si="403"/>
        <v>0</v>
      </c>
      <c r="BW436" s="2">
        <f t="shared" si="404"/>
        <v>0</v>
      </c>
      <c r="BX436" s="2">
        <f t="shared" si="407"/>
        <v>0</v>
      </c>
      <c r="BY436" s="2">
        <f t="shared" si="405"/>
        <v>0</v>
      </c>
      <c r="BZ436" s="2">
        <f t="shared" ref="BZ436:CA436" si="622">SUM(AQ436)</f>
        <v>0</v>
      </c>
      <c r="CA436" s="2">
        <f t="shared" si="622"/>
        <v>0</v>
      </c>
      <c r="CB436" s="2">
        <f t="shared" si="431"/>
        <v>0</v>
      </c>
    </row>
    <row r="437" spans="1:80" ht="15" customHeight="1" x14ac:dyDescent="0.2">
      <c r="A437" s="3" t="s">
        <v>164</v>
      </c>
      <c r="B437" s="10">
        <v>554</v>
      </c>
      <c r="C437" s="5">
        <v>1</v>
      </c>
      <c r="D437" s="10">
        <v>0</v>
      </c>
      <c r="E437" s="10">
        <v>1</v>
      </c>
      <c r="F437" s="10">
        <v>1964</v>
      </c>
      <c r="G437" s="10" t="s">
        <v>73</v>
      </c>
      <c r="H437" s="7" t="str">
        <f t="shared" si="399"/>
        <v>No</v>
      </c>
      <c r="I437" s="54" t="s">
        <v>55</v>
      </c>
      <c r="J437" s="8">
        <v>1</v>
      </c>
      <c r="K437" s="8" t="s">
        <v>51</v>
      </c>
      <c r="L437" s="8" t="s">
        <v>64</v>
      </c>
      <c r="M437" s="8" t="s">
        <v>64</v>
      </c>
      <c r="N437" s="8">
        <v>0</v>
      </c>
      <c r="O437" s="8">
        <v>1</v>
      </c>
      <c r="P437" s="8">
        <v>1</v>
      </c>
      <c r="Q437" s="8" t="s">
        <v>67</v>
      </c>
      <c r="R437" s="9" t="s">
        <v>165</v>
      </c>
      <c r="S437" s="8">
        <v>0</v>
      </c>
      <c r="T437" s="6" t="s">
        <v>56</v>
      </c>
      <c r="U437" s="8">
        <v>1</v>
      </c>
      <c r="V437" s="8">
        <v>1</v>
      </c>
      <c r="W437" s="8">
        <v>1</v>
      </c>
      <c r="X437" s="8">
        <v>1</v>
      </c>
      <c r="Y437" s="8">
        <v>0</v>
      </c>
      <c r="Z437" s="8">
        <v>1</v>
      </c>
      <c r="AA437" s="8" t="s">
        <v>166</v>
      </c>
      <c r="AB437" s="8">
        <v>0</v>
      </c>
      <c r="AC437" s="8">
        <v>0</v>
      </c>
      <c r="AD437" s="8">
        <v>1</v>
      </c>
      <c r="AE437" s="8">
        <v>1</v>
      </c>
      <c r="AF437" s="8">
        <v>0</v>
      </c>
      <c r="AG437" s="8">
        <v>0</v>
      </c>
      <c r="AH437" s="8">
        <v>0</v>
      </c>
      <c r="AI437" s="8">
        <v>0</v>
      </c>
      <c r="AJ437" s="8">
        <v>0</v>
      </c>
      <c r="AK437" s="8">
        <v>0</v>
      </c>
      <c r="AL437" s="8">
        <v>0</v>
      </c>
      <c r="AM437" s="8">
        <v>0</v>
      </c>
      <c r="AN437" s="8">
        <v>0</v>
      </c>
      <c r="AO437" s="8">
        <v>0</v>
      </c>
      <c r="AP437" s="8">
        <v>0</v>
      </c>
      <c r="AQ437" s="8">
        <v>0</v>
      </c>
      <c r="AR437" s="8">
        <v>0</v>
      </c>
      <c r="AS437" s="8">
        <v>0</v>
      </c>
      <c r="AT437" s="8">
        <v>0</v>
      </c>
      <c r="AU437" s="8">
        <v>0</v>
      </c>
      <c r="AV437" s="8">
        <v>0</v>
      </c>
      <c r="AW437" s="8">
        <v>0</v>
      </c>
      <c r="AX437" s="8">
        <v>0</v>
      </c>
      <c r="AY437" s="8">
        <v>0</v>
      </c>
      <c r="AZ437" s="8">
        <v>0</v>
      </c>
      <c r="BA437" s="8">
        <v>0</v>
      </c>
      <c r="BB437" s="8">
        <v>0</v>
      </c>
      <c r="BC437" s="8">
        <v>0</v>
      </c>
      <c r="BD437" s="8">
        <v>0</v>
      </c>
      <c r="BE437" s="8">
        <v>0</v>
      </c>
      <c r="BF437" s="8">
        <v>0</v>
      </c>
      <c r="BG437" s="8">
        <v>0</v>
      </c>
      <c r="BH437" s="8">
        <v>0</v>
      </c>
      <c r="BI437" s="8">
        <v>0</v>
      </c>
      <c r="BJ437" s="8">
        <v>0</v>
      </c>
      <c r="BK437" s="8">
        <v>0</v>
      </c>
      <c r="BL437" s="8">
        <v>0</v>
      </c>
      <c r="BM437" s="8">
        <v>0</v>
      </c>
      <c r="BN437" s="8">
        <v>0</v>
      </c>
      <c r="BO437" s="8">
        <v>0</v>
      </c>
      <c r="BP437" s="8">
        <v>0</v>
      </c>
      <c r="BQ437" s="8">
        <v>0</v>
      </c>
      <c r="BR437" s="8">
        <v>0</v>
      </c>
      <c r="BS437" s="8">
        <f t="shared" si="526"/>
        <v>0</v>
      </c>
      <c r="BT437" s="8"/>
      <c r="BU437" s="2">
        <f t="shared" si="437"/>
        <v>0</v>
      </c>
      <c r="BV437" s="2">
        <f t="shared" si="403"/>
        <v>0</v>
      </c>
      <c r="BW437" s="2">
        <f t="shared" si="404"/>
        <v>0</v>
      </c>
      <c r="BX437" s="2">
        <f t="shared" si="407"/>
        <v>0</v>
      </c>
      <c r="BY437" s="2">
        <f t="shared" si="405"/>
        <v>0</v>
      </c>
      <c r="BZ437" s="2">
        <f t="shared" ref="BZ437:CA437" si="623">SUM(AQ437)</f>
        <v>0</v>
      </c>
      <c r="CA437" s="2">
        <f t="shared" si="623"/>
        <v>0</v>
      </c>
      <c r="CB437" s="2">
        <f t="shared" si="431"/>
        <v>0</v>
      </c>
    </row>
    <row r="438" spans="1:80" ht="15" customHeight="1" x14ac:dyDescent="0.2">
      <c r="A438" s="3" t="s">
        <v>164</v>
      </c>
      <c r="B438" s="10">
        <v>554</v>
      </c>
      <c r="C438" s="5">
        <v>1</v>
      </c>
      <c r="D438" s="10">
        <v>0</v>
      </c>
      <c r="E438" s="10">
        <v>1</v>
      </c>
      <c r="F438" s="10">
        <v>1964</v>
      </c>
      <c r="G438" s="10" t="s">
        <v>74</v>
      </c>
      <c r="H438" s="7" t="str">
        <f t="shared" si="399"/>
        <v>No</v>
      </c>
      <c r="I438" s="54" t="s">
        <v>55</v>
      </c>
      <c r="J438" s="8">
        <v>1</v>
      </c>
      <c r="K438" s="8" t="s">
        <v>51</v>
      </c>
      <c r="L438" s="8" t="s">
        <v>64</v>
      </c>
      <c r="M438" s="8" t="s">
        <v>64</v>
      </c>
      <c r="N438" s="8">
        <v>0</v>
      </c>
      <c r="O438" s="8">
        <v>1</v>
      </c>
      <c r="P438" s="8">
        <v>1</v>
      </c>
      <c r="Q438" s="8" t="s">
        <v>67</v>
      </c>
      <c r="R438" s="9" t="s">
        <v>165</v>
      </c>
      <c r="S438" s="8">
        <v>0</v>
      </c>
      <c r="T438" s="6" t="s">
        <v>56</v>
      </c>
      <c r="U438" s="8">
        <v>1</v>
      </c>
      <c r="V438" s="8">
        <v>1</v>
      </c>
      <c r="W438" s="8">
        <v>1</v>
      </c>
      <c r="X438" s="8">
        <v>1</v>
      </c>
      <c r="Y438" s="8">
        <v>0</v>
      </c>
      <c r="Z438" s="8">
        <v>1</v>
      </c>
      <c r="AA438" s="8" t="s">
        <v>166</v>
      </c>
      <c r="AB438" s="8">
        <v>0</v>
      </c>
      <c r="AC438" s="8">
        <v>0</v>
      </c>
      <c r="AD438" s="8">
        <v>1</v>
      </c>
      <c r="AE438" s="8">
        <v>1</v>
      </c>
      <c r="AF438" s="8">
        <v>0</v>
      </c>
      <c r="AG438" s="8">
        <v>0</v>
      </c>
      <c r="AH438" s="8">
        <v>0</v>
      </c>
      <c r="AI438" s="8">
        <v>0</v>
      </c>
      <c r="AJ438" s="8">
        <v>0</v>
      </c>
      <c r="AK438" s="8">
        <v>0</v>
      </c>
      <c r="AL438" s="8">
        <v>0</v>
      </c>
      <c r="AM438" s="8">
        <v>0</v>
      </c>
      <c r="AN438" s="8">
        <v>0</v>
      </c>
      <c r="AO438" s="8">
        <v>0</v>
      </c>
      <c r="AP438" s="8">
        <v>0</v>
      </c>
      <c r="AQ438" s="8">
        <v>0</v>
      </c>
      <c r="AR438" s="8">
        <v>0</v>
      </c>
      <c r="AS438" s="8">
        <v>0</v>
      </c>
      <c r="AT438" s="8">
        <v>0</v>
      </c>
      <c r="AU438" s="8">
        <v>0</v>
      </c>
      <c r="AV438" s="8">
        <v>0</v>
      </c>
      <c r="AW438" s="8">
        <v>0</v>
      </c>
      <c r="AX438" s="8">
        <v>0</v>
      </c>
      <c r="AY438" s="8">
        <v>0</v>
      </c>
      <c r="AZ438" s="8">
        <v>0</v>
      </c>
      <c r="BA438" s="8">
        <v>0</v>
      </c>
      <c r="BB438" s="8">
        <v>0</v>
      </c>
      <c r="BC438" s="8">
        <v>0</v>
      </c>
      <c r="BD438" s="8">
        <v>0</v>
      </c>
      <c r="BE438" s="8">
        <v>0</v>
      </c>
      <c r="BF438" s="8">
        <v>0</v>
      </c>
      <c r="BG438" s="8">
        <v>0</v>
      </c>
      <c r="BH438" s="8">
        <v>0</v>
      </c>
      <c r="BI438" s="8">
        <v>0</v>
      </c>
      <c r="BJ438" s="8">
        <v>0</v>
      </c>
      <c r="BK438" s="8">
        <v>0</v>
      </c>
      <c r="BL438" s="8">
        <v>0</v>
      </c>
      <c r="BM438" s="8">
        <v>0</v>
      </c>
      <c r="BN438" s="8">
        <v>0</v>
      </c>
      <c r="BO438" s="8">
        <v>0</v>
      </c>
      <c r="BP438" s="8">
        <v>0</v>
      </c>
      <c r="BQ438" s="8">
        <v>0</v>
      </c>
      <c r="BR438" s="8">
        <v>0</v>
      </c>
      <c r="BS438" s="8">
        <f t="shared" si="526"/>
        <v>0</v>
      </c>
      <c r="BT438" s="8"/>
      <c r="BU438" s="2">
        <f t="shared" si="437"/>
        <v>0</v>
      </c>
      <c r="BV438" s="2">
        <f t="shared" si="403"/>
        <v>0</v>
      </c>
      <c r="BW438" s="2">
        <f t="shared" si="404"/>
        <v>0</v>
      </c>
      <c r="BX438" s="2">
        <f t="shared" si="407"/>
        <v>0</v>
      </c>
      <c r="BY438" s="2">
        <f t="shared" si="405"/>
        <v>0</v>
      </c>
      <c r="BZ438" s="2">
        <f t="shared" ref="BZ438:CA438" si="624">SUM(AQ438)</f>
        <v>0</v>
      </c>
      <c r="CA438" s="2">
        <f t="shared" si="624"/>
        <v>0</v>
      </c>
      <c r="CB438" s="2">
        <f t="shared" si="431"/>
        <v>0</v>
      </c>
    </row>
    <row r="439" spans="1:80" ht="15" customHeight="1" x14ac:dyDescent="0.2">
      <c r="A439" s="3" t="s">
        <v>164</v>
      </c>
      <c r="B439" s="10">
        <v>554</v>
      </c>
      <c r="C439" s="5">
        <v>1</v>
      </c>
      <c r="D439" s="10">
        <v>0</v>
      </c>
      <c r="E439" s="10">
        <v>1</v>
      </c>
      <c r="F439" s="10">
        <v>1964</v>
      </c>
      <c r="G439" s="10" t="s">
        <v>75</v>
      </c>
      <c r="H439" s="7" t="str">
        <f t="shared" si="399"/>
        <v>No</v>
      </c>
      <c r="I439" s="54" t="s">
        <v>55</v>
      </c>
      <c r="J439" s="8">
        <v>1</v>
      </c>
      <c r="K439" s="8" t="s">
        <v>51</v>
      </c>
      <c r="L439" s="8" t="s">
        <v>64</v>
      </c>
      <c r="M439" s="8" t="s">
        <v>64</v>
      </c>
      <c r="N439" s="8">
        <v>0</v>
      </c>
      <c r="O439" s="8">
        <v>1</v>
      </c>
      <c r="P439" s="8">
        <v>1</v>
      </c>
      <c r="Q439" s="8" t="s">
        <v>67</v>
      </c>
      <c r="R439" s="9" t="s">
        <v>165</v>
      </c>
      <c r="S439" s="8">
        <v>0</v>
      </c>
      <c r="T439" s="6" t="s">
        <v>56</v>
      </c>
      <c r="U439" s="8">
        <v>1</v>
      </c>
      <c r="V439" s="8">
        <v>1</v>
      </c>
      <c r="W439" s="8">
        <v>1</v>
      </c>
      <c r="X439" s="8">
        <v>1</v>
      </c>
      <c r="Y439" s="8">
        <v>0</v>
      </c>
      <c r="Z439" s="8">
        <v>1</v>
      </c>
      <c r="AA439" s="8" t="s">
        <v>166</v>
      </c>
      <c r="AB439" s="8">
        <v>0</v>
      </c>
      <c r="AC439" s="8">
        <v>0</v>
      </c>
      <c r="AD439" s="8">
        <v>1</v>
      </c>
      <c r="AE439" s="8">
        <v>1</v>
      </c>
      <c r="AF439" s="8">
        <v>0</v>
      </c>
      <c r="AG439" s="8">
        <v>0</v>
      </c>
      <c r="AH439" s="8">
        <v>0</v>
      </c>
      <c r="AI439" s="8">
        <v>0</v>
      </c>
      <c r="AJ439" s="8">
        <v>0</v>
      </c>
      <c r="AK439" s="8">
        <v>0</v>
      </c>
      <c r="AL439" s="8">
        <v>0</v>
      </c>
      <c r="AM439" s="8">
        <v>0</v>
      </c>
      <c r="AN439" s="8">
        <v>0</v>
      </c>
      <c r="AO439" s="8">
        <v>0</v>
      </c>
      <c r="AP439" s="8">
        <v>0</v>
      </c>
      <c r="AQ439" s="8">
        <v>0</v>
      </c>
      <c r="AR439" s="8">
        <v>0</v>
      </c>
      <c r="AS439" s="8">
        <v>0</v>
      </c>
      <c r="AT439" s="8">
        <v>0</v>
      </c>
      <c r="AU439" s="8">
        <v>0</v>
      </c>
      <c r="AV439" s="8">
        <v>0</v>
      </c>
      <c r="AW439" s="8">
        <v>0</v>
      </c>
      <c r="AX439" s="8">
        <v>0</v>
      </c>
      <c r="AY439" s="8">
        <v>0</v>
      </c>
      <c r="AZ439" s="8">
        <v>0</v>
      </c>
      <c r="BA439" s="8">
        <v>0</v>
      </c>
      <c r="BB439" s="8">
        <v>0</v>
      </c>
      <c r="BC439" s="8">
        <v>0</v>
      </c>
      <c r="BD439" s="8">
        <v>0</v>
      </c>
      <c r="BE439" s="8">
        <v>0</v>
      </c>
      <c r="BF439" s="8">
        <v>0</v>
      </c>
      <c r="BG439" s="8">
        <v>0</v>
      </c>
      <c r="BH439" s="8">
        <v>0</v>
      </c>
      <c r="BI439" s="8">
        <v>0</v>
      </c>
      <c r="BJ439" s="8">
        <v>0</v>
      </c>
      <c r="BK439" s="8">
        <v>0</v>
      </c>
      <c r="BL439" s="8">
        <v>0</v>
      </c>
      <c r="BM439" s="8">
        <v>0</v>
      </c>
      <c r="BN439" s="8">
        <v>0</v>
      </c>
      <c r="BO439" s="8">
        <v>0</v>
      </c>
      <c r="BP439" s="8">
        <v>0</v>
      </c>
      <c r="BQ439" s="8">
        <v>0</v>
      </c>
      <c r="BR439" s="8">
        <v>0</v>
      </c>
      <c r="BS439" s="8">
        <f t="shared" si="526"/>
        <v>0</v>
      </c>
      <c r="BT439" s="8"/>
      <c r="BU439" s="2">
        <f t="shared" si="437"/>
        <v>0</v>
      </c>
      <c r="BV439" s="2">
        <f t="shared" si="403"/>
        <v>0</v>
      </c>
      <c r="BW439" s="2">
        <f t="shared" si="404"/>
        <v>0</v>
      </c>
      <c r="BX439" s="2">
        <f t="shared" si="407"/>
        <v>0</v>
      </c>
      <c r="BY439" s="2">
        <f t="shared" si="405"/>
        <v>0</v>
      </c>
      <c r="BZ439" s="2">
        <f t="shared" ref="BZ439:CA439" si="625">SUM(AQ439)</f>
        <v>0</v>
      </c>
      <c r="CA439" s="2">
        <f t="shared" si="625"/>
        <v>0</v>
      </c>
      <c r="CB439" s="2">
        <f t="shared" si="431"/>
        <v>0</v>
      </c>
    </row>
    <row r="440" spans="1:80" ht="15" customHeight="1" x14ac:dyDescent="0.2">
      <c r="A440" s="3" t="s">
        <v>164</v>
      </c>
      <c r="B440" s="10">
        <v>554</v>
      </c>
      <c r="C440" s="5">
        <v>1</v>
      </c>
      <c r="D440" s="10">
        <v>0</v>
      </c>
      <c r="E440" s="10">
        <v>1</v>
      </c>
      <c r="F440" s="10">
        <v>1964</v>
      </c>
      <c r="G440" s="10" t="s">
        <v>76</v>
      </c>
      <c r="H440" s="7" t="str">
        <f t="shared" si="399"/>
        <v>No</v>
      </c>
      <c r="I440" s="54" t="s">
        <v>55</v>
      </c>
      <c r="J440" s="8">
        <v>1</v>
      </c>
      <c r="K440" s="8" t="s">
        <v>51</v>
      </c>
      <c r="L440" s="8" t="s">
        <v>64</v>
      </c>
      <c r="M440" s="8" t="s">
        <v>64</v>
      </c>
      <c r="N440" s="8">
        <v>0</v>
      </c>
      <c r="O440" s="8">
        <v>1</v>
      </c>
      <c r="P440" s="8">
        <v>1</v>
      </c>
      <c r="Q440" s="8" t="s">
        <v>67</v>
      </c>
      <c r="R440" s="9" t="s">
        <v>165</v>
      </c>
      <c r="S440" s="8">
        <v>0</v>
      </c>
      <c r="T440" s="6" t="s">
        <v>56</v>
      </c>
      <c r="U440" s="8">
        <v>1</v>
      </c>
      <c r="V440" s="8">
        <v>1</v>
      </c>
      <c r="W440" s="8">
        <v>1</v>
      </c>
      <c r="X440" s="8">
        <v>1</v>
      </c>
      <c r="Y440" s="8">
        <v>0</v>
      </c>
      <c r="Z440" s="8">
        <v>1</v>
      </c>
      <c r="AA440" s="8" t="s">
        <v>166</v>
      </c>
      <c r="AB440" s="8">
        <v>0</v>
      </c>
      <c r="AC440" s="8">
        <v>0</v>
      </c>
      <c r="AD440" s="8">
        <v>1</v>
      </c>
      <c r="AE440" s="8">
        <v>1</v>
      </c>
      <c r="AF440" s="8">
        <v>0</v>
      </c>
      <c r="AG440" s="8">
        <v>0</v>
      </c>
      <c r="AH440" s="8">
        <v>0</v>
      </c>
      <c r="AI440" s="8">
        <v>0</v>
      </c>
      <c r="AJ440" s="8">
        <v>0</v>
      </c>
      <c r="AK440" s="8">
        <v>0</v>
      </c>
      <c r="AL440" s="8">
        <v>0</v>
      </c>
      <c r="AM440" s="8">
        <v>0</v>
      </c>
      <c r="AN440" s="8">
        <v>0</v>
      </c>
      <c r="AO440" s="8">
        <v>0</v>
      </c>
      <c r="AP440" s="8">
        <v>0</v>
      </c>
      <c r="AQ440" s="8">
        <v>0</v>
      </c>
      <c r="AR440" s="8">
        <v>0</v>
      </c>
      <c r="AS440" s="8">
        <v>0</v>
      </c>
      <c r="AT440" s="8">
        <v>0</v>
      </c>
      <c r="AU440" s="8">
        <v>0</v>
      </c>
      <c r="AV440" s="8">
        <v>0</v>
      </c>
      <c r="AW440" s="8">
        <v>0</v>
      </c>
      <c r="AX440" s="8">
        <v>0</v>
      </c>
      <c r="AY440" s="8">
        <v>0</v>
      </c>
      <c r="AZ440" s="8">
        <v>0</v>
      </c>
      <c r="BA440" s="8">
        <v>0</v>
      </c>
      <c r="BB440" s="8">
        <v>0</v>
      </c>
      <c r="BC440" s="8">
        <v>0</v>
      </c>
      <c r="BD440" s="8">
        <v>0</v>
      </c>
      <c r="BE440" s="8">
        <v>0</v>
      </c>
      <c r="BF440" s="8">
        <v>0</v>
      </c>
      <c r="BG440" s="8">
        <v>0</v>
      </c>
      <c r="BH440" s="8">
        <v>0</v>
      </c>
      <c r="BI440" s="8">
        <v>0</v>
      </c>
      <c r="BJ440" s="8">
        <v>0</v>
      </c>
      <c r="BK440" s="8">
        <v>0</v>
      </c>
      <c r="BL440" s="8">
        <v>0</v>
      </c>
      <c r="BM440" s="8">
        <v>0</v>
      </c>
      <c r="BN440" s="8">
        <v>0</v>
      </c>
      <c r="BO440" s="8">
        <v>0</v>
      </c>
      <c r="BP440" s="8">
        <v>0</v>
      </c>
      <c r="BQ440" s="8">
        <v>0</v>
      </c>
      <c r="BR440" s="8">
        <v>0</v>
      </c>
      <c r="BS440" s="8">
        <f t="shared" si="526"/>
        <v>0</v>
      </c>
      <c r="BT440" s="8"/>
      <c r="BU440" s="2">
        <f t="shared" si="437"/>
        <v>0</v>
      </c>
      <c r="BV440" s="2">
        <f t="shared" si="403"/>
        <v>0</v>
      </c>
      <c r="BW440" s="2">
        <f t="shared" si="404"/>
        <v>0</v>
      </c>
      <c r="BX440" s="2">
        <f t="shared" si="407"/>
        <v>0</v>
      </c>
      <c r="BY440" s="2">
        <f t="shared" si="405"/>
        <v>0</v>
      </c>
      <c r="BZ440" s="2">
        <f t="shared" ref="BZ440:CA440" si="626">SUM(AQ440)</f>
        <v>0</v>
      </c>
      <c r="CA440" s="2">
        <f t="shared" si="626"/>
        <v>0</v>
      </c>
      <c r="CB440" s="2">
        <f t="shared" si="431"/>
        <v>0</v>
      </c>
    </row>
    <row r="441" spans="1:80" ht="15" customHeight="1" x14ac:dyDescent="0.2">
      <c r="A441" s="3" t="s">
        <v>164</v>
      </c>
      <c r="B441" s="10">
        <v>554</v>
      </c>
      <c r="C441" s="5">
        <v>1</v>
      </c>
      <c r="D441" s="10">
        <v>0</v>
      </c>
      <c r="E441" s="10">
        <v>1</v>
      </c>
      <c r="F441" s="10">
        <v>1964</v>
      </c>
      <c r="G441" s="10" t="s">
        <v>77</v>
      </c>
      <c r="H441" s="7" t="str">
        <f t="shared" si="399"/>
        <v>Yes</v>
      </c>
      <c r="I441" s="54" t="s">
        <v>56</v>
      </c>
      <c r="J441" s="8">
        <v>1</v>
      </c>
      <c r="K441" s="8" t="s">
        <v>51</v>
      </c>
      <c r="L441" s="8" t="s">
        <v>64</v>
      </c>
      <c r="M441" s="8" t="s">
        <v>64</v>
      </c>
      <c r="N441" s="8">
        <v>0</v>
      </c>
      <c r="O441" s="8">
        <v>1</v>
      </c>
      <c r="P441" s="8">
        <v>1</v>
      </c>
      <c r="Q441" s="8" t="s">
        <v>67</v>
      </c>
      <c r="R441" s="9" t="s">
        <v>165</v>
      </c>
      <c r="S441" s="8">
        <v>1</v>
      </c>
      <c r="T441" s="6" t="s">
        <v>56</v>
      </c>
      <c r="U441" s="8">
        <v>1</v>
      </c>
      <c r="V441" s="8">
        <v>1</v>
      </c>
      <c r="W441" s="8">
        <v>1</v>
      </c>
      <c r="X441" s="8">
        <v>1</v>
      </c>
      <c r="Y441" s="8">
        <v>0</v>
      </c>
      <c r="Z441" s="8">
        <v>1</v>
      </c>
      <c r="AA441" s="8" t="s">
        <v>166</v>
      </c>
      <c r="AB441" s="8">
        <v>0</v>
      </c>
      <c r="AC441" s="8">
        <v>0</v>
      </c>
      <c r="AD441" s="8">
        <v>1</v>
      </c>
      <c r="AE441" s="8">
        <v>1</v>
      </c>
      <c r="AF441" s="8">
        <v>0</v>
      </c>
      <c r="AG441" s="8">
        <v>0</v>
      </c>
      <c r="AH441" s="8">
        <v>0</v>
      </c>
      <c r="AI441" s="8">
        <v>0</v>
      </c>
      <c r="AJ441" s="8">
        <v>0</v>
      </c>
      <c r="AK441" s="8">
        <v>0</v>
      </c>
      <c r="AL441" s="8">
        <v>0</v>
      </c>
      <c r="AM441" s="8">
        <v>0</v>
      </c>
      <c r="AN441" s="8">
        <v>0</v>
      </c>
      <c r="AO441" s="8">
        <v>0</v>
      </c>
      <c r="AP441" s="8">
        <v>0</v>
      </c>
      <c r="AQ441" s="8">
        <v>0</v>
      </c>
      <c r="AR441" s="8">
        <v>0</v>
      </c>
      <c r="AS441" s="8">
        <v>0</v>
      </c>
      <c r="AT441" s="8">
        <v>0</v>
      </c>
      <c r="AU441" s="8">
        <v>0</v>
      </c>
      <c r="AV441" s="8">
        <v>0</v>
      </c>
      <c r="AW441" s="8">
        <v>0</v>
      </c>
      <c r="AX441" s="8">
        <v>0</v>
      </c>
      <c r="AY441" s="8">
        <v>0</v>
      </c>
      <c r="AZ441" s="8">
        <v>0</v>
      </c>
      <c r="BA441" s="8">
        <v>0</v>
      </c>
      <c r="BB441" s="8">
        <v>0</v>
      </c>
      <c r="BC441" s="8">
        <v>0</v>
      </c>
      <c r="BD441" s="8">
        <v>0</v>
      </c>
      <c r="BE441" s="8">
        <v>0</v>
      </c>
      <c r="BF441" s="8">
        <v>0</v>
      </c>
      <c r="BG441" s="8">
        <v>0</v>
      </c>
      <c r="BH441" s="8">
        <v>0</v>
      </c>
      <c r="BI441" s="8">
        <v>0</v>
      </c>
      <c r="BJ441" s="8">
        <v>0</v>
      </c>
      <c r="BK441" s="8">
        <v>0</v>
      </c>
      <c r="BL441" s="8">
        <v>0</v>
      </c>
      <c r="BM441" s="8">
        <v>0</v>
      </c>
      <c r="BN441" s="8">
        <v>0</v>
      </c>
      <c r="BO441" s="8">
        <v>0</v>
      </c>
      <c r="BP441" s="8">
        <v>0</v>
      </c>
      <c r="BQ441" s="8">
        <v>0</v>
      </c>
      <c r="BR441" s="8">
        <v>0</v>
      </c>
      <c r="BS441" s="8">
        <f t="shared" si="526"/>
        <v>0</v>
      </c>
      <c r="BT441" s="8"/>
      <c r="BU441" s="2">
        <f t="shared" si="437"/>
        <v>0</v>
      </c>
      <c r="BV441" s="2">
        <f t="shared" si="403"/>
        <v>0</v>
      </c>
      <c r="BW441" s="2">
        <f t="shared" si="404"/>
        <v>0</v>
      </c>
      <c r="BX441" s="2">
        <f t="shared" si="407"/>
        <v>0</v>
      </c>
      <c r="BY441" s="2">
        <f t="shared" si="405"/>
        <v>0</v>
      </c>
      <c r="BZ441" s="2">
        <f t="shared" ref="BZ441:CA441" si="627">SUM(AQ441)</f>
        <v>0</v>
      </c>
      <c r="CA441" s="2">
        <f t="shared" si="627"/>
        <v>0</v>
      </c>
      <c r="CB441" s="2">
        <f t="shared" si="431"/>
        <v>0</v>
      </c>
    </row>
    <row r="442" spans="1:80" ht="15" customHeight="1" x14ac:dyDescent="0.2">
      <c r="A442" s="3" t="s">
        <v>164</v>
      </c>
      <c r="B442" s="10">
        <v>554</v>
      </c>
      <c r="C442" s="5">
        <v>1</v>
      </c>
      <c r="D442" s="10">
        <v>0</v>
      </c>
      <c r="E442" s="10">
        <v>1</v>
      </c>
      <c r="F442" s="10">
        <v>1964</v>
      </c>
      <c r="G442" s="10" t="s">
        <v>78</v>
      </c>
      <c r="H442" s="7" t="str">
        <f t="shared" si="399"/>
        <v>No</v>
      </c>
      <c r="I442" s="54" t="s">
        <v>55</v>
      </c>
      <c r="J442" s="8">
        <v>1</v>
      </c>
      <c r="K442" s="8" t="s">
        <v>51</v>
      </c>
      <c r="L442" s="8" t="s">
        <v>64</v>
      </c>
      <c r="M442" s="8" t="s">
        <v>64</v>
      </c>
      <c r="N442" s="8">
        <v>0</v>
      </c>
      <c r="O442" s="8">
        <v>1</v>
      </c>
      <c r="P442" s="8">
        <v>1</v>
      </c>
      <c r="Q442" s="8" t="s">
        <v>67</v>
      </c>
      <c r="R442" s="9" t="s">
        <v>165</v>
      </c>
      <c r="S442" s="8">
        <v>1</v>
      </c>
      <c r="T442" s="6" t="s">
        <v>56</v>
      </c>
      <c r="U442" s="8">
        <v>1</v>
      </c>
      <c r="V442" s="8">
        <v>1</v>
      </c>
      <c r="W442" s="8">
        <v>1</v>
      </c>
      <c r="X442" s="8">
        <v>1</v>
      </c>
      <c r="Y442" s="8">
        <v>0</v>
      </c>
      <c r="Z442" s="8">
        <v>1</v>
      </c>
      <c r="AA442" s="8" t="s">
        <v>166</v>
      </c>
      <c r="AB442" s="8">
        <v>0</v>
      </c>
      <c r="AC442" s="8">
        <v>0</v>
      </c>
      <c r="AD442" s="8">
        <v>1</v>
      </c>
      <c r="AE442" s="8">
        <v>1</v>
      </c>
      <c r="AF442" s="8">
        <v>0</v>
      </c>
      <c r="AG442" s="8">
        <v>0</v>
      </c>
      <c r="AH442" s="8">
        <v>0</v>
      </c>
      <c r="AI442" s="8">
        <v>0</v>
      </c>
      <c r="AJ442" s="8">
        <v>0</v>
      </c>
      <c r="AK442" s="8">
        <v>0</v>
      </c>
      <c r="AL442" s="8">
        <v>0</v>
      </c>
      <c r="AM442" s="8">
        <v>0</v>
      </c>
      <c r="AN442" s="8">
        <v>0</v>
      </c>
      <c r="AO442" s="8">
        <v>0</v>
      </c>
      <c r="AP442" s="8">
        <v>0</v>
      </c>
      <c r="AQ442" s="8">
        <v>0</v>
      </c>
      <c r="AR442" s="8">
        <v>0</v>
      </c>
      <c r="AS442" s="8">
        <v>0</v>
      </c>
      <c r="AT442" s="8">
        <v>0</v>
      </c>
      <c r="AU442" s="8">
        <v>0</v>
      </c>
      <c r="AV442" s="8">
        <v>0</v>
      </c>
      <c r="AW442" s="8">
        <v>0</v>
      </c>
      <c r="AX442" s="8">
        <v>0</v>
      </c>
      <c r="AY442" s="8">
        <v>0</v>
      </c>
      <c r="AZ442" s="8">
        <v>0</v>
      </c>
      <c r="BA442" s="8">
        <v>0</v>
      </c>
      <c r="BB442" s="8">
        <v>0</v>
      </c>
      <c r="BC442" s="8">
        <v>0</v>
      </c>
      <c r="BD442" s="8">
        <v>0</v>
      </c>
      <c r="BE442" s="8">
        <v>0</v>
      </c>
      <c r="BF442" s="8">
        <v>0</v>
      </c>
      <c r="BG442" s="8">
        <v>0</v>
      </c>
      <c r="BH442" s="8">
        <v>0</v>
      </c>
      <c r="BI442" s="8">
        <v>0</v>
      </c>
      <c r="BJ442" s="8">
        <v>0</v>
      </c>
      <c r="BK442" s="8">
        <v>0</v>
      </c>
      <c r="BL442" s="8">
        <v>0</v>
      </c>
      <c r="BM442" s="8">
        <v>0</v>
      </c>
      <c r="BN442" s="8">
        <v>0</v>
      </c>
      <c r="BO442" s="8">
        <v>0</v>
      </c>
      <c r="BP442" s="8">
        <v>0</v>
      </c>
      <c r="BQ442" s="8">
        <v>0</v>
      </c>
      <c r="BR442" s="8">
        <v>0</v>
      </c>
      <c r="BS442" s="8">
        <f t="shared" si="526"/>
        <v>0</v>
      </c>
      <c r="BT442" s="8"/>
      <c r="BU442" s="2">
        <f t="shared" si="437"/>
        <v>0</v>
      </c>
      <c r="BV442" s="2">
        <f t="shared" si="403"/>
        <v>0</v>
      </c>
      <c r="BW442" s="2">
        <f t="shared" si="404"/>
        <v>0</v>
      </c>
      <c r="BX442" s="2">
        <f t="shared" si="407"/>
        <v>0</v>
      </c>
      <c r="BY442" s="2">
        <f t="shared" si="405"/>
        <v>0</v>
      </c>
      <c r="BZ442" s="2">
        <f t="shared" ref="BZ442:CA442" si="628">SUM(AQ442)</f>
        <v>0</v>
      </c>
      <c r="CA442" s="2">
        <f t="shared" si="628"/>
        <v>0</v>
      </c>
      <c r="CB442" s="2">
        <f t="shared" si="431"/>
        <v>0</v>
      </c>
    </row>
    <row r="443" spans="1:80" ht="15" customHeight="1" x14ac:dyDescent="0.2">
      <c r="A443" s="3" t="s">
        <v>164</v>
      </c>
      <c r="B443" s="10">
        <v>554</v>
      </c>
      <c r="C443" s="5">
        <v>1</v>
      </c>
      <c r="D443" s="10">
        <v>0</v>
      </c>
      <c r="E443" s="10">
        <v>1</v>
      </c>
      <c r="F443" s="10">
        <v>1964</v>
      </c>
      <c r="G443" s="10" t="s">
        <v>79</v>
      </c>
      <c r="H443" s="7" t="str">
        <f t="shared" si="399"/>
        <v>Yes</v>
      </c>
      <c r="I443" s="54" t="s">
        <v>56</v>
      </c>
      <c r="J443" s="8">
        <v>1</v>
      </c>
      <c r="K443" s="8" t="s">
        <v>51</v>
      </c>
      <c r="L443" s="8" t="s">
        <v>64</v>
      </c>
      <c r="M443" s="8" t="s">
        <v>64</v>
      </c>
      <c r="N443" s="8">
        <v>1</v>
      </c>
      <c r="O443" s="8">
        <v>1</v>
      </c>
      <c r="P443" s="8">
        <v>1</v>
      </c>
      <c r="Q443" s="8" t="s">
        <v>167</v>
      </c>
      <c r="R443" s="9">
        <v>0</v>
      </c>
      <c r="S443" s="8">
        <v>1</v>
      </c>
      <c r="T443" s="8">
        <v>1</v>
      </c>
      <c r="U443" s="8">
        <v>1</v>
      </c>
      <c r="V443" s="8">
        <v>1</v>
      </c>
      <c r="W443" s="8">
        <v>1</v>
      </c>
      <c r="X443" s="8">
        <v>1</v>
      </c>
      <c r="Y443" s="8">
        <v>0</v>
      </c>
      <c r="Z443" s="8">
        <v>1</v>
      </c>
      <c r="AA443" s="8" t="s">
        <v>166</v>
      </c>
      <c r="AB443" s="8">
        <v>0</v>
      </c>
      <c r="AC443" s="8">
        <v>0</v>
      </c>
      <c r="AD443" s="8">
        <v>1</v>
      </c>
      <c r="AE443" s="8">
        <v>1</v>
      </c>
      <c r="AF443" s="8">
        <v>0</v>
      </c>
      <c r="AG443" s="8">
        <v>0</v>
      </c>
      <c r="AH443" s="8">
        <v>1</v>
      </c>
      <c r="AI443" s="8">
        <v>1</v>
      </c>
      <c r="AJ443" s="8">
        <v>1</v>
      </c>
      <c r="AK443" s="8">
        <v>1</v>
      </c>
      <c r="AL443" s="8">
        <v>0</v>
      </c>
      <c r="AM443" s="8">
        <v>1</v>
      </c>
      <c r="AN443" s="8">
        <v>0</v>
      </c>
      <c r="AO443" s="8">
        <v>0</v>
      </c>
      <c r="AP443" s="8">
        <v>0</v>
      </c>
      <c r="AQ443" s="8">
        <v>1</v>
      </c>
      <c r="AR443" s="8">
        <v>1</v>
      </c>
      <c r="AS443" s="8">
        <v>0</v>
      </c>
      <c r="AT443" s="8">
        <v>1</v>
      </c>
      <c r="AU443" s="8">
        <v>1</v>
      </c>
      <c r="AV443" s="8">
        <v>0</v>
      </c>
      <c r="AW443" s="8">
        <v>0</v>
      </c>
      <c r="AX443" s="8">
        <v>0</v>
      </c>
      <c r="AY443" s="8">
        <v>0</v>
      </c>
      <c r="AZ443" s="8">
        <v>0</v>
      </c>
      <c r="BA443" s="8">
        <v>0</v>
      </c>
      <c r="BB443" s="8">
        <v>0</v>
      </c>
      <c r="BC443" s="8">
        <v>0</v>
      </c>
      <c r="BD443" s="8">
        <v>0</v>
      </c>
      <c r="BE443" s="8">
        <v>0</v>
      </c>
      <c r="BF443" s="8">
        <v>0</v>
      </c>
      <c r="BG443" s="8">
        <v>0</v>
      </c>
      <c r="BH443" s="8">
        <v>0</v>
      </c>
      <c r="BI443" s="8">
        <v>0</v>
      </c>
      <c r="BJ443" s="8">
        <v>0</v>
      </c>
      <c r="BK443" s="8">
        <v>1</v>
      </c>
      <c r="BL443" s="8">
        <v>1</v>
      </c>
      <c r="BM443" s="8">
        <v>0</v>
      </c>
      <c r="BN443" s="8">
        <v>0</v>
      </c>
      <c r="BO443" s="8">
        <v>0</v>
      </c>
      <c r="BP443" s="8">
        <v>0</v>
      </c>
      <c r="BQ443" s="8">
        <v>0</v>
      </c>
      <c r="BR443" s="8">
        <v>1</v>
      </c>
      <c r="BS443" s="8">
        <f t="shared" si="526"/>
        <v>11</v>
      </c>
      <c r="BT443" s="8"/>
      <c r="BU443" s="2">
        <f t="shared" si="437"/>
        <v>2</v>
      </c>
      <c r="BV443" s="2">
        <f t="shared" si="403"/>
        <v>4</v>
      </c>
      <c r="BW443" s="2">
        <f t="shared" si="404"/>
        <v>0</v>
      </c>
      <c r="BX443" s="2">
        <f t="shared" si="407"/>
        <v>2</v>
      </c>
      <c r="BY443" s="2">
        <f t="shared" si="405"/>
        <v>0</v>
      </c>
      <c r="BZ443" s="2">
        <f t="shared" ref="BZ443:CA443" si="629">SUM(AQ443)</f>
        <v>1</v>
      </c>
      <c r="CA443" s="2">
        <f t="shared" si="629"/>
        <v>1</v>
      </c>
      <c r="CB443" s="2">
        <f t="shared" si="431"/>
        <v>1</v>
      </c>
    </row>
    <row r="444" spans="1:80" ht="15" customHeight="1" x14ac:dyDescent="0.2">
      <c r="A444" s="3" t="s">
        <v>164</v>
      </c>
      <c r="B444" s="10">
        <v>554</v>
      </c>
      <c r="C444" s="5">
        <v>1</v>
      </c>
      <c r="D444" s="10">
        <v>0</v>
      </c>
      <c r="E444" s="10">
        <v>1</v>
      </c>
      <c r="F444" s="10">
        <v>1964</v>
      </c>
      <c r="G444" s="10" t="s">
        <v>80</v>
      </c>
      <c r="H444" s="7" t="str">
        <f t="shared" si="399"/>
        <v>Yes</v>
      </c>
      <c r="I444" s="54" t="s">
        <v>56</v>
      </c>
      <c r="J444" s="8">
        <v>1</v>
      </c>
      <c r="K444" s="8" t="s">
        <v>51</v>
      </c>
      <c r="L444" s="8" t="s">
        <v>64</v>
      </c>
      <c r="M444" s="8" t="s">
        <v>52</v>
      </c>
      <c r="N444" s="8">
        <v>1</v>
      </c>
      <c r="O444" s="8">
        <v>1</v>
      </c>
      <c r="P444" s="8">
        <v>1</v>
      </c>
      <c r="Q444" s="8" t="s">
        <v>168</v>
      </c>
      <c r="R444" s="9" t="s">
        <v>165</v>
      </c>
      <c r="S444" s="8">
        <v>1</v>
      </c>
      <c r="T444" s="8">
        <v>1</v>
      </c>
      <c r="U444" s="8">
        <v>1</v>
      </c>
      <c r="V444" s="8">
        <v>1</v>
      </c>
      <c r="W444" s="8">
        <v>1</v>
      </c>
      <c r="X444" s="8">
        <v>1</v>
      </c>
      <c r="Y444" s="8">
        <v>0</v>
      </c>
      <c r="Z444" s="8">
        <v>1</v>
      </c>
      <c r="AA444" s="8" t="s">
        <v>166</v>
      </c>
      <c r="AB444" s="8">
        <v>0</v>
      </c>
      <c r="AC444" s="8">
        <v>0</v>
      </c>
      <c r="AD444" s="8">
        <v>1</v>
      </c>
      <c r="AE444" s="8">
        <v>1</v>
      </c>
      <c r="AF444" s="8">
        <v>0</v>
      </c>
      <c r="AG444" s="8">
        <v>0</v>
      </c>
      <c r="AH444" s="8">
        <v>0</v>
      </c>
      <c r="AI444" s="8">
        <v>1</v>
      </c>
      <c r="AJ444" s="8">
        <v>1</v>
      </c>
      <c r="AK444" s="8">
        <v>1</v>
      </c>
      <c r="AL444" s="8">
        <v>1</v>
      </c>
      <c r="AM444" s="8">
        <v>1</v>
      </c>
      <c r="AN444" s="8">
        <v>1</v>
      </c>
      <c r="AO444" s="8">
        <v>0</v>
      </c>
      <c r="AP444" s="8">
        <v>0</v>
      </c>
      <c r="AQ444" s="8">
        <v>1</v>
      </c>
      <c r="AR444" s="8">
        <v>1</v>
      </c>
      <c r="AS444" s="8">
        <v>0</v>
      </c>
      <c r="AT444" s="8">
        <v>1</v>
      </c>
      <c r="AU444" s="8">
        <v>1</v>
      </c>
      <c r="AV444" s="8">
        <v>0</v>
      </c>
      <c r="AW444" s="8">
        <v>0</v>
      </c>
      <c r="AX444" s="8">
        <v>0</v>
      </c>
      <c r="AY444" s="8">
        <v>0</v>
      </c>
      <c r="AZ444" s="8">
        <v>0</v>
      </c>
      <c r="BA444" s="8">
        <v>0</v>
      </c>
      <c r="BB444" s="8">
        <v>0</v>
      </c>
      <c r="BC444" s="8">
        <v>0</v>
      </c>
      <c r="BD444" s="8">
        <v>0</v>
      </c>
      <c r="BE444" s="8">
        <v>0</v>
      </c>
      <c r="BF444" s="8">
        <v>0</v>
      </c>
      <c r="BG444" s="8">
        <v>0</v>
      </c>
      <c r="BH444" s="8">
        <v>0</v>
      </c>
      <c r="BI444" s="8">
        <v>0</v>
      </c>
      <c r="BJ444" s="8">
        <v>0</v>
      </c>
      <c r="BK444" s="8">
        <v>1</v>
      </c>
      <c r="BL444" s="8">
        <v>1</v>
      </c>
      <c r="BM444" s="8">
        <v>0</v>
      </c>
      <c r="BN444" s="8">
        <v>0</v>
      </c>
      <c r="BO444" s="8">
        <v>0</v>
      </c>
      <c r="BP444" s="8">
        <v>0</v>
      </c>
      <c r="BQ444" s="8">
        <v>0</v>
      </c>
      <c r="BR444" s="8">
        <v>1</v>
      </c>
      <c r="BS444" s="8">
        <f t="shared" si="526"/>
        <v>13</v>
      </c>
      <c r="BT444" s="8"/>
      <c r="BU444" s="2">
        <f t="shared" si="437"/>
        <v>2</v>
      </c>
      <c r="BV444" s="2">
        <f t="shared" si="403"/>
        <v>5</v>
      </c>
      <c r="BW444" s="2">
        <f t="shared" si="404"/>
        <v>1</v>
      </c>
      <c r="BX444" s="2">
        <f t="shared" si="407"/>
        <v>2</v>
      </c>
      <c r="BY444" s="2">
        <f t="shared" si="405"/>
        <v>0</v>
      </c>
      <c r="BZ444" s="2">
        <f t="shared" ref="BZ444:CA444" si="630">SUM(AQ444)</f>
        <v>1</v>
      </c>
      <c r="CA444" s="2">
        <f t="shared" si="630"/>
        <v>1</v>
      </c>
      <c r="CB444" s="2">
        <f t="shared" si="431"/>
        <v>1</v>
      </c>
    </row>
    <row r="445" spans="1:80" ht="16" x14ac:dyDescent="0.2">
      <c r="A445" s="3" t="s">
        <v>164</v>
      </c>
      <c r="B445" s="10">
        <v>554</v>
      </c>
      <c r="C445" s="5">
        <v>1</v>
      </c>
      <c r="D445" s="10">
        <v>0</v>
      </c>
      <c r="E445" s="10">
        <v>1</v>
      </c>
      <c r="F445" s="10">
        <v>1964</v>
      </c>
      <c r="G445" s="10">
        <v>2022</v>
      </c>
      <c r="H445" s="7" t="str">
        <f t="shared" ref="H445" si="631">IF($I445="1", "Yes", "No")</f>
        <v>Yes</v>
      </c>
      <c r="I445" s="54" t="s">
        <v>56</v>
      </c>
      <c r="J445" s="8">
        <v>1</v>
      </c>
      <c r="K445" s="8" t="s">
        <v>51</v>
      </c>
      <c r="L445" s="8" t="s">
        <v>64</v>
      </c>
      <c r="M445" s="8" t="s">
        <v>52</v>
      </c>
      <c r="N445" s="8">
        <v>1</v>
      </c>
      <c r="O445" s="8">
        <v>1</v>
      </c>
      <c r="P445" s="8">
        <v>1</v>
      </c>
      <c r="Q445" s="8" t="s">
        <v>168</v>
      </c>
      <c r="R445" s="9" t="s">
        <v>165</v>
      </c>
      <c r="S445" s="8">
        <v>1</v>
      </c>
      <c r="T445" s="8">
        <v>1</v>
      </c>
      <c r="U445" s="8">
        <v>1</v>
      </c>
      <c r="V445" s="8">
        <v>1</v>
      </c>
      <c r="W445" s="8">
        <v>1</v>
      </c>
      <c r="X445" s="8">
        <v>1</v>
      </c>
      <c r="Y445" s="8">
        <v>0</v>
      </c>
      <c r="Z445" s="8">
        <v>1</v>
      </c>
      <c r="AA445" s="8" t="s">
        <v>166</v>
      </c>
      <c r="AB445" s="8">
        <v>0</v>
      </c>
      <c r="AC445" s="8">
        <v>0</v>
      </c>
      <c r="AD445" s="8">
        <v>1</v>
      </c>
      <c r="AE445" s="8">
        <v>1</v>
      </c>
      <c r="AF445" s="8">
        <v>0</v>
      </c>
      <c r="AG445" s="8">
        <v>0</v>
      </c>
      <c r="AH445" s="8">
        <v>0</v>
      </c>
      <c r="AI445" s="8">
        <v>1</v>
      </c>
      <c r="AJ445" s="8">
        <v>1</v>
      </c>
      <c r="AK445" s="8">
        <v>1</v>
      </c>
      <c r="AL445" s="8">
        <v>1</v>
      </c>
      <c r="AM445" s="8">
        <v>1</v>
      </c>
      <c r="AN445" s="8">
        <v>1</v>
      </c>
      <c r="AO445" s="8">
        <v>0</v>
      </c>
      <c r="AP445" s="8">
        <v>0</v>
      </c>
      <c r="AQ445" s="8">
        <v>1</v>
      </c>
      <c r="AR445" s="8">
        <v>1</v>
      </c>
      <c r="AS445" s="8">
        <v>0</v>
      </c>
      <c r="AT445" s="8">
        <v>1</v>
      </c>
      <c r="AU445" s="8">
        <v>1</v>
      </c>
      <c r="AV445" s="8">
        <v>0</v>
      </c>
      <c r="AW445" s="8">
        <v>0</v>
      </c>
      <c r="AX445" s="8">
        <v>0</v>
      </c>
      <c r="AY445" s="8">
        <v>0</v>
      </c>
      <c r="AZ445" s="8">
        <v>0</v>
      </c>
      <c r="BA445" s="8">
        <v>0</v>
      </c>
      <c r="BB445" s="8">
        <v>0</v>
      </c>
      <c r="BC445" s="8">
        <v>0</v>
      </c>
      <c r="BD445" s="8">
        <v>0</v>
      </c>
      <c r="BE445" s="8">
        <v>0</v>
      </c>
      <c r="BF445" s="8">
        <v>0</v>
      </c>
      <c r="BG445" s="8">
        <v>0</v>
      </c>
      <c r="BH445" s="8">
        <v>0</v>
      </c>
      <c r="BI445" s="8">
        <v>0</v>
      </c>
      <c r="BJ445" s="8">
        <v>0</v>
      </c>
      <c r="BK445" s="8">
        <v>1</v>
      </c>
      <c r="BL445" s="8">
        <v>1</v>
      </c>
      <c r="BM445" s="8">
        <v>0</v>
      </c>
      <c r="BN445" s="8">
        <v>0</v>
      </c>
      <c r="BO445" s="8">
        <v>1</v>
      </c>
      <c r="BP445" s="8">
        <v>0</v>
      </c>
      <c r="BQ445" s="8">
        <v>0</v>
      </c>
      <c r="BR445" s="8">
        <v>1</v>
      </c>
      <c r="BS445" s="8">
        <f t="shared" ref="BS445" si="632">SUM(AI445:BR445)</f>
        <v>14</v>
      </c>
      <c r="BT445" s="8"/>
      <c r="BU445" s="2">
        <f t="shared" ref="BU445" si="633">SUM(AI445,BK445)</f>
        <v>2</v>
      </c>
      <c r="BV445" s="2">
        <f t="shared" ref="BV445" si="634">SUM(AK445, AL445, AM445,AJ445,BL445,BO445, AP445)</f>
        <v>6</v>
      </c>
      <c r="BW445" s="2">
        <f t="shared" ref="BW445" si="635">SUM(AN445, AO445, AS445)</f>
        <v>1</v>
      </c>
      <c r="BX445" s="2">
        <f t="shared" ref="BX445" si="636">SUM(AU445,AV445,AW445,AX445,AY445,AZ445,BA445,BB445,BC445,BD445,BE445,BF445,BG445,BH445,BI445,BJ445,BQ445,BR445,BM445)</f>
        <v>2</v>
      </c>
      <c r="BY445" s="2">
        <f t="shared" ref="BY445" si="637">SUM(BP445, BN445)</f>
        <v>0</v>
      </c>
      <c r="BZ445" s="2">
        <f t="shared" ref="BZ445" si="638">SUM(AQ445)</f>
        <v>1</v>
      </c>
      <c r="CA445" s="2">
        <f t="shared" ref="CA445" si="639">SUM(AR445)</f>
        <v>1</v>
      </c>
      <c r="CB445" s="2">
        <f t="shared" ref="CB445" si="640">SUM(AT445)</f>
        <v>1</v>
      </c>
    </row>
    <row r="446" spans="1:80" ht="16" x14ac:dyDescent="0.2">
      <c r="A446" s="3" t="s">
        <v>164</v>
      </c>
      <c r="B446" s="10">
        <v>554</v>
      </c>
      <c r="C446" s="5">
        <v>1</v>
      </c>
      <c r="D446" s="10">
        <v>0</v>
      </c>
      <c r="E446" s="10">
        <v>1</v>
      </c>
      <c r="F446" s="10">
        <v>1964</v>
      </c>
      <c r="G446" s="10">
        <v>2023</v>
      </c>
      <c r="H446" s="7" t="s">
        <v>98</v>
      </c>
      <c r="I446" s="54" t="s">
        <v>55</v>
      </c>
      <c r="J446" s="8">
        <v>1</v>
      </c>
      <c r="K446" s="8" t="s">
        <v>51</v>
      </c>
      <c r="L446" s="8" t="s">
        <v>64</v>
      </c>
      <c r="M446" s="8" t="s">
        <v>52</v>
      </c>
      <c r="N446" s="8">
        <v>1</v>
      </c>
      <c r="O446" s="8">
        <v>1</v>
      </c>
      <c r="P446" s="8">
        <v>1</v>
      </c>
      <c r="Q446" s="8" t="s">
        <v>168</v>
      </c>
      <c r="R446" s="9" t="s">
        <v>165</v>
      </c>
      <c r="S446" s="8">
        <v>1</v>
      </c>
      <c r="T446" s="8">
        <v>1</v>
      </c>
      <c r="U446" s="8">
        <v>1</v>
      </c>
      <c r="V446" s="8">
        <v>1</v>
      </c>
      <c r="W446" s="8">
        <v>1</v>
      </c>
      <c r="X446" s="8">
        <v>1</v>
      </c>
      <c r="Y446" s="8">
        <v>0</v>
      </c>
      <c r="Z446" s="8">
        <v>1</v>
      </c>
      <c r="AA446" s="8" t="s">
        <v>166</v>
      </c>
      <c r="AB446" s="8">
        <v>0</v>
      </c>
      <c r="AC446" s="8">
        <v>0</v>
      </c>
      <c r="AD446" s="8">
        <v>1</v>
      </c>
      <c r="AE446" s="8">
        <v>1</v>
      </c>
      <c r="AF446" s="8">
        <v>0</v>
      </c>
      <c r="AG446" s="8">
        <v>0</v>
      </c>
      <c r="AH446" s="8">
        <v>0</v>
      </c>
      <c r="AI446" s="8">
        <v>1</v>
      </c>
      <c r="AJ446" s="8">
        <v>1</v>
      </c>
      <c r="AK446" s="8">
        <v>1</v>
      </c>
      <c r="AL446" s="8">
        <v>1</v>
      </c>
      <c r="AM446" s="8">
        <v>1</v>
      </c>
      <c r="AN446" s="8">
        <v>1</v>
      </c>
      <c r="AO446" s="8">
        <v>0</v>
      </c>
      <c r="AP446" s="8">
        <v>0</v>
      </c>
      <c r="AQ446" s="8">
        <v>1</v>
      </c>
      <c r="AR446" s="8">
        <v>1</v>
      </c>
      <c r="AS446" s="8">
        <v>0</v>
      </c>
      <c r="AT446" s="8">
        <v>1</v>
      </c>
      <c r="AU446" s="8">
        <v>1</v>
      </c>
      <c r="AV446" s="8">
        <v>0</v>
      </c>
      <c r="AW446" s="8">
        <v>0</v>
      </c>
      <c r="AX446" s="8">
        <v>0</v>
      </c>
      <c r="AY446" s="8">
        <v>0</v>
      </c>
      <c r="AZ446" s="8">
        <v>0</v>
      </c>
      <c r="BA446" s="8">
        <v>0</v>
      </c>
      <c r="BB446" s="8">
        <v>0</v>
      </c>
      <c r="BC446" s="8">
        <v>0</v>
      </c>
      <c r="BD446" s="8">
        <v>0</v>
      </c>
      <c r="BE446" s="8">
        <v>0</v>
      </c>
      <c r="BF446" s="8">
        <v>0</v>
      </c>
      <c r="BG446" s="8">
        <v>0</v>
      </c>
      <c r="BH446" s="8">
        <v>0</v>
      </c>
      <c r="BI446" s="8">
        <v>0</v>
      </c>
      <c r="BJ446" s="8">
        <v>0</v>
      </c>
      <c r="BK446" s="8">
        <v>1</v>
      </c>
      <c r="BL446" s="8">
        <v>1</v>
      </c>
      <c r="BM446" s="8">
        <v>0</v>
      </c>
      <c r="BN446" s="8">
        <v>0</v>
      </c>
      <c r="BO446" s="8">
        <v>1</v>
      </c>
      <c r="BP446" s="8">
        <v>0</v>
      </c>
      <c r="BQ446" s="8">
        <v>0</v>
      </c>
      <c r="BR446" s="8">
        <v>1</v>
      </c>
      <c r="BS446" s="8">
        <f>SUM(AI446:BR446)</f>
        <v>14</v>
      </c>
      <c r="BT446" s="8"/>
      <c r="BU446" s="2">
        <f>SUM(AI446,BK446)</f>
        <v>2</v>
      </c>
      <c r="BV446" s="2">
        <f>SUM(AK446, AL446, AM446,AJ446,BL446,BO446, AP446)</f>
        <v>6</v>
      </c>
      <c r="BW446" s="2">
        <f>SUM(AN446, AO446, AS446)</f>
        <v>1</v>
      </c>
      <c r="BX446" s="2">
        <f>SUM(AU446,AV446,AW446,AX446,AY446,AZ446,BA446,BB446,BC446,BD446,BE446,BF446,BG446,BH446,BI446,BJ446,BQ446,BR446,BM446)</f>
        <v>2</v>
      </c>
      <c r="BY446" s="2">
        <f>SUM(BP446, BN446)</f>
        <v>0</v>
      </c>
      <c r="BZ446" s="2">
        <f>SUM(AQ446)</f>
        <v>1</v>
      </c>
      <c r="CA446" s="2">
        <f>SUM(AR446)</f>
        <v>1</v>
      </c>
      <c r="CB446" s="2">
        <f>SUM(AT446)</f>
        <v>1</v>
      </c>
    </row>
    <row r="447" spans="1:80" ht="16" x14ac:dyDescent="0.2">
      <c r="A447" s="3" t="s">
        <v>169</v>
      </c>
      <c r="B447" s="10">
        <v>578</v>
      </c>
      <c r="C447" s="5">
        <v>1</v>
      </c>
      <c r="D447" s="10">
        <v>1</v>
      </c>
      <c r="E447" s="10">
        <v>0</v>
      </c>
      <c r="F447" s="10">
        <v>2019</v>
      </c>
      <c r="G447" s="10" t="s">
        <v>86</v>
      </c>
      <c r="H447" s="7" t="str">
        <f t="shared" si="399"/>
        <v>No</v>
      </c>
      <c r="I447" s="54" t="s">
        <v>55</v>
      </c>
      <c r="J447" s="8">
        <v>0</v>
      </c>
      <c r="K447" s="8"/>
      <c r="L447" s="8"/>
      <c r="M447" s="8"/>
      <c r="N447" s="8"/>
      <c r="O447" s="8"/>
      <c r="P447" s="8"/>
      <c r="Q447" s="8"/>
      <c r="R447" s="9"/>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f t="shared" si="526"/>
        <v>0</v>
      </c>
      <c r="BT447" s="8"/>
      <c r="BU447" s="2">
        <f t="shared" si="437"/>
        <v>0</v>
      </c>
      <c r="BV447" s="2">
        <f t="shared" si="403"/>
        <v>0</v>
      </c>
      <c r="BW447" s="2">
        <f t="shared" si="404"/>
        <v>0</v>
      </c>
      <c r="BX447" s="2">
        <f t="shared" si="407"/>
        <v>0</v>
      </c>
      <c r="BY447" s="2">
        <f t="shared" si="405"/>
        <v>0</v>
      </c>
      <c r="BZ447" s="2">
        <f t="shared" ref="BZ447:CA447" si="641">SUM(AQ447)</f>
        <v>0</v>
      </c>
      <c r="CA447" s="2">
        <f t="shared" si="641"/>
        <v>0</v>
      </c>
      <c r="CB447" s="2">
        <f t="shared" si="431"/>
        <v>0</v>
      </c>
    </row>
    <row r="448" spans="1:80" ht="16" x14ac:dyDescent="0.2">
      <c r="A448" s="3" t="s">
        <v>169</v>
      </c>
      <c r="B448" s="10">
        <v>578</v>
      </c>
      <c r="C448" s="5">
        <v>1</v>
      </c>
      <c r="D448" s="10">
        <v>1</v>
      </c>
      <c r="E448" s="10">
        <v>0</v>
      </c>
      <c r="F448" s="10">
        <v>2019</v>
      </c>
      <c r="G448" s="10" t="s">
        <v>90</v>
      </c>
      <c r="H448" s="7" t="str">
        <f t="shared" si="399"/>
        <v>No</v>
      </c>
      <c r="I448" s="54" t="s">
        <v>55</v>
      </c>
      <c r="J448" s="8">
        <v>0</v>
      </c>
      <c r="K448" s="8"/>
      <c r="L448" s="8"/>
      <c r="M448" s="8"/>
      <c r="N448" s="8"/>
      <c r="O448" s="8"/>
      <c r="P448" s="8"/>
      <c r="Q448" s="8"/>
      <c r="R448" s="6"/>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f t="shared" si="526"/>
        <v>0</v>
      </c>
      <c r="BT448" s="8"/>
      <c r="BU448" s="2">
        <f t="shared" si="437"/>
        <v>0</v>
      </c>
      <c r="BV448" s="2">
        <f t="shared" si="403"/>
        <v>0</v>
      </c>
      <c r="BW448" s="2">
        <f t="shared" si="404"/>
        <v>0</v>
      </c>
      <c r="BX448" s="2">
        <f t="shared" si="407"/>
        <v>0</v>
      </c>
      <c r="BY448" s="2">
        <f t="shared" si="405"/>
        <v>0</v>
      </c>
      <c r="BZ448" s="2">
        <f t="shared" ref="BZ448:CA448" si="642">SUM(AQ448)</f>
        <v>0</v>
      </c>
      <c r="CA448" s="2">
        <f t="shared" si="642"/>
        <v>0</v>
      </c>
      <c r="CB448" s="2">
        <f t="shared" si="431"/>
        <v>0</v>
      </c>
    </row>
    <row r="449" spans="1:80" ht="16" x14ac:dyDescent="0.2">
      <c r="A449" s="3" t="s">
        <v>169</v>
      </c>
      <c r="B449" s="10">
        <v>578</v>
      </c>
      <c r="C449" s="5">
        <v>1</v>
      </c>
      <c r="D449" s="10">
        <v>1</v>
      </c>
      <c r="E449" s="10">
        <v>0</v>
      </c>
      <c r="F449" s="10">
        <v>2019</v>
      </c>
      <c r="G449" s="10" t="s">
        <v>91</v>
      </c>
      <c r="H449" s="7" t="str">
        <f t="shared" si="399"/>
        <v>No</v>
      </c>
      <c r="I449" s="54" t="s">
        <v>55</v>
      </c>
      <c r="J449" s="8">
        <v>0</v>
      </c>
      <c r="K449" s="8"/>
      <c r="L449" s="8"/>
      <c r="M449" s="8"/>
      <c r="N449" s="8"/>
      <c r="O449" s="8"/>
      <c r="P449" s="8"/>
      <c r="Q449" s="8"/>
      <c r="R449" s="6"/>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f t="shared" si="526"/>
        <v>0</v>
      </c>
      <c r="BT449" s="8"/>
      <c r="BU449" s="2">
        <f t="shared" si="437"/>
        <v>0</v>
      </c>
      <c r="BV449" s="2">
        <f t="shared" si="403"/>
        <v>0</v>
      </c>
      <c r="BW449" s="2">
        <f t="shared" si="404"/>
        <v>0</v>
      </c>
      <c r="BX449" s="2">
        <f t="shared" si="407"/>
        <v>0</v>
      </c>
      <c r="BY449" s="2">
        <f t="shared" si="405"/>
        <v>0</v>
      </c>
      <c r="BZ449" s="2">
        <f t="shared" ref="BZ449:CA449" si="643">SUM(AQ449)</f>
        <v>0</v>
      </c>
      <c r="CA449" s="2">
        <f t="shared" si="643"/>
        <v>0</v>
      </c>
      <c r="CB449" s="2">
        <f t="shared" si="431"/>
        <v>0</v>
      </c>
    </row>
    <row r="450" spans="1:80" ht="16" x14ac:dyDescent="0.2">
      <c r="A450" s="3" t="s">
        <v>169</v>
      </c>
      <c r="B450" s="10">
        <v>578</v>
      </c>
      <c r="C450" s="5">
        <v>1</v>
      </c>
      <c r="D450" s="10">
        <v>1</v>
      </c>
      <c r="E450" s="10">
        <v>0</v>
      </c>
      <c r="F450" s="10">
        <v>2019</v>
      </c>
      <c r="G450" s="10" t="s">
        <v>93</v>
      </c>
      <c r="H450" s="7" t="str">
        <f t="shared" si="399"/>
        <v>No</v>
      </c>
      <c r="I450" s="54" t="s">
        <v>55</v>
      </c>
      <c r="J450" s="8">
        <v>0</v>
      </c>
      <c r="K450" s="8"/>
      <c r="L450" s="8"/>
      <c r="M450" s="8"/>
      <c r="N450" s="8"/>
      <c r="O450" s="8"/>
      <c r="P450" s="8"/>
      <c r="Q450" s="8"/>
      <c r="R450" s="6"/>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f t="shared" si="526"/>
        <v>0</v>
      </c>
      <c r="BT450" s="8"/>
      <c r="BU450" s="2">
        <f t="shared" si="437"/>
        <v>0</v>
      </c>
      <c r="BV450" s="2">
        <f t="shared" si="403"/>
        <v>0</v>
      </c>
      <c r="BW450" s="2">
        <f t="shared" si="404"/>
        <v>0</v>
      </c>
      <c r="BX450" s="2">
        <f t="shared" si="407"/>
        <v>0</v>
      </c>
      <c r="BY450" s="2">
        <f t="shared" si="405"/>
        <v>0</v>
      </c>
      <c r="BZ450" s="2">
        <f t="shared" ref="BZ450:CA450" si="644">SUM(AQ450)</f>
        <v>0</v>
      </c>
      <c r="CA450" s="2">
        <f t="shared" si="644"/>
        <v>0</v>
      </c>
      <c r="CB450" s="2">
        <f t="shared" si="431"/>
        <v>0</v>
      </c>
    </row>
    <row r="451" spans="1:80" ht="16" x14ac:dyDescent="0.2">
      <c r="A451" s="3" t="s">
        <v>169</v>
      </c>
      <c r="B451" s="10">
        <v>578</v>
      </c>
      <c r="C451" s="5">
        <v>1</v>
      </c>
      <c r="D451" s="10">
        <v>1</v>
      </c>
      <c r="E451" s="10">
        <v>0</v>
      </c>
      <c r="F451" s="10">
        <v>2019</v>
      </c>
      <c r="G451" s="10" t="s">
        <v>70</v>
      </c>
      <c r="H451" s="7" t="str">
        <f t="shared" si="399"/>
        <v>No</v>
      </c>
      <c r="I451" s="54" t="s">
        <v>55</v>
      </c>
      <c r="J451" s="8">
        <v>0</v>
      </c>
      <c r="K451" s="8"/>
      <c r="L451" s="8"/>
      <c r="M451" s="8"/>
      <c r="N451" s="8"/>
      <c r="O451" s="8"/>
      <c r="P451" s="8"/>
      <c r="Q451" s="8"/>
      <c r="R451" s="6"/>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f t="shared" si="526"/>
        <v>0</v>
      </c>
      <c r="BT451" s="8"/>
      <c r="BU451" s="2">
        <f t="shared" si="437"/>
        <v>0</v>
      </c>
      <c r="BV451" s="2">
        <f t="shared" si="403"/>
        <v>0</v>
      </c>
      <c r="BW451" s="2">
        <f t="shared" si="404"/>
        <v>0</v>
      </c>
      <c r="BX451" s="2">
        <f t="shared" si="407"/>
        <v>0</v>
      </c>
      <c r="BY451" s="2">
        <f t="shared" si="405"/>
        <v>0</v>
      </c>
      <c r="BZ451" s="2">
        <f t="shared" ref="BZ451:CA451" si="645">SUM(AQ451)</f>
        <v>0</v>
      </c>
      <c r="CA451" s="2">
        <f t="shared" si="645"/>
        <v>0</v>
      </c>
      <c r="CB451" s="2">
        <f t="shared" si="431"/>
        <v>0</v>
      </c>
    </row>
    <row r="452" spans="1:80" ht="16" x14ac:dyDescent="0.2">
      <c r="A452" s="3" t="s">
        <v>169</v>
      </c>
      <c r="B452" s="10">
        <v>578</v>
      </c>
      <c r="C452" s="5">
        <v>1</v>
      </c>
      <c r="D452" s="10">
        <v>1</v>
      </c>
      <c r="E452" s="10">
        <v>0</v>
      </c>
      <c r="F452" s="10">
        <v>2019</v>
      </c>
      <c r="G452" s="10" t="s">
        <v>71</v>
      </c>
      <c r="H452" s="7" t="str">
        <f t="shared" si="399"/>
        <v>No</v>
      </c>
      <c r="I452" s="54" t="s">
        <v>55</v>
      </c>
      <c r="J452" s="8">
        <v>0</v>
      </c>
      <c r="K452" s="8"/>
      <c r="L452" s="8"/>
      <c r="M452" s="8"/>
      <c r="N452" s="8"/>
      <c r="O452" s="8"/>
      <c r="P452" s="8"/>
      <c r="Q452" s="8"/>
      <c r="R452" s="6"/>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f t="shared" si="526"/>
        <v>0</v>
      </c>
      <c r="BT452" s="8"/>
      <c r="BU452" s="2">
        <f t="shared" si="437"/>
        <v>0</v>
      </c>
      <c r="BV452" s="2">
        <f t="shared" si="403"/>
        <v>0</v>
      </c>
      <c r="BW452" s="2">
        <f t="shared" si="404"/>
        <v>0</v>
      </c>
      <c r="BX452" s="2">
        <f t="shared" si="407"/>
        <v>0</v>
      </c>
      <c r="BY452" s="2">
        <f t="shared" si="405"/>
        <v>0</v>
      </c>
      <c r="BZ452" s="2">
        <f t="shared" ref="BZ452:CA452" si="646">SUM(AQ452)</f>
        <v>0</v>
      </c>
      <c r="CA452" s="2">
        <f t="shared" si="646"/>
        <v>0</v>
      </c>
      <c r="CB452" s="2">
        <f t="shared" si="431"/>
        <v>0</v>
      </c>
    </row>
    <row r="453" spans="1:80" ht="16" x14ac:dyDescent="0.2">
      <c r="A453" s="3" t="s">
        <v>169</v>
      </c>
      <c r="B453" s="10">
        <v>578</v>
      </c>
      <c r="C453" s="5">
        <v>1</v>
      </c>
      <c r="D453" s="10">
        <v>1</v>
      </c>
      <c r="E453" s="10">
        <v>0</v>
      </c>
      <c r="F453" s="10">
        <v>2019</v>
      </c>
      <c r="G453" s="10" t="s">
        <v>72</v>
      </c>
      <c r="H453" s="7" t="str">
        <f t="shared" si="399"/>
        <v>No</v>
      </c>
      <c r="I453" s="54" t="s">
        <v>55</v>
      </c>
      <c r="J453" s="8">
        <v>0</v>
      </c>
      <c r="K453" s="8"/>
      <c r="L453" s="8"/>
      <c r="M453" s="8"/>
      <c r="N453" s="8"/>
      <c r="O453" s="8"/>
      <c r="P453" s="8"/>
      <c r="Q453" s="8"/>
      <c r="R453" s="6"/>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f t="shared" si="526"/>
        <v>0</v>
      </c>
      <c r="BT453" s="8"/>
      <c r="BU453" s="2">
        <f t="shared" si="437"/>
        <v>0</v>
      </c>
      <c r="BV453" s="2">
        <f t="shared" si="403"/>
        <v>0</v>
      </c>
      <c r="BW453" s="2">
        <f t="shared" si="404"/>
        <v>0</v>
      </c>
      <c r="BX453" s="2">
        <f t="shared" si="407"/>
        <v>0</v>
      </c>
      <c r="BY453" s="2">
        <f t="shared" si="405"/>
        <v>0</v>
      </c>
      <c r="BZ453" s="2">
        <f t="shared" ref="BZ453:CA453" si="647">SUM(AQ453)</f>
        <v>0</v>
      </c>
      <c r="CA453" s="2">
        <f t="shared" si="647"/>
        <v>0</v>
      </c>
      <c r="CB453" s="2">
        <f t="shared" si="431"/>
        <v>0</v>
      </c>
    </row>
    <row r="454" spans="1:80" ht="16" x14ac:dyDescent="0.2">
      <c r="A454" s="3" t="s">
        <v>169</v>
      </c>
      <c r="B454" s="10">
        <v>578</v>
      </c>
      <c r="C454" s="5">
        <v>1</v>
      </c>
      <c r="D454" s="10">
        <v>1</v>
      </c>
      <c r="E454" s="10">
        <v>0</v>
      </c>
      <c r="F454" s="10">
        <v>2019</v>
      </c>
      <c r="G454" s="10" t="s">
        <v>73</v>
      </c>
      <c r="H454" s="7" t="str">
        <f t="shared" si="399"/>
        <v>No</v>
      </c>
      <c r="I454" s="54" t="s">
        <v>55</v>
      </c>
      <c r="J454" s="8">
        <v>0</v>
      </c>
      <c r="K454" s="8"/>
      <c r="L454" s="8"/>
      <c r="M454" s="8"/>
      <c r="N454" s="8"/>
      <c r="O454" s="8"/>
      <c r="P454" s="8"/>
      <c r="Q454" s="8"/>
      <c r="R454" s="6"/>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f t="shared" si="526"/>
        <v>0</v>
      </c>
      <c r="BT454" s="8"/>
      <c r="BU454" s="2">
        <f t="shared" si="437"/>
        <v>0</v>
      </c>
      <c r="BV454" s="2">
        <f t="shared" si="403"/>
        <v>0</v>
      </c>
      <c r="BW454" s="2">
        <f t="shared" si="404"/>
        <v>0</v>
      </c>
      <c r="BX454" s="2">
        <f t="shared" si="407"/>
        <v>0</v>
      </c>
      <c r="BY454" s="2">
        <f t="shared" si="405"/>
        <v>0</v>
      </c>
      <c r="BZ454" s="2">
        <f t="shared" ref="BZ454:CA454" si="648">SUM(AQ454)</f>
        <v>0</v>
      </c>
      <c r="CA454" s="2">
        <f t="shared" si="648"/>
        <v>0</v>
      </c>
      <c r="CB454" s="2">
        <f t="shared" si="431"/>
        <v>0</v>
      </c>
    </row>
    <row r="455" spans="1:80" ht="16" x14ac:dyDescent="0.2">
      <c r="A455" s="3" t="s">
        <v>169</v>
      </c>
      <c r="B455" s="10">
        <v>578</v>
      </c>
      <c r="C455" s="5">
        <v>1</v>
      </c>
      <c r="D455" s="10">
        <v>1</v>
      </c>
      <c r="E455" s="10">
        <v>0</v>
      </c>
      <c r="F455" s="10">
        <v>2019</v>
      </c>
      <c r="G455" s="10" t="s">
        <v>74</v>
      </c>
      <c r="H455" s="7" t="str">
        <f t="shared" si="399"/>
        <v>No</v>
      </c>
      <c r="I455" s="54" t="s">
        <v>55</v>
      </c>
      <c r="J455" s="8">
        <v>0</v>
      </c>
      <c r="K455" s="8"/>
      <c r="L455" s="8"/>
      <c r="M455" s="8"/>
      <c r="N455" s="8"/>
      <c r="O455" s="8"/>
      <c r="P455" s="8"/>
      <c r="Q455" s="8"/>
      <c r="R455" s="6"/>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f t="shared" si="526"/>
        <v>0</v>
      </c>
      <c r="BT455" s="8"/>
      <c r="BU455" s="2">
        <f t="shared" si="437"/>
        <v>0</v>
      </c>
      <c r="BV455" s="2">
        <f t="shared" si="403"/>
        <v>0</v>
      </c>
      <c r="BW455" s="2">
        <f t="shared" si="404"/>
        <v>0</v>
      </c>
      <c r="BX455" s="2">
        <f t="shared" si="407"/>
        <v>0</v>
      </c>
      <c r="BY455" s="2">
        <f t="shared" si="405"/>
        <v>0</v>
      </c>
      <c r="BZ455" s="2">
        <f t="shared" ref="BZ455:CA455" si="649">SUM(AQ455)</f>
        <v>0</v>
      </c>
      <c r="CA455" s="2">
        <f t="shared" si="649"/>
        <v>0</v>
      </c>
      <c r="CB455" s="2">
        <f t="shared" si="431"/>
        <v>0</v>
      </c>
    </row>
    <row r="456" spans="1:80" ht="16" x14ac:dyDescent="0.2">
      <c r="A456" s="3" t="s">
        <v>169</v>
      </c>
      <c r="B456" s="10">
        <v>578</v>
      </c>
      <c r="C456" s="5">
        <v>1</v>
      </c>
      <c r="D456" s="10">
        <v>1</v>
      </c>
      <c r="E456" s="10">
        <v>0</v>
      </c>
      <c r="F456" s="10">
        <v>2019</v>
      </c>
      <c r="G456" s="10" t="s">
        <v>75</v>
      </c>
      <c r="H456" s="7" t="str">
        <f t="shared" si="399"/>
        <v>No</v>
      </c>
      <c r="I456" s="54" t="s">
        <v>55</v>
      </c>
      <c r="J456" s="8">
        <v>0</v>
      </c>
      <c r="K456" s="8"/>
      <c r="L456" s="8"/>
      <c r="M456" s="8"/>
      <c r="N456" s="8"/>
      <c r="O456" s="8"/>
      <c r="P456" s="8"/>
      <c r="Q456" s="8"/>
      <c r="R456" s="6"/>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f t="shared" si="526"/>
        <v>0</v>
      </c>
      <c r="BT456" s="8"/>
      <c r="BU456" s="2">
        <f t="shared" si="437"/>
        <v>0</v>
      </c>
      <c r="BV456" s="2">
        <f t="shared" si="403"/>
        <v>0</v>
      </c>
      <c r="BW456" s="2">
        <f t="shared" si="404"/>
        <v>0</v>
      </c>
      <c r="BX456" s="2">
        <f t="shared" si="407"/>
        <v>0</v>
      </c>
      <c r="BY456" s="2">
        <f t="shared" si="405"/>
        <v>0</v>
      </c>
      <c r="BZ456" s="2">
        <f t="shared" ref="BZ456:CA456" si="650">SUM(AQ456)</f>
        <v>0</v>
      </c>
      <c r="CA456" s="2">
        <f t="shared" si="650"/>
        <v>0</v>
      </c>
      <c r="CB456" s="2">
        <f t="shared" si="431"/>
        <v>0</v>
      </c>
    </row>
    <row r="457" spans="1:80" ht="16" x14ac:dyDescent="0.2">
      <c r="A457" s="3" t="s">
        <v>169</v>
      </c>
      <c r="B457" s="10">
        <v>578</v>
      </c>
      <c r="C457" s="5">
        <v>1</v>
      </c>
      <c r="D457" s="10">
        <v>1</v>
      </c>
      <c r="E457" s="10">
        <v>0</v>
      </c>
      <c r="F457" s="10">
        <v>2019</v>
      </c>
      <c r="G457" s="10" t="s">
        <v>76</v>
      </c>
      <c r="H457" s="7" t="str">
        <f t="shared" si="399"/>
        <v>No</v>
      </c>
      <c r="I457" s="54" t="s">
        <v>55</v>
      </c>
      <c r="J457" s="8">
        <v>0</v>
      </c>
      <c r="K457" s="8"/>
      <c r="L457" s="8"/>
      <c r="M457" s="8"/>
      <c r="N457" s="8"/>
      <c r="O457" s="8"/>
      <c r="P457" s="8"/>
      <c r="Q457" s="8"/>
      <c r="R457" s="6"/>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f t="shared" si="526"/>
        <v>0</v>
      </c>
      <c r="BT457" s="8"/>
      <c r="BU457" s="2">
        <f t="shared" si="437"/>
        <v>0</v>
      </c>
      <c r="BV457" s="2">
        <f t="shared" si="403"/>
        <v>0</v>
      </c>
      <c r="BW457" s="2">
        <f t="shared" si="404"/>
        <v>0</v>
      </c>
      <c r="BX457" s="2">
        <f t="shared" si="407"/>
        <v>0</v>
      </c>
      <c r="BY457" s="2">
        <f t="shared" si="405"/>
        <v>0</v>
      </c>
      <c r="BZ457" s="2">
        <f t="shared" ref="BZ457:CA457" si="651">SUM(AQ457)</f>
        <v>0</v>
      </c>
      <c r="CA457" s="2">
        <f t="shared" si="651"/>
        <v>0</v>
      </c>
      <c r="CB457" s="2">
        <f t="shared" si="431"/>
        <v>0</v>
      </c>
    </row>
    <row r="458" spans="1:80" ht="16" x14ac:dyDescent="0.2">
      <c r="A458" s="3" t="s">
        <v>169</v>
      </c>
      <c r="B458" s="10">
        <v>578</v>
      </c>
      <c r="C458" s="5">
        <v>1</v>
      </c>
      <c r="D458" s="10">
        <v>1</v>
      </c>
      <c r="E458" s="10">
        <v>0</v>
      </c>
      <c r="F458" s="10">
        <v>2019</v>
      </c>
      <c r="G458" s="10" t="s">
        <v>77</v>
      </c>
      <c r="H458" s="7" t="str">
        <f t="shared" si="399"/>
        <v>No</v>
      </c>
      <c r="I458" s="54" t="s">
        <v>55</v>
      </c>
      <c r="J458" s="8">
        <v>0</v>
      </c>
      <c r="K458" s="8"/>
      <c r="L458" s="8"/>
      <c r="M458" s="8"/>
      <c r="N458" s="8"/>
      <c r="O458" s="8"/>
      <c r="P458" s="8"/>
      <c r="Q458" s="8"/>
      <c r="R458" s="6"/>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f t="shared" si="526"/>
        <v>0</v>
      </c>
      <c r="BT458" s="8"/>
      <c r="BU458" s="2">
        <f t="shared" si="437"/>
        <v>0</v>
      </c>
      <c r="BV458" s="2">
        <f t="shared" si="403"/>
        <v>0</v>
      </c>
      <c r="BW458" s="2">
        <f t="shared" si="404"/>
        <v>0</v>
      </c>
      <c r="BX458" s="2">
        <f t="shared" si="407"/>
        <v>0</v>
      </c>
      <c r="BY458" s="2">
        <f t="shared" si="405"/>
        <v>0</v>
      </c>
      <c r="BZ458" s="2">
        <f t="shared" ref="BZ458:CA458" si="652">SUM(AQ458)</f>
        <v>0</v>
      </c>
      <c r="CA458" s="2">
        <f t="shared" si="652"/>
        <v>0</v>
      </c>
      <c r="CB458" s="2">
        <f t="shared" si="431"/>
        <v>0</v>
      </c>
    </row>
    <row r="459" spans="1:80" ht="16" x14ac:dyDescent="0.2">
      <c r="A459" s="3" t="s">
        <v>169</v>
      </c>
      <c r="B459" s="10">
        <v>578</v>
      </c>
      <c r="C459" s="5">
        <v>1</v>
      </c>
      <c r="D459" s="10">
        <v>1</v>
      </c>
      <c r="E459" s="10">
        <v>0</v>
      </c>
      <c r="F459" s="10">
        <v>2019</v>
      </c>
      <c r="G459" s="10" t="s">
        <v>78</v>
      </c>
      <c r="H459" s="7" t="str">
        <f t="shared" si="399"/>
        <v>Yes</v>
      </c>
      <c r="I459" s="54" t="s">
        <v>56</v>
      </c>
      <c r="J459" s="8">
        <v>1</v>
      </c>
      <c r="K459" s="8" t="s">
        <v>51</v>
      </c>
      <c r="L459" s="8" t="s">
        <v>52</v>
      </c>
      <c r="M459" s="8" t="s">
        <v>123</v>
      </c>
      <c r="N459" s="8">
        <v>1</v>
      </c>
      <c r="O459" s="8">
        <v>0</v>
      </c>
      <c r="P459" s="8">
        <v>0</v>
      </c>
      <c r="Q459" s="8" t="s">
        <v>65</v>
      </c>
      <c r="R459" s="15">
        <v>0.33</v>
      </c>
      <c r="S459" s="16">
        <v>0</v>
      </c>
      <c r="T459" s="8">
        <v>0</v>
      </c>
      <c r="U459" s="8">
        <v>1</v>
      </c>
      <c r="V459" s="8">
        <v>0</v>
      </c>
      <c r="W459" s="8">
        <v>1</v>
      </c>
      <c r="X459" s="8">
        <v>0</v>
      </c>
      <c r="Y459" s="8">
        <v>0</v>
      </c>
      <c r="Z459" s="8">
        <v>1</v>
      </c>
      <c r="AA459" s="8" t="s">
        <v>170</v>
      </c>
      <c r="AB459" s="8">
        <v>0</v>
      </c>
      <c r="AC459" s="8">
        <v>0</v>
      </c>
      <c r="AD459" s="8">
        <v>0</v>
      </c>
      <c r="AE459" s="8">
        <v>0</v>
      </c>
      <c r="AF459" s="8">
        <v>0</v>
      </c>
      <c r="AG459" s="8">
        <v>1</v>
      </c>
      <c r="AH459" s="8">
        <v>0</v>
      </c>
      <c r="AI459" s="8">
        <v>0</v>
      </c>
      <c r="AJ459" s="8">
        <v>0</v>
      </c>
      <c r="AK459" s="8">
        <v>0</v>
      </c>
      <c r="AL459" s="8">
        <v>0</v>
      </c>
      <c r="AM459" s="8">
        <v>0</v>
      </c>
      <c r="AN459" s="8">
        <v>0</v>
      </c>
      <c r="AO459" s="8">
        <v>0</v>
      </c>
      <c r="AP459" s="8">
        <v>0</v>
      </c>
      <c r="AQ459" s="8">
        <v>0</v>
      </c>
      <c r="AR459" s="8">
        <v>0</v>
      </c>
      <c r="AS459" s="8">
        <v>0</v>
      </c>
      <c r="AT459" s="8">
        <v>0</v>
      </c>
      <c r="AU459" s="8">
        <v>0</v>
      </c>
      <c r="AV459" s="8">
        <v>0</v>
      </c>
      <c r="AW459" s="8">
        <v>0</v>
      </c>
      <c r="AX459" s="8">
        <v>0</v>
      </c>
      <c r="AY459" s="8">
        <v>0</v>
      </c>
      <c r="AZ459" s="8">
        <v>0</v>
      </c>
      <c r="BA459" s="8">
        <v>0</v>
      </c>
      <c r="BB459" s="8">
        <v>0</v>
      </c>
      <c r="BC459" s="8">
        <v>0</v>
      </c>
      <c r="BD459" s="8">
        <v>0</v>
      </c>
      <c r="BE459" s="8">
        <v>0</v>
      </c>
      <c r="BF459" s="8">
        <v>0</v>
      </c>
      <c r="BG459" s="8">
        <v>0</v>
      </c>
      <c r="BH459" s="8">
        <v>0</v>
      </c>
      <c r="BI459" s="8">
        <v>0</v>
      </c>
      <c r="BJ459" s="8">
        <v>0</v>
      </c>
      <c r="BK459" s="8">
        <v>0</v>
      </c>
      <c r="BL459" s="8">
        <v>0</v>
      </c>
      <c r="BM459" s="8">
        <v>0</v>
      </c>
      <c r="BN459" s="8">
        <v>0</v>
      </c>
      <c r="BO459" s="8">
        <v>0</v>
      </c>
      <c r="BP459" s="8">
        <v>0</v>
      </c>
      <c r="BQ459" s="8">
        <v>0</v>
      </c>
      <c r="BR459" s="8">
        <v>0</v>
      </c>
      <c r="BS459" s="8">
        <f t="shared" si="526"/>
        <v>0</v>
      </c>
      <c r="BT459" s="8"/>
      <c r="BU459" s="2">
        <f t="shared" si="437"/>
        <v>0</v>
      </c>
      <c r="BV459" s="2">
        <f t="shared" si="403"/>
        <v>0</v>
      </c>
      <c r="BW459" s="2">
        <f t="shared" si="404"/>
        <v>0</v>
      </c>
      <c r="BX459" s="2">
        <f t="shared" si="407"/>
        <v>0</v>
      </c>
      <c r="BY459" s="2">
        <f t="shared" si="405"/>
        <v>0</v>
      </c>
      <c r="BZ459" s="2">
        <f t="shared" ref="BZ459:CA459" si="653">SUM(AQ459)</f>
        <v>0</v>
      </c>
      <c r="CA459" s="2">
        <f t="shared" si="653"/>
        <v>0</v>
      </c>
      <c r="CB459" s="2">
        <f t="shared" si="431"/>
        <v>0</v>
      </c>
    </row>
    <row r="460" spans="1:80" ht="15" customHeight="1" x14ac:dyDescent="0.2">
      <c r="A460" s="3" t="s">
        <v>169</v>
      </c>
      <c r="B460" s="10">
        <v>578</v>
      </c>
      <c r="C460" s="5">
        <v>1</v>
      </c>
      <c r="D460" s="10">
        <v>1</v>
      </c>
      <c r="E460" s="10">
        <v>0</v>
      </c>
      <c r="F460" s="10">
        <v>2019</v>
      </c>
      <c r="G460" s="10" t="s">
        <v>79</v>
      </c>
      <c r="H460" s="7" t="str">
        <f t="shared" si="399"/>
        <v>No</v>
      </c>
      <c r="I460" s="54" t="s">
        <v>55</v>
      </c>
      <c r="J460" s="8">
        <v>1</v>
      </c>
      <c r="K460" s="8" t="s">
        <v>51</v>
      </c>
      <c r="L460" s="8" t="s">
        <v>52</v>
      </c>
      <c r="M460" s="8" t="s">
        <v>123</v>
      </c>
      <c r="N460" s="8">
        <v>1</v>
      </c>
      <c r="O460" s="8">
        <v>0</v>
      </c>
      <c r="P460" s="8">
        <v>0</v>
      </c>
      <c r="Q460" s="8" t="s">
        <v>65</v>
      </c>
      <c r="R460" s="15">
        <v>0.33</v>
      </c>
      <c r="S460" s="16">
        <v>0</v>
      </c>
      <c r="T460" s="8">
        <v>0</v>
      </c>
      <c r="U460" s="8">
        <v>1</v>
      </c>
      <c r="V460" s="8">
        <v>0</v>
      </c>
      <c r="W460" s="8">
        <v>1</v>
      </c>
      <c r="X460" s="8">
        <v>0</v>
      </c>
      <c r="Y460" s="8">
        <v>0</v>
      </c>
      <c r="Z460" s="8">
        <v>1</v>
      </c>
      <c r="AA460" s="8" t="s">
        <v>170</v>
      </c>
      <c r="AB460" s="8">
        <v>0</v>
      </c>
      <c r="AC460" s="8">
        <v>0</v>
      </c>
      <c r="AD460" s="8">
        <v>0</v>
      </c>
      <c r="AE460" s="8">
        <v>0</v>
      </c>
      <c r="AF460" s="8">
        <v>0</v>
      </c>
      <c r="AG460" s="8">
        <v>1</v>
      </c>
      <c r="AH460" s="8">
        <v>0</v>
      </c>
      <c r="AI460" s="8">
        <v>0</v>
      </c>
      <c r="AJ460" s="8">
        <v>0</v>
      </c>
      <c r="AK460" s="8">
        <v>0</v>
      </c>
      <c r="AL460" s="8">
        <v>0</v>
      </c>
      <c r="AM460" s="8">
        <v>0</v>
      </c>
      <c r="AN460" s="8">
        <v>0</v>
      </c>
      <c r="AO460" s="8">
        <v>0</v>
      </c>
      <c r="AP460" s="8">
        <v>0</v>
      </c>
      <c r="AQ460" s="8">
        <v>0</v>
      </c>
      <c r="AR460" s="8">
        <v>0</v>
      </c>
      <c r="AS460" s="8">
        <v>0</v>
      </c>
      <c r="AT460" s="8">
        <v>0</v>
      </c>
      <c r="AU460" s="8">
        <v>0</v>
      </c>
      <c r="AV460" s="8">
        <v>0</v>
      </c>
      <c r="AW460" s="8">
        <v>0</v>
      </c>
      <c r="AX460" s="8">
        <v>0</v>
      </c>
      <c r="AY460" s="8">
        <v>0</v>
      </c>
      <c r="AZ460" s="8">
        <v>0</v>
      </c>
      <c r="BA460" s="8">
        <v>0</v>
      </c>
      <c r="BB460" s="8">
        <v>0</v>
      </c>
      <c r="BC460" s="8">
        <v>0</v>
      </c>
      <c r="BD460" s="8">
        <v>0</v>
      </c>
      <c r="BE460" s="8">
        <v>0</v>
      </c>
      <c r="BF460" s="8">
        <v>0</v>
      </c>
      <c r="BG460" s="8">
        <v>0</v>
      </c>
      <c r="BH460" s="8">
        <v>0</v>
      </c>
      <c r="BI460" s="8">
        <v>0</v>
      </c>
      <c r="BJ460" s="8">
        <v>0</v>
      </c>
      <c r="BK460" s="8">
        <v>0</v>
      </c>
      <c r="BL460" s="8">
        <v>0</v>
      </c>
      <c r="BM460" s="8">
        <v>0</v>
      </c>
      <c r="BN460" s="8">
        <v>0</v>
      </c>
      <c r="BO460" s="8">
        <v>0</v>
      </c>
      <c r="BP460" s="8">
        <v>0</v>
      </c>
      <c r="BQ460" s="8">
        <v>0</v>
      </c>
      <c r="BR460" s="8">
        <v>0</v>
      </c>
      <c r="BS460" s="8">
        <f t="shared" si="526"/>
        <v>0</v>
      </c>
      <c r="BT460" s="8"/>
      <c r="BU460" s="2">
        <f t="shared" si="437"/>
        <v>0</v>
      </c>
      <c r="BV460" s="2">
        <f t="shared" si="403"/>
        <v>0</v>
      </c>
      <c r="BW460" s="2">
        <f t="shared" si="404"/>
        <v>0</v>
      </c>
      <c r="BX460" s="2">
        <f t="shared" si="407"/>
        <v>0</v>
      </c>
      <c r="BY460" s="2">
        <f t="shared" si="405"/>
        <v>0</v>
      </c>
      <c r="BZ460" s="2">
        <f t="shared" ref="BZ460:CA460" si="654">SUM(AQ460)</f>
        <v>0</v>
      </c>
      <c r="CA460" s="2">
        <f t="shared" si="654"/>
        <v>0</v>
      </c>
      <c r="CB460" s="2">
        <f t="shared" si="431"/>
        <v>0</v>
      </c>
    </row>
    <row r="461" spans="1:80" ht="15" customHeight="1" x14ac:dyDescent="0.2">
      <c r="A461" s="3" t="s">
        <v>169</v>
      </c>
      <c r="B461" s="10">
        <v>578</v>
      </c>
      <c r="C461" s="5">
        <v>1</v>
      </c>
      <c r="D461" s="10">
        <v>1</v>
      </c>
      <c r="E461" s="10">
        <v>0</v>
      </c>
      <c r="F461" s="10">
        <v>2019</v>
      </c>
      <c r="G461" s="10" t="s">
        <v>80</v>
      </c>
      <c r="H461" s="7" t="str">
        <f t="shared" si="399"/>
        <v>No</v>
      </c>
      <c r="I461" s="54" t="s">
        <v>55</v>
      </c>
      <c r="J461" s="8">
        <v>1</v>
      </c>
      <c r="K461" s="8" t="s">
        <v>51</v>
      </c>
      <c r="L461" s="8" t="s">
        <v>52</v>
      </c>
      <c r="M461" s="8" t="s">
        <v>123</v>
      </c>
      <c r="N461" s="8">
        <v>1</v>
      </c>
      <c r="O461" s="8">
        <v>0</v>
      </c>
      <c r="P461" s="8">
        <v>0</v>
      </c>
      <c r="Q461" s="8" t="s">
        <v>65</v>
      </c>
      <c r="R461" s="15">
        <v>0.33</v>
      </c>
      <c r="S461" s="16">
        <v>0</v>
      </c>
      <c r="T461" s="8">
        <v>0</v>
      </c>
      <c r="U461" s="8">
        <v>1</v>
      </c>
      <c r="V461" s="8">
        <v>0</v>
      </c>
      <c r="W461" s="8">
        <v>1</v>
      </c>
      <c r="X461" s="8">
        <v>0</v>
      </c>
      <c r="Y461" s="8">
        <v>0</v>
      </c>
      <c r="Z461" s="8">
        <v>1</v>
      </c>
      <c r="AA461" s="8" t="s">
        <v>170</v>
      </c>
      <c r="AB461" s="8">
        <v>0</v>
      </c>
      <c r="AC461" s="8">
        <v>0</v>
      </c>
      <c r="AD461" s="8">
        <v>0</v>
      </c>
      <c r="AE461" s="8">
        <v>0</v>
      </c>
      <c r="AF461" s="8">
        <v>0</v>
      </c>
      <c r="AG461" s="8">
        <v>1</v>
      </c>
      <c r="AH461" s="8">
        <v>0</v>
      </c>
      <c r="AI461" s="8">
        <v>0</v>
      </c>
      <c r="AJ461" s="8">
        <v>0</v>
      </c>
      <c r="AK461" s="8">
        <v>0</v>
      </c>
      <c r="AL461" s="8">
        <v>0</v>
      </c>
      <c r="AM461" s="8">
        <v>0</v>
      </c>
      <c r="AN461" s="8">
        <v>0</v>
      </c>
      <c r="AO461" s="8">
        <v>0</v>
      </c>
      <c r="AP461" s="8">
        <v>0</v>
      </c>
      <c r="AQ461" s="8">
        <v>0</v>
      </c>
      <c r="AR461" s="8">
        <v>0</v>
      </c>
      <c r="AS461" s="8">
        <v>0</v>
      </c>
      <c r="AT461" s="8">
        <v>0</v>
      </c>
      <c r="AU461" s="8">
        <v>0</v>
      </c>
      <c r="AV461" s="8">
        <v>0</v>
      </c>
      <c r="AW461" s="8">
        <v>0</v>
      </c>
      <c r="AX461" s="8">
        <v>0</v>
      </c>
      <c r="AY461" s="8">
        <v>0</v>
      </c>
      <c r="AZ461" s="8">
        <v>0</v>
      </c>
      <c r="BA461" s="8">
        <v>0</v>
      </c>
      <c r="BB461" s="8">
        <v>0</v>
      </c>
      <c r="BC461" s="8">
        <v>0</v>
      </c>
      <c r="BD461" s="8">
        <v>0</v>
      </c>
      <c r="BE461" s="8">
        <v>0</v>
      </c>
      <c r="BF461" s="8">
        <v>0</v>
      </c>
      <c r="BG461" s="8">
        <v>0</v>
      </c>
      <c r="BH461" s="8">
        <v>0</v>
      </c>
      <c r="BI461" s="8">
        <v>0</v>
      </c>
      <c r="BJ461" s="8">
        <v>0</v>
      </c>
      <c r="BK461" s="8">
        <v>0</v>
      </c>
      <c r="BL461" s="8">
        <v>0</v>
      </c>
      <c r="BM461" s="8">
        <v>0</v>
      </c>
      <c r="BN461" s="8">
        <v>0</v>
      </c>
      <c r="BO461" s="8">
        <v>0</v>
      </c>
      <c r="BP461" s="8">
        <v>0</v>
      </c>
      <c r="BQ461" s="8">
        <v>0</v>
      </c>
      <c r="BR461" s="8">
        <v>0</v>
      </c>
      <c r="BS461" s="8">
        <f t="shared" si="526"/>
        <v>0</v>
      </c>
      <c r="BT461" s="8"/>
      <c r="BU461" s="2">
        <f t="shared" si="437"/>
        <v>0</v>
      </c>
      <c r="BV461" s="2">
        <f t="shared" si="403"/>
        <v>0</v>
      </c>
      <c r="BW461" s="2">
        <f t="shared" si="404"/>
        <v>0</v>
      </c>
      <c r="BX461" s="2">
        <f t="shared" si="407"/>
        <v>0</v>
      </c>
      <c r="BY461" s="2">
        <f t="shared" si="405"/>
        <v>0</v>
      </c>
      <c r="BZ461" s="2">
        <f t="shared" ref="BZ461:CA461" si="655">SUM(AQ461)</f>
        <v>0</v>
      </c>
      <c r="CA461" s="2">
        <f t="shared" si="655"/>
        <v>0</v>
      </c>
      <c r="CB461" s="2">
        <f t="shared" si="431"/>
        <v>0</v>
      </c>
    </row>
    <row r="462" spans="1:80" ht="16" x14ac:dyDescent="0.2">
      <c r="A462" s="3" t="s">
        <v>169</v>
      </c>
      <c r="B462" s="10">
        <v>578</v>
      </c>
      <c r="C462" s="5">
        <v>1</v>
      </c>
      <c r="D462" s="10">
        <v>1</v>
      </c>
      <c r="E462" s="10">
        <v>0</v>
      </c>
      <c r="F462" s="10">
        <v>2019</v>
      </c>
      <c r="G462" s="10">
        <v>2022</v>
      </c>
      <c r="H462" s="7" t="str">
        <f t="shared" si="399"/>
        <v>No</v>
      </c>
      <c r="I462" s="54" t="s">
        <v>55</v>
      </c>
      <c r="J462" s="8">
        <v>1</v>
      </c>
      <c r="K462" s="8" t="s">
        <v>51</v>
      </c>
      <c r="L462" s="8" t="s">
        <v>52</v>
      </c>
      <c r="M462" s="8" t="s">
        <v>123</v>
      </c>
      <c r="N462" s="8">
        <v>1</v>
      </c>
      <c r="O462" s="8">
        <v>0</v>
      </c>
      <c r="P462" s="8">
        <v>0</v>
      </c>
      <c r="Q462" s="8" t="s">
        <v>65</v>
      </c>
      <c r="R462" s="15">
        <v>0.33</v>
      </c>
      <c r="S462" s="16">
        <v>0</v>
      </c>
      <c r="T462" s="8">
        <v>0</v>
      </c>
      <c r="U462" s="8">
        <v>1</v>
      </c>
      <c r="V462" s="8">
        <v>0</v>
      </c>
      <c r="W462" s="8">
        <v>1</v>
      </c>
      <c r="X462" s="8">
        <v>0</v>
      </c>
      <c r="Y462" s="8">
        <v>0</v>
      </c>
      <c r="Z462" s="8">
        <v>1</v>
      </c>
      <c r="AA462" s="8" t="s">
        <v>170</v>
      </c>
      <c r="AB462" s="8">
        <v>0</v>
      </c>
      <c r="AC462" s="8">
        <v>0</v>
      </c>
      <c r="AD462" s="8">
        <v>0</v>
      </c>
      <c r="AE462" s="8">
        <v>0</v>
      </c>
      <c r="AF462" s="8">
        <v>0</v>
      </c>
      <c r="AG462" s="8">
        <v>1</v>
      </c>
      <c r="AH462" s="8">
        <v>0</v>
      </c>
      <c r="AI462" s="8">
        <v>0</v>
      </c>
      <c r="AJ462" s="8">
        <v>0</v>
      </c>
      <c r="AK462" s="8">
        <v>0</v>
      </c>
      <c r="AL462" s="8">
        <v>0</v>
      </c>
      <c r="AM462" s="8">
        <v>0</v>
      </c>
      <c r="AN462" s="8">
        <v>0</v>
      </c>
      <c r="AO462" s="8">
        <v>0</v>
      </c>
      <c r="AP462" s="8">
        <v>0</v>
      </c>
      <c r="AQ462" s="8">
        <v>0</v>
      </c>
      <c r="AR462" s="8">
        <v>0</v>
      </c>
      <c r="AS462" s="8">
        <v>0</v>
      </c>
      <c r="AT462" s="8">
        <v>0</v>
      </c>
      <c r="AU462" s="8">
        <v>0</v>
      </c>
      <c r="AV462" s="8">
        <v>0</v>
      </c>
      <c r="AW462" s="8">
        <v>0</v>
      </c>
      <c r="AX462" s="8">
        <v>0</v>
      </c>
      <c r="AY462" s="8">
        <v>0</v>
      </c>
      <c r="AZ462" s="8">
        <v>0</v>
      </c>
      <c r="BA462" s="8">
        <v>0</v>
      </c>
      <c r="BB462" s="8">
        <v>0</v>
      </c>
      <c r="BC462" s="8">
        <v>0</v>
      </c>
      <c r="BD462" s="8">
        <v>0</v>
      </c>
      <c r="BE462" s="8">
        <v>0</v>
      </c>
      <c r="BF462" s="8">
        <v>0</v>
      </c>
      <c r="BG462" s="8">
        <v>0</v>
      </c>
      <c r="BH462" s="8">
        <v>0</v>
      </c>
      <c r="BI462" s="8">
        <v>0</v>
      </c>
      <c r="BJ462" s="8">
        <v>0</v>
      </c>
      <c r="BK462" s="8">
        <v>0</v>
      </c>
      <c r="BL462" s="8">
        <v>0</v>
      </c>
      <c r="BM462" s="8">
        <v>0</v>
      </c>
      <c r="BN462" s="8">
        <v>0</v>
      </c>
      <c r="BO462" s="8">
        <v>0</v>
      </c>
      <c r="BP462" s="8">
        <v>0</v>
      </c>
      <c r="BQ462" s="8">
        <v>0</v>
      </c>
      <c r="BR462" s="8">
        <v>0</v>
      </c>
      <c r="BS462" s="8">
        <f t="shared" si="526"/>
        <v>0</v>
      </c>
      <c r="BT462" s="8"/>
      <c r="BU462" s="2">
        <f t="shared" si="437"/>
        <v>0</v>
      </c>
      <c r="BV462" s="2">
        <f t="shared" si="403"/>
        <v>0</v>
      </c>
      <c r="BW462" s="2">
        <f t="shared" si="404"/>
        <v>0</v>
      </c>
      <c r="BX462" s="2">
        <f t="shared" si="407"/>
        <v>0</v>
      </c>
      <c r="BY462" s="2">
        <f t="shared" si="405"/>
        <v>0</v>
      </c>
      <c r="BZ462" s="2">
        <f t="shared" ref="BZ462:CA462" si="656">SUM(AQ462)</f>
        <v>0</v>
      </c>
      <c r="CA462" s="2">
        <f t="shared" si="656"/>
        <v>0</v>
      </c>
      <c r="CB462" s="2">
        <f t="shared" si="431"/>
        <v>0</v>
      </c>
    </row>
    <row r="463" spans="1:80" ht="16" x14ac:dyDescent="0.2">
      <c r="A463" s="3" t="s">
        <v>169</v>
      </c>
      <c r="B463" s="10">
        <v>578</v>
      </c>
      <c r="C463" s="5">
        <v>1</v>
      </c>
      <c r="D463" s="10">
        <v>1</v>
      </c>
      <c r="E463" s="10">
        <v>0</v>
      </c>
      <c r="F463" s="10">
        <v>2019</v>
      </c>
      <c r="G463" s="10">
        <v>2023</v>
      </c>
      <c r="H463" s="7" t="str">
        <f>IF($I463="1", "Yes", "No")</f>
        <v>No</v>
      </c>
      <c r="I463" s="54" t="s">
        <v>55</v>
      </c>
      <c r="J463" s="8">
        <v>1</v>
      </c>
      <c r="K463" s="8" t="s">
        <v>51</v>
      </c>
      <c r="L463" s="8" t="s">
        <v>52</v>
      </c>
      <c r="M463" s="8" t="s">
        <v>123</v>
      </c>
      <c r="N463" s="8">
        <v>1</v>
      </c>
      <c r="O463" s="8">
        <v>0</v>
      </c>
      <c r="P463" s="8">
        <v>0</v>
      </c>
      <c r="Q463" s="8" t="s">
        <v>65</v>
      </c>
      <c r="R463" s="15">
        <v>0.33</v>
      </c>
      <c r="S463" s="16">
        <v>0</v>
      </c>
      <c r="T463" s="8">
        <v>0</v>
      </c>
      <c r="U463" s="8">
        <v>1</v>
      </c>
      <c r="V463" s="8">
        <v>0</v>
      </c>
      <c r="W463" s="8">
        <v>1</v>
      </c>
      <c r="X463" s="8">
        <v>0</v>
      </c>
      <c r="Y463" s="8">
        <v>0</v>
      </c>
      <c r="Z463" s="8">
        <v>1</v>
      </c>
      <c r="AA463" s="8" t="s">
        <v>170</v>
      </c>
      <c r="AB463" s="8">
        <v>0</v>
      </c>
      <c r="AC463" s="8">
        <v>0</v>
      </c>
      <c r="AD463" s="8">
        <v>0</v>
      </c>
      <c r="AE463" s="8">
        <v>0</v>
      </c>
      <c r="AF463" s="8">
        <v>0</v>
      </c>
      <c r="AG463" s="8">
        <v>1</v>
      </c>
      <c r="AH463" s="8">
        <v>0</v>
      </c>
      <c r="AI463" s="8">
        <v>0</v>
      </c>
      <c r="AJ463" s="8">
        <v>0</v>
      </c>
      <c r="AK463" s="8">
        <v>0</v>
      </c>
      <c r="AL463" s="8">
        <v>0</v>
      </c>
      <c r="AM463" s="8">
        <v>0</v>
      </c>
      <c r="AN463" s="8">
        <v>0</v>
      </c>
      <c r="AO463" s="8">
        <v>0</v>
      </c>
      <c r="AP463" s="8">
        <v>0</v>
      </c>
      <c r="AQ463" s="8">
        <v>0</v>
      </c>
      <c r="AR463" s="8">
        <v>0</v>
      </c>
      <c r="AS463" s="8">
        <v>0</v>
      </c>
      <c r="AT463" s="8">
        <v>0</v>
      </c>
      <c r="AU463" s="8">
        <v>0</v>
      </c>
      <c r="AV463" s="8">
        <v>0</v>
      </c>
      <c r="AW463" s="8">
        <v>0</v>
      </c>
      <c r="AX463" s="8">
        <v>0</v>
      </c>
      <c r="AY463" s="8">
        <v>0</v>
      </c>
      <c r="AZ463" s="8">
        <v>0</v>
      </c>
      <c r="BA463" s="8">
        <v>0</v>
      </c>
      <c r="BB463" s="8">
        <v>0</v>
      </c>
      <c r="BC463" s="8">
        <v>0</v>
      </c>
      <c r="BD463" s="8">
        <v>0</v>
      </c>
      <c r="BE463" s="8">
        <v>0</v>
      </c>
      <c r="BF463" s="8">
        <v>0</v>
      </c>
      <c r="BG463" s="8">
        <v>0</v>
      </c>
      <c r="BH463" s="8">
        <v>0</v>
      </c>
      <c r="BI463" s="8">
        <v>0</v>
      </c>
      <c r="BJ463" s="8">
        <v>0</v>
      </c>
      <c r="BK463" s="8">
        <v>0</v>
      </c>
      <c r="BL463" s="8">
        <v>0</v>
      </c>
      <c r="BM463" s="8">
        <v>0</v>
      </c>
      <c r="BN463" s="8">
        <v>0</v>
      </c>
      <c r="BO463" s="8">
        <v>0</v>
      </c>
      <c r="BP463" s="8">
        <v>0</v>
      </c>
      <c r="BQ463" s="8">
        <v>0</v>
      </c>
      <c r="BR463" s="8">
        <v>0</v>
      </c>
      <c r="BS463" s="8">
        <f>SUM(AI463:BR463)</f>
        <v>0</v>
      </c>
      <c r="BT463" s="8"/>
      <c r="BU463" s="2">
        <f>SUM(AI463,BK463)</f>
        <v>0</v>
      </c>
      <c r="BV463" s="2">
        <f>SUM(AK463, AL463, AM463,AJ463,BL463,BO463, AP463)</f>
        <v>0</v>
      </c>
      <c r="BW463" s="2">
        <f>SUM(AN463, AO463, AS463)</f>
        <v>0</v>
      </c>
      <c r="BX463" s="2">
        <f>SUM(AU463,AV463,AW463,AX463,AY463,AZ463,BA463,BB463,BC463,BD463,BE463,BF463,BG463,BH463,BI463,BJ463,BQ463,BR463,BM463)</f>
        <v>0</v>
      </c>
      <c r="BY463" s="2">
        <f>SUM(BP463, BN463)</f>
        <v>0</v>
      </c>
      <c r="BZ463" s="2">
        <f>SUM(AQ463)</f>
        <v>0</v>
      </c>
      <c r="CA463" s="2">
        <f>SUM(AR463)</f>
        <v>0</v>
      </c>
      <c r="CB463" s="2">
        <f>SUM(AT463)</f>
        <v>0</v>
      </c>
    </row>
    <row r="464" spans="1:80" ht="16" x14ac:dyDescent="0.2">
      <c r="A464" s="3" t="s">
        <v>171</v>
      </c>
      <c r="B464" s="10">
        <v>616</v>
      </c>
      <c r="C464" s="5">
        <v>1</v>
      </c>
      <c r="D464" s="10">
        <v>1</v>
      </c>
      <c r="E464" s="10">
        <v>0</v>
      </c>
      <c r="F464" s="10">
        <v>1920</v>
      </c>
      <c r="G464" s="10" t="s">
        <v>86</v>
      </c>
      <c r="H464" s="7" t="str">
        <f t="shared" si="399"/>
        <v>No</v>
      </c>
      <c r="I464" s="54" t="s">
        <v>55</v>
      </c>
      <c r="J464" s="8">
        <v>3</v>
      </c>
      <c r="K464" s="8" t="s">
        <v>63</v>
      </c>
      <c r="L464" s="8" t="s">
        <v>64</v>
      </c>
      <c r="M464" s="8" t="s">
        <v>64</v>
      </c>
      <c r="N464" s="8">
        <v>0</v>
      </c>
      <c r="O464" s="8">
        <v>0</v>
      </c>
      <c r="P464" s="8">
        <v>1</v>
      </c>
      <c r="Q464" s="8" t="s">
        <v>65</v>
      </c>
      <c r="R464" s="9">
        <v>0.5</v>
      </c>
      <c r="S464" s="8">
        <v>0</v>
      </c>
      <c r="T464" s="8">
        <v>0</v>
      </c>
      <c r="U464" s="8">
        <v>1</v>
      </c>
      <c r="V464" s="8">
        <v>0</v>
      </c>
      <c r="W464" s="8">
        <v>1</v>
      </c>
      <c r="X464" s="8">
        <v>0</v>
      </c>
      <c r="Y464" s="8">
        <v>0</v>
      </c>
      <c r="Z464" s="8">
        <v>0</v>
      </c>
      <c r="AA464" s="8" t="s">
        <v>112</v>
      </c>
      <c r="AB464" s="8">
        <v>0</v>
      </c>
      <c r="AC464" s="8">
        <v>0</v>
      </c>
      <c r="AD464" s="8">
        <v>0</v>
      </c>
      <c r="AE464" s="8">
        <v>1</v>
      </c>
      <c r="AF464" s="8">
        <v>0</v>
      </c>
      <c r="AG464" s="8">
        <v>1</v>
      </c>
      <c r="AH464" s="8">
        <v>0</v>
      </c>
      <c r="AI464" s="8">
        <v>0</v>
      </c>
      <c r="AJ464" s="8">
        <v>0</v>
      </c>
      <c r="AK464" s="8">
        <v>0</v>
      </c>
      <c r="AL464" s="8">
        <v>1</v>
      </c>
      <c r="AM464" s="8">
        <v>0</v>
      </c>
      <c r="AN464" s="8">
        <v>0</v>
      </c>
      <c r="AO464" s="8">
        <v>0</v>
      </c>
      <c r="AP464" s="8">
        <v>0</v>
      </c>
      <c r="AQ464" s="8">
        <v>0</v>
      </c>
      <c r="AR464" s="8">
        <v>0</v>
      </c>
      <c r="AS464" s="8">
        <v>0</v>
      </c>
      <c r="AT464" s="8">
        <v>0</v>
      </c>
      <c r="AU464" s="8">
        <v>0</v>
      </c>
      <c r="AV464" s="8">
        <v>0</v>
      </c>
      <c r="AW464" s="8">
        <v>0</v>
      </c>
      <c r="AX464" s="8">
        <v>0</v>
      </c>
      <c r="AY464" s="8">
        <v>0</v>
      </c>
      <c r="AZ464" s="8">
        <v>0</v>
      </c>
      <c r="BA464" s="8">
        <v>0</v>
      </c>
      <c r="BB464" s="8">
        <v>0</v>
      </c>
      <c r="BC464" s="8">
        <v>0</v>
      </c>
      <c r="BD464" s="8">
        <v>0</v>
      </c>
      <c r="BE464" s="8">
        <v>0</v>
      </c>
      <c r="BF464" s="8">
        <v>0</v>
      </c>
      <c r="BG464" s="8">
        <v>0</v>
      </c>
      <c r="BH464" s="8">
        <v>0</v>
      </c>
      <c r="BI464" s="8">
        <v>0</v>
      </c>
      <c r="BJ464" s="8">
        <v>0</v>
      </c>
      <c r="BK464" s="8">
        <v>0</v>
      </c>
      <c r="BL464" s="8">
        <v>0</v>
      </c>
      <c r="BM464" s="8">
        <v>0</v>
      </c>
      <c r="BN464" s="8">
        <v>0</v>
      </c>
      <c r="BO464" s="8">
        <v>0</v>
      </c>
      <c r="BP464" s="8">
        <v>0</v>
      </c>
      <c r="BQ464" s="8">
        <v>0</v>
      </c>
      <c r="BR464" s="8">
        <v>0</v>
      </c>
      <c r="BS464" s="8">
        <f t="shared" si="526"/>
        <v>1</v>
      </c>
      <c r="BT464" s="8"/>
      <c r="BU464" s="2">
        <f t="shared" si="437"/>
        <v>0</v>
      </c>
      <c r="BV464" s="2">
        <f t="shared" si="403"/>
        <v>1</v>
      </c>
      <c r="BW464" s="2">
        <f t="shared" si="404"/>
        <v>0</v>
      </c>
      <c r="BX464" s="2">
        <f t="shared" si="407"/>
        <v>0</v>
      </c>
      <c r="BY464" s="2">
        <f t="shared" si="405"/>
        <v>0</v>
      </c>
      <c r="BZ464" s="2">
        <f t="shared" ref="BZ464:CA464" si="657">SUM(AQ464)</f>
        <v>0</v>
      </c>
      <c r="CA464" s="2">
        <f t="shared" si="657"/>
        <v>0</v>
      </c>
      <c r="CB464" s="2">
        <f t="shared" si="431"/>
        <v>0</v>
      </c>
    </row>
    <row r="465" spans="1:80" ht="16" x14ac:dyDescent="0.2">
      <c r="A465" s="3" t="s">
        <v>171</v>
      </c>
      <c r="B465" s="10">
        <v>616</v>
      </c>
      <c r="C465" s="5">
        <v>1</v>
      </c>
      <c r="D465" s="10">
        <v>1</v>
      </c>
      <c r="E465" s="10">
        <v>0</v>
      </c>
      <c r="F465" s="10">
        <v>1920</v>
      </c>
      <c r="G465" s="10" t="s">
        <v>90</v>
      </c>
      <c r="H465" s="7" t="str">
        <f t="shared" si="399"/>
        <v>No</v>
      </c>
      <c r="I465" s="54" t="s">
        <v>55</v>
      </c>
      <c r="J465" s="8">
        <v>3</v>
      </c>
      <c r="K465" s="8" t="s">
        <v>63</v>
      </c>
      <c r="L465" s="8" t="s">
        <v>64</v>
      </c>
      <c r="M465" s="8" t="s">
        <v>64</v>
      </c>
      <c r="N465" s="8">
        <v>0</v>
      </c>
      <c r="O465" s="8">
        <v>0</v>
      </c>
      <c r="P465" s="8">
        <v>1</v>
      </c>
      <c r="Q465" s="8" t="s">
        <v>65</v>
      </c>
      <c r="R465" s="9">
        <v>0.5</v>
      </c>
      <c r="S465" s="8">
        <v>0</v>
      </c>
      <c r="T465" s="8">
        <v>0</v>
      </c>
      <c r="U465" s="8">
        <v>1</v>
      </c>
      <c r="V465" s="8">
        <v>0</v>
      </c>
      <c r="W465" s="8">
        <v>1</v>
      </c>
      <c r="X465" s="8">
        <v>0</v>
      </c>
      <c r="Y465" s="8">
        <v>0</v>
      </c>
      <c r="Z465" s="8">
        <v>0</v>
      </c>
      <c r="AA465" s="8" t="s">
        <v>112</v>
      </c>
      <c r="AB465" s="8">
        <v>0</v>
      </c>
      <c r="AC465" s="8">
        <v>0</v>
      </c>
      <c r="AD465" s="8">
        <v>0</v>
      </c>
      <c r="AE465" s="8">
        <v>1</v>
      </c>
      <c r="AF465" s="8">
        <v>0</v>
      </c>
      <c r="AG465" s="8">
        <v>1</v>
      </c>
      <c r="AH465" s="8">
        <v>0</v>
      </c>
      <c r="AI465" s="8">
        <v>0</v>
      </c>
      <c r="AJ465" s="8">
        <v>0</v>
      </c>
      <c r="AK465" s="8">
        <v>0</v>
      </c>
      <c r="AL465" s="8">
        <v>1</v>
      </c>
      <c r="AM465" s="8">
        <v>0</v>
      </c>
      <c r="AN465" s="8">
        <v>0</v>
      </c>
      <c r="AO465" s="8">
        <v>0</v>
      </c>
      <c r="AP465" s="8">
        <v>0</v>
      </c>
      <c r="AQ465" s="8">
        <v>0</v>
      </c>
      <c r="AR465" s="8">
        <v>0</v>
      </c>
      <c r="AS465" s="8">
        <v>0</v>
      </c>
      <c r="AT465" s="8">
        <v>0</v>
      </c>
      <c r="AU465" s="8">
        <v>0</v>
      </c>
      <c r="AV465" s="8">
        <v>0</v>
      </c>
      <c r="AW465" s="8">
        <v>0</v>
      </c>
      <c r="AX465" s="8">
        <v>0</v>
      </c>
      <c r="AY465" s="8">
        <v>0</v>
      </c>
      <c r="AZ465" s="8">
        <v>0</v>
      </c>
      <c r="BA465" s="8">
        <v>0</v>
      </c>
      <c r="BB465" s="8">
        <v>0</v>
      </c>
      <c r="BC465" s="8">
        <v>0</v>
      </c>
      <c r="BD465" s="8">
        <v>0</v>
      </c>
      <c r="BE465" s="8">
        <v>0</v>
      </c>
      <c r="BF465" s="8">
        <v>0</v>
      </c>
      <c r="BG465" s="8">
        <v>0</v>
      </c>
      <c r="BH465" s="8">
        <v>0</v>
      </c>
      <c r="BI465" s="8">
        <v>0</v>
      </c>
      <c r="BJ465" s="8">
        <v>0</v>
      </c>
      <c r="BK465" s="8">
        <v>0</v>
      </c>
      <c r="BL465" s="8">
        <v>0</v>
      </c>
      <c r="BM465" s="8">
        <v>0</v>
      </c>
      <c r="BN465" s="8">
        <v>0</v>
      </c>
      <c r="BO465" s="8">
        <v>0</v>
      </c>
      <c r="BP465" s="8">
        <v>0</v>
      </c>
      <c r="BQ465" s="8">
        <v>0</v>
      </c>
      <c r="BR465" s="8">
        <v>0</v>
      </c>
      <c r="BS465" s="8">
        <f t="shared" si="526"/>
        <v>1</v>
      </c>
      <c r="BT465" s="8"/>
      <c r="BU465" s="2">
        <f t="shared" si="437"/>
        <v>0</v>
      </c>
      <c r="BV465" s="2">
        <f t="shared" si="403"/>
        <v>1</v>
      </c>
      <c r="BW465" s="2">
        <f t="shared" si="404"/>
        <v>0</v>
      </c>
      <c r="BX465" s="2">
        <f t="shared" si="407"/>
        <v>0</v>
      </c>
      <c r="BY465" s="2">
        <f t="shared" si="405"/>
        <v>0</v>
      </c>
      <c r="BZ465" s="2">
        <f t="shared" ref="BZ465:CA465" si="658">SUM(AQ465)</f>
        <v>0</v>
      </c>
      <c r="CA465" s="2">
        <f t="shared" si="658"/>
        <v>0</v>
      </c>
      <c r="CB465" s="2">
        <f t="shared" si="431"/>
        <v>0</v>
      </c>
    </row>
    <row r="466" spans="1:80" ht="16" x14ac:dyDescent="0.2">
      <c r="A466" s="3" t="s">
        <v>171</v>
      </c>
      <c r="B466" s="10">
        <v>616</v>
      </c>
      <c r="C466" s="5">
        <v>1</v>
      </c>
      <c r="D466" s="10">
        <v>1</v>
      </c>
      <c r="E466" s="10">
        <v>0</v>
      </c>
      <c r="F466" s="10">
        <v>1920</v>
      </c>
      <c r="G466" s="10" t="s">
        <v>91</v>
      </c>
      <c r="H466" s="7" t="str">
        <f t="shared" si="399"/>
        <v>No</v>
      </c>
      <c r="I466" s="54" t="s">
        <v>55</v>
      </c>
      <c r="J466" s="8">
        <v>3</v>
      </c>
      <c r="K466" s="8" t="s">
        <v>63</v>
      </c>
      <c r="L466" s="8" t="s">
        <v>64</v>
      </c>
      <c r="M466" s="8" t="s">
        <v>64</v>
      </c>
      <c r="N466" s="8">
        <v>0</v>
      </c>
      <c r="O466" s="8">
        <v>0</v>
      </c>
      <c r="P466" s="8">
        <v>1</v>
      </c>
      <c r="Q466" s="8" t="s">
        <v>65</v>
      </c>
      <c r="R466" s="9">
        <v>0.5</v>
      </c>
      <c r="S466" s="8">
        <v>0</v>
      </c>
      <c r="T466" s="8">
        <v>0</v>
      </c>
      <c r="U466" s="8">
        <v>1</v>
      </c>
      <c r="V466" s="8">
        <v>0</v>
      </c>
      <c r="W466" s="8">
        <v>1</v>
      </c>
      <c r="X466" s="8">
        <v>0</v>
      </c>
      <c r="Y466" s="8">
        <v>0</v>
      </c>
      <c r="Z466" s="8">
        <v>0</v>
      </c>
      <c r="AA466" s="8" t="s">
        <v>112</v>
      </c>
      <c r="AB466" s="8">
        <v>0</v>
      </c>
      <c r="AC466" s="8">
        <v>0</v>
      </c>
      <c r="AD466" s="8">
        <v>0</v>
      </c>
      <c r="AE466" s="8">
        <v>1</v>
      </c>
      <c r="AF466" s="8">
        <v>0</v>
      </c>
      <c r="AG466" s="8">
        <v>1</v>
      </c>
      <c r="AH466" s="8">
        <v>0</v>
      </c>
      <c r="AI466" s="8">
        <v>0</v>
      </c>
      <c r="AJ466" s="8">
        <v>0</v>
      </c>
      <c r="AK466" s="8">
        <v>0</v>
      </c>
      <c r="AL466" s="8">
        <v>1</v>
      </c>
      <c r="AM466" s="8">
        <v>0</v>
      </c>
      <c r="AN466" s="8">
        <v>0</v>
      </c>
      <c r="AO466" s="8">
        <v>0</v>
      </c>
      <c r="AP466" s="8">
        <v>0</v>
      </c>
      <c r="AQ466" s="8">
        <v>0</v>
      </c>
      <c r="AR466" s="8">
        <v>0</v>
      </c>
      <c r="AS466" s="8">
        <v>0</v>
      </c>
      <c r="AT466" s="8">
        <v>0</v>
      </c>
      <c r="AU466" s="8">
        <v>0</v>
      </c>
      <c r="AV466" s="8">
        <v>0</v>
      </c>
      <c r="AW466" s="8">
        <v>0</v>
      </c>
      <c r="AX466" s="8">
        <v>0</v>
      </c>
      <c r="AY466" s="8">
        <v>0</v>
      </c>
      <c r="AZ466" s="8">
        <v>0</v>
      </c>
      <c r="BA466" s="8">
        <v>0</v>
      </c>
      <c r="BB466" s="8">
        <v>0</v>
      </c>
      <c r="BC466" s="8">
        <v>0</v>
      </c>
      <c r="BD466" s="8">
        <v>0</v>
      </c>
      <c r="BE466" s="8">
        <v>0</v>
      </c>
      <c r="BF466" s="8">
        <v>0</v>
      </c>
      <c r="BG466" s="8">
        <v>0</v>
      </c>
      <c r="BH466" s="8">
        <v>0</v>
      </c>
      <c r="BI466" s="8">
        <v>0</v>
      </c>
      <c r="BJ466" s="8">
        <v>0</v>
      </c>
      <c r="BK466" s="8">
        <v>0</v>
      </c>
      <c r="BL466" s="8">
        <v>0</v>
      </c>
      <c r="BM466" s="8">
        <v>0</v>
      </c>
      <c r="BN466" s="8">
        <v>0</v>
      </c>
      <c r="BO466" s="8">
        <v>0</v>
      </c>
      <c r="BP466" s="8">
        <v>0</v>
      </c>
      <c r="BQ466" s="8">
        <v>0</v>
      </c>
      <c r="BR466" s="8">
        <v>0</v>
      </c>
      <c r="BS466" s="8">
        <f t="shared" si="526"/>
        <v>1</v>
      </c>
      <c r="BT466" s="8"/>
      <c r="BU466" s="2">
        <f t="shared" si="437"/>
        <v>0</v>
      </c>
      <c r="BV466" s="2">
        <f t="shared" si="403"/>
        <v>1</v>
      </c>
      <c r="BW466" s="2">
        <f t="shared" si="404"/>
        <v>0</v>
      </c>
      <c r="BX466" s="2">
        <f t="shared" si="407"/>
        <v>0</v>
      </c>
      <c r="BY466" s="2">
        <f t="shared" si="405"/>
        <v>0</v>
      </c>
      <c r="BZ466" s="2">
        <f t="shared" ref="BZ466:CA466" si="659">SUM(AQ466)</f>
        <v>0</v>
      </c>
      <c r="CA466" s="2">
        <f t="shared" si="659"/>
        <v>0</v>
      </c>
      <c r="CB466" s="2">
        <f t="shared" si="431"/>
        <v>0</v>
      </c>
    </row>
    <row r="467" spans="1:80" ht="16" x14ac:dyDescent="0.2">
      <c r="A467" s="3" t="s">
        <v>171</v>
      </c>
      <c r="B467" s="10">
        <v>616</v>
      </c>
      <c r="C467" s="5">
        <v>1</v>
      </c>
      <c r="D467" s="10">
        <v>1</v>
      </c>
      <c r="E467" s="10">
        <v>0</v>
      </c>
      <c r="F467" s="10">
        <v>1920</v>
      </c>
      <c r="G467" s="10" t="s">
        <v>93</v>
      </c>
      <c r="H467" s="7" t="str">
        <f t="shared" si="399"/>
        <v>No</v>
      </c>
      <c r="I467" s="54" t="s">
        <v>55</v>
      </c>
      <c r="J467" s="8">
        <v>3</v>
      </c>
      <c r="K467" s="8" t="s">
        <v>63</v>
      </c>
      <c r="L467" s="8" t="s">
        <v>64</v>
      </c>
      <c r="M467" s="8" t="s">
        <v>64</v>
      </c>
      <c r="N467" s="8">
        <v>0</v>
      </c>
      <c r="O467" s="8">
        <v>0</v>
      </c>
      <c r="P467" s="8">
        <v>1</v>
      </c>
      <c r="Q467" s="8" t="s">
        <v>65</v>
      </c>
      <c r="R467" s="9">
        <v>0.5</v>
      </c>
      <c r="S467" s="8">
        <v>0</v>
      </c>
      <c r="T467" s="8">
        <v>0</v>
      </c>
      <c r="U467" s="8">
        <v>1</v>
      </c>
      <c r="V467" s="8">
        <v>0</v>
      </c>
      <c r="W467" s="8">
        <v>1</v>
      </c>
      <c r="X467" s="8">
        <v>0</v>
      </c>
      <c r="Y467" s="8">
        <v>0</v>
      </c>
      <c r="Z467" s="8">
        <v>0</v>
      </c>
      <c r="AA467" s="8" t="s">
        <v>112</v>
      </c>
      <c r="AB467" s="8">
        <v>0</v>
      </c>
      <c r="AC467" s="8">
        <v>0</v>
      </c>
      <c r="AD467" s="8">
        <v>0</v>
      </c>
      <c r="AE467" s="8">
        <v>1</v>
      </c>
      <c r="AF467" s="8">
        <v>0</v>
      </c>
      <c r="AG467" s="8">
        <v>1</v>
      </c>
      <c r="AH467" s="8">
        <v>0</v>
      </c>
      <c r="AI467" s="8">
        <v>0</v>
      </c>
      <c r="AJ467" s="8">
        <v>0</v>
      </c>
      <c r="AK467" s="8">
        <v>0</v>
      </c>
      <c r="AL467" s="8">
        <v>1</v>
      </c>
      <c r="AM467" s="8">
        <v>0</v>
      </c>
      <c r="AN467" s="8">
        <v>0</v>
      </c>
      <c r="AO467" s="8">
        <v>0</v>
      </c>
      <c r="AP467" s="8">
        <v>0</v>
      </c>
      <c r="AQ467" s="8">
        <v>0</v>
      </c>
      <c r="AR467" s="8">
        <v>0</v>
      </c>
      <c r="AS467" s="8">
        <v>0</v>
      </c>
      <c r="AT467" s="8">
        <v>0</v>
      </c>
      <c r="AU467" s="8">
        <v>0</v>
      </c>
      <c r="AV467" s="8">
        <v>0</v>
      </c>
      <c r="AW467" s="8">
        <v>0</v>
      </c>
      <c r="AX467" s="8">
        <v>0</v>
      </c>
      <c r="AY467" s="8">
        <v>0</v>
      </c>
      <c r="AZ467" s="8">
        <v>0</v>
      </c>
      <c r="BA467" s="8">
        <v>0</v>
      </c>
      <c r="BB467" s="8">
        <v>0</v>
      </c>
      <c r="BC467" s="8">
        <v>0</v>
      </c>
      <c r="BD467" s="8">
        <v>0</v>
      </c>
      <c r="BE467" s="8">
        <v>0</v>
      </c>
      <c r="BF467" s="8">
        <v>0</v>
      </c>
      <c r="BG467" s="8">
        <v>0</v>
      </c>
      <c r="BH467" s="8">
        <v>0</v>
      </c>
      <c r="BI467" s="8">
        <v>0</v>
      </c>
      <c r="BJ467" s="8">
        <v>0</v>
      </c>
      <c r="BK467" s="8">
        <v>0</v>
      </c>
      <c r="BL467" s="8">
        <v>0</v>
      </c>
      <c r="BM467" s="8">
        <v>0</v>
      </c>
      <c r="BN467" s="8">
        <v>0</v>
      </c>
      <c r="BO467" s="8">
        <v>0</v>
      </c>
      <c r="BP467" s="8">
        <v>0</v>
      </c>
      <c r="BQ467" s="8">
        <v>0</v>
      </c>
      <c r="BR467" s="8">
        <v>0</v>
      </c>
      <c r="BS467" s="8">
        <f t="shared" si="526"/>
        <v>1</v>
      </c>
      <c r="BT467" s="8"/>
      <c r="BU467" s="2">
        <f t="shared" si="437"/>
        <v>0</v>
      </c>
      <c r="BV467" s="2">
        <f t="shared" si="403"/>
        <v>1</v>
      </c>
      <c r="BW467" s="2">
        <f t="shared" si="404"/>
        <v>0</v>
      </c>
      <c r="BX467" s="2">
        <f t="shared" si="407"/>
        <v>0</v>
      </c>
      <c r="BY467" s="2">
        <f t="shared" si="405"/>
        <v>0</v>
      </c>
      <c r="BZ467" s="2">
        <f t="shared" ref="BZ467:CA467" si="660">SUM(AQ467)</f>
        <v>0</v>
      </c>
      <c r="CA467" s="2">
        <f t="shared" si="660"/>
        <v>0</v>
      </c>
      <c r="CB467" s="2">
        <f t="shared" si="431"/>
        <v>0</v>
      </c>
    </row>
    <row r="468" spans="1:80" ht="16" x14ac:dyDescent="0.2">
      <c r="A468" s="3" t="s">
        <v>171</v>
      </c>
      <c r="B468" s="10">
        <v>616</v>
      </c>
      <c r="C468" s="5">
        <v>1</v>
      </c>
      <c r="D468" s="10">
        <v>1</v>
      </c>
      <c r="E468" s="10">
        <v>0</v>
      </c>
      <c r="F468" s="10">
        <v>1920</v>
      </c>
      <c r="G468" s="10" t="s">
        <v>70</v>
      </c>
      <c r="H468" s="7" t="str">
        <f t="shared" si="399"/>
        <v>No</v>
      </c>
      <c r="I468" s="54" t="s">
        <v>55</v>
      </c>
      <c r="J468" s="8">
        <v>3</v>
      </c>
      <c r="K468" s="8" t="s">
        <v>63</v>
      </c>
      <c r="L468" s="8" t="s">
        <v>64</v>
      </c>
      <c r="M468" s="8" t="s">
        <v>64</v>
      </c>
      <c r="N468" s="8">
        <v>0</v>
      </c>
      <c r="O468" s="8">
        <v>0</v>
      </c>
      <c r="P468" s="8">
        <v>1</v>
      </c>
      <c r="Q468" s="8" t="s">
        <v>65</v>
      </c>
      <c r="R468" s="9">
        <v>0.5</v>
      </c>
      <c r="S468" s="8">
        <v>0</v>
      </c>
      <c r="T468" s="8">
        <v>0</v>
      </c>
      <c r="U468" s="8">
        <v>1</v>
      </c>
      <c r="V468" s="8">
        <v>0</v>
      </c>
      <c r="W468" s="8">
        <v>1</v>
      </c>
      <c r="X468" s="8">
        <v>0</v>
      </c>
      <c r="Y468" s="8">
        <v>0</v>
      </c>
      <c r="Z468" s="8">
        <v>0</v>
      </c>
      <c r="AA468" s="8" t="s">
        <v>112</v>
      </c>
      <c r="AB468" s="8">
        <v>0</v>
      </c>
      <c r="AC468" s="8">
        <v>0</v>
      </c>
      <c r="AD468" s="8">
        <v>0</v>
      </c>
      <c r="AE468" s="8">
        <v>1</v>
      </c>
      <c r="AF468" s="8">
        <v>0</v>
      </c>
      <c r="AG468" s="8">
        <v>1</v>
      </c>
      <c r="AH468" s="8">
        <v>0</v>
      </c>
      <c r="AI468" s="8">
        <v>0</v>
      </c>
      <c r="AJ468" s="8">
        <v>0</v>
      </c>
      <c r="AK468" s="8">
        <v>0</v>
      </c>
      <c r="AL468" s="8">
        <v>1</v>
      </c>
      <c r="AM468" s="8">
        <v>0</v>
      </c>
      <c r="AN468" s="8">
        <v>0</v>
      </c>
      <c r="AO468" s="8">
        <v>0</v>
      </c>
      <c r="AP468" s="8">
        <v>0</v>
      </c>
      <c r="AQ468" s="8">
        <v>0</v>
      </c>
      <c r="AR468" s="8">
        <v>0</v>
      </c>
      <c r="AS468" s="8">
        <v>0</v>
      </c>
      <c r="AT468" s="8">
        <v>0</v>
      </c>
      <c r="AU468" s="8">
        <v>0</v>
      </c>
      <c r="AV468" s="8">
        <v>0</v>
      </c>
      <c r="AW468" s="8">
        <v>0</v>
      </c>
      <c r="AX468" s="8">
        <v>0</v>
      </c>
      <c r="AY468" s="8">
        <v>0</v>
      </c>
      <c r="AZ468" s="8">
        <v>0</v>
      </c>
      <c r="BA468" s="8">
        <v>0</v>
      </c>
      <c r="BB468" s="8">
        <v>0</v>
      </c>
      <c r="BC468" s="8">
        <v>0</v>
      </c>
      <c r="BD468" s="8">
        <v>0</v>
      </c>
      <c r="BE468" s="8">
        <v>0</v>
      </c>
      <c r="BF468" s="8">
        <v>0</v>
      </c>
      <c r="BG468" s="8">
        <v>0</v>
      </c>
      <c r="BH468" s="8">
        <v>0</v>
      </c>
      <c r="BI468" s="8">
        <v>0</v>
      </c>
      <c r="BJ468" s="8">
        <v>0</v>
      </c>
      <c r="BK468" s="8">
        <v>0</v>
      </c>
      <c r="BL468" s="8">
        <v>0</v>
      </c>
      <c r="BM468" s="8">
        <v>0</v>
      </c>
      <c r="BN468" s="8">
        <v>0</v>
      </c>
      <c r="BO468" s="8">
        <v>0</v>
      </c>
      <c r="BP468" s="8">
        <v>0</v>
      </c>
      <c r="BQ468" s="8">
        <v>0</v>
      </c>
      <c r="BR468" s="8">
        <v>0</v>
      </c>
      <c r="BS468" s="8">
        <f t="shared" si="526"/>
        <v>1</v>
      </c>
      <c r="BT468" s="8"/>
      <c r="BU468" s="2">
        <f t="shared" si="437"/>
        <v>0</v>
      </c>
      <c r="BV468" s="2">
        <f t="shared" si="403"/>
        <v>1</v>
      </c>
      <c r="BW468" s="2">
        <f t="shared" si="404"/>
        <v>0</v>
      </c>
      <c r="BX468" s="2">
        <f t="shared" si="407"/>
        <v>0</v>
      </c>
      <c r="BY468" s="2">
        <f t="shared" si="405"/>
        <v>0</v>
      </c>
      <c r="BZ468" s="2">
        <f t="shared" ref="BZ468:CA468" si="661">SUM(AQ468)</f>
        <v>0</v>
      </c>
      <c r="CA468" s="2">
        <f t="shared" si="661"/>
        <v>0</v>
      </c>
      <c r="CB468" s="2">
        <f t="shared" si="431"/>
        <v>0</v>
      </c>
    </row>
    <row r="469" spans="1:80" ht="16" x14ac:dyDescent="0.2">
      <c r="A469" s="3" t="s">
        <v>171</v>
      </c>
      <c r="B469" s="10">
        <v>616</v>
      </c>
      <c r="C469" s="5">
        <v>1</v>
      </c>
      <c r="D469" s="10">
        <v>1</v>
      </c>
      <c r="E469" s="10">
        <v>0</v>
      </c>
      <c r="F469" s="10">
        <v>1920</v>
      </c>
      <c r="G469" s="10" t="s">
        <v>71</v>
      </c>
      <c r="H469" s="7" t="str">
        <f t="shared" si="399"/>
        <v>No</v>
      </c>
      <c r="I469" s="54" t="s">
        <v>55</v>
      </c>
      <c r="J469" s="8">
        <v>3</v>
      </c>
      <c r="K469" s="8" t="s">
        <v>63</v>
      </c>
      <c r="L469" s="8" t="s">
        <v>64</v>
      </c>
      <c r="M469" s="8" t="s">
        <v>64</v>
      </c>
      <c r="N469" s="8">
        <v>0</v>
      </c>
      <c r="O469" s="8">
        <v>0</v>
      </c>
      <c r="P469" s="8">
        <v>1</v>
      </c>
      <c r="Q469" s="8" t="s">
        <v>65</v>
      </c>
      <c r="R469" s="9">
        <v>0.5</v>
      </c>
      <c r="S469" s="8">
        <v>0</v>
      </c>
      <c r="T469" s="8">
        <v>0</v>
      </c>
      <c r="U469" s="8">
        <v>1</v>
      </c>
      <c r="V469" s="8">
        <v>0</v>
      </c>
      <c r="W469" s="8">
        <v>1</v>
      </c>
      <c r="X469" s="8">
        <v>0</v>
      </c>
      <c r="Y469" s="8">
        <v>0</v>
      </c>
      <c r="Z469" s="8">
        <v>0</v>
      </c>
      <c r="AA469" s="8" t="s">
        <v>112</v>
      </c>
      <c r="AB469" s="8">
        <v>0</v>
      </c>
      <c r="AC469" s="8">
        <v>0</v>
      </c>
      <c r="AD469" s="8">
        <v>0</v>
      </c>
      <c r="AE469" s="8">
        <v>1</v>
      </c>
      <c r="AF469" s="8">
        <v>0</v>
      </c>
      <c r="AG469" s="8">
        <v>1</v>
      </c>
      <c r="AH469" s="8">
        <v>0</v>
      </c>
      <c r="AI469" s="8">
        <v>0</v>
      </c>
      <c r="AJ469" s="8">
        <v>0</v>
      </c>
      <c r="AK469" s="8">
        <v>0</v>
      </c>
      <c r="AL469" s="8">
        <v>1</v>
      </c>
      <c r="AM469" s="8">
        <v>0</v>
      </c>
      <c r="AN469" s="8">
        <v>0</v>
      </c>
      <c r="AO469" s="8">
        <v>0</v>
      </c>
      <c r="AP469" s="8">
        <v>0</v>
      </c>
      <c r="AQ469" s="8">
        <v>0</v>
      </c>
      <c r="AR469" s="8">
        <v>0</v>
      </c>
      <c r="AS469" s="8">
        <v>0</v>
      </c>
      <c r="AT469" s="8">
        <v>0</v>
      </c>
      <c r="AU469" s="8">
        <v>0</v>
      </c>
      <c r="AV469" s="8">
        <v>0</v>
      </c>
      <c r="AW469" s="8">
        <v>0</v>
      </c>
      <c r="AX469" s="8">
        <v>0</v>
      </c>
      <c r="AY469" s="8">
        <v>0</v>
      </c>
      <c r="AZ469" s="8">
        <v>0</v>
      </c>
      <c r="BA469" s="8">
        <v>0</v>
      </c>
      <c r="BB469" s="8">
        <v>0</v>
      </c>
      <c r="BC469" s="8">
        <v>0</v>
      </c>
      <c r="BD469" s="8">
        <v>0</v>
      </c>
      <c r="BE469" s="8">
        <v>0</v>
      </c>
      <c r="BF469" s="8">
        <v>0</v>
      </c>
      <c r="BG469" s="8">
        <v>0</v>
      </c>
      <c r="BH469" s="8">
        <v>0</v>
      </c>
      <c r="BI469" s="8">
        <v>0</v>
      </c>
      <c r="BJ469" s="8">
        <v>0</v>
      </c>
      <c r="BK469" s="8">
        <v>0</v>
      </c>
      <c r="BL469" s="8">
        <v>0</v>
      </c>
      <c r="BM469" s="8">
        <v>0</v>
      </c>
      <c r="BN469" s="8">
        <v>0</v>
      </c>
      <c r="BO469" s="8">
        <v>0</v>
      </c>
      <c r="BP469" s="8">
        <v>0</v>
      </c>
      <c r="BQ469" s="8">
        <v>0</v>
      </c>
      <c r="BR469" s="8">
        <v>0</v>
      </c>
      <c r="BS469" s="8">
        <f t="shared" si="526"/>
        <v>1</v>
      </c>
      <c r="BT469" s="8"/>
      <c r="BU469" s="2">
        <f t="shared" si="437"/>
        <v>0</v>
      </c>
      <c r="BV469" s="2">
        <f t="shared" si="403"/>
        <v>1</v>
      </c>
      <c r="BW469" s="2">
        <f t="shared" si="404"/>
        <v>0</v>
      </c>
      <c r="BX469" s="2">
        <f t="shared" si="407"/>
        <v>0</v>
      </c>
      <c r="BY469" s="2">
        <f t="shared" si="405"/>
        <v>0</v>
      </c>
      <c r="BZ469" s="2">
        <f t="shared" ref="BZ469:CA469" si="662">SUM(AQ469)</f>
        <v>0</v>
      </c>
      <c r="CA469" s="2">
        <f t="shared" si="662"/>
        <v>0</v>
      </c>
      <c r="CB469" s="2">
        <f t="shared" si="431"/>
        <v>0</v>
      </c>
    </row>
    <row r="470" spans="1:80" ht="16" x14ac:dyDescent="0.2">
      <c r="A470" s="3" t="s">
        <v>171</v>
      </c>
      <c r="B470" s="10">
        <v>616</v>
      </c>
      <c r="C470" s="5">
        <v>1</v>
      </c>
      <c r="D470" s="10">
        <v>1</v>
      </c>
      <c r="E470" s="10">
        <v>0</v>
      </c>
      <c r="F470" s="10">
        <v>1920</v>
      </c>
      <c r="G470" s="10" t="s">
        <v>72</v>
      </c>
      <c r="H470" s="7" t="str">
        <f t="shared" si="399"/>
        <v>No</v>
      </c>
      <c r="I470" s="54" t="s">
        <v>55</v>
      </c>
      <c r="J470" s="8">
        <v>3</v>
      </c>
      <c r="K470" s="8" t="s">
        <v>63</v>
      </c>
      <c r="L470" s="8" t="s">
        <v>64</v>
      </c>
      <c r="M470" s="8" t="s">
        <v>64</v>
      </c>
      <c r="N470" s="8">
        <v>0</v>
      </c>
      <c r="O470" s="8">
        <v>0</v>
      </c>
      <c r="P470" s="8">
        <v>1</v>
      </c>
      <c r="Q470" s="8" t="s">
        <v>65</v>
      </c>
      <c r="R470" s="9">
        <v>0.5</v>
      </c>
      <c r="S470" s="8">
        <v>0</v>
      </c>
      <c r="T470" s="8">
        <v>0</v>
      </c>
      <c r="U470" s="8">
        <v>1</v>
      </c>
      <c r="V470" s="8">
        <v>0</v>
      </c>
      <c r="W470" s="8">
        <v>1</v>
      </c>
      <c r="X470" s="8">
        <v>0</v>
      </c>
      <c r="Y470" s="8">
        <v>0</v>
      </c>
      <c r="Z470" s="8">
        <v>0</v>
      </c>
      <c r="AA470" s="8" t="s">
        <v>112</v>
      </c>
      <c r="AB470" s="8">
        <v>0</v>
      </c>
      <c r="AC470" s="8">
        <v>0</v>
      </c>
      <c r="AD470" s="8">
        <v>0</v>
      </c>
      <c r="AE470" s="8">
        <v>1</v>
      </c>
      <c r="AF470" s="8">
        <v>0</v>
      </c>
      <c r="AG470" s="8">
        <v>1</v>
      </c>
      <c r="AH470" s="8">
        <v>0</v>
      </c>
      <c r="AI470" s="8">
        <v>0</v>
      </c>
      <c r="AJ470" s="8">
        <v>0</v>
      </c>
      <c r="AK470" s="8">
        <v>0</v>
      </c>
      <c r="AL470" s="8">
        <v>1</v>
      </c>
      <c r="AM470" s="8">
        <v>0</v>
      </c>
      <c r="AN470" s="8">
        <v>0</v>
      </c>
      <c r="AO470" s="8">
        <v>0</v>
      </c>
      <c r="AP470" s="8">
        <v>0</v>
      </c>
      <c r="AQ470" s="8">
        <v>0</v>
      </c>
      <c r="AR470" s="8">
        <v>0</v>
      </c>
      <c r="AS470" s="8">
        <v>0</v>
      </c>
      <c r="AT470" s="8">
        <v>0</v>
      </c>
      <c r="AU470" s="8">
        <v>0</v>
      </c>
      <c r="AV470" s="8">
        <v>0</v>
      </c>
      <c r="AW470" s="8">
        <v>0</v>
      </c>
      <c r="AX470" s="8">
        <v>0</v>
      </c>
      <c r="AY470" s="8">
        <v>0</v>
      </c>
      <c r="AZ470" s="8">
        <v>0</v>
      </c>
      <c r="BA470" s="8">
        <v>0</v>
      </c>
      <c r="BB470" s="8">
        <v>0</v>
      </c>
      <c r="BC470" s="8">
        <v>0</v>
      </c>
      <c r="BD470" s="8">
        <v>0</v>
      </c>
      <c r="BE470" s="8">
        <v>0</v>
      </c>
      <c r="BF470" s="8">
        <v>0</v>
      </c>
      <c r="BG470" s="8">
        <v>0</v>
      </c>
      <c r="BH470" s="8">
        <v>0</v>
      </c>
      <c r="BI470" s="8">
        <v>0</v>
      </c>
      <c r="BJ470" s="8">
        <v>0</v>
      </c>
      <c r="BK470" s="8">
        <v>0</v>
      </c>
      <c r="BL470" s="8">
        <v>0</v>
      </c>
      <c r="BM470" s="8">
        <v>0</v>
      </c>
      <c r="BN470" s="8">
        <v>0</v>
      </c>
      <c r="BO470" s="8">
        <v>0</v>
      </c>
      <c r="BP470" s="8">
        <v>0</v>
      </c>
      <c r="BQ470" s="8">
        <v>0</v>
      </c>
      <c r="BR470" s="8">
        <v>0</v>
      </c>
      <c r="BS470" s="8">
        <f t="shared" si="526"/>
        <v>1</v>
      </c>
      <c r="BT470" s="8"/>
      <c r="BU470" s="2">
        <f t="shared" si="437"/>
        <v>0</v>
      </c>
      <c r="BV470" s="2">
        <f t="shared" si="403"/>
        <v>1</v>
      </c>
      <c r="BW470" s="2">
        <f t="shared" si="404"/>
        <v>0</v>
      </c>
      <c r="BX470" s="2">
        <f t="shared" si="407"/>
        <v>0</v>
      </c>
      <c r="BY470" s="2">
        <f t="shared" si="405"/>
        <v>0</v>
      </c>
      <c r="BZ470" s="2">
        <f t="shared" ref="BZ470:CA470" si="663">SUM(AQ470)</f>
        <v>0</v>
      </c>
      <c r="CA470" s="2">
        <f t="shared" si="663"/>
        <v>0</v>
      </c>
      <c r="CB470" s="2">
        <f t="shared" si="431"/>
        <v>0</v>
      </c>
    </row>
    <row r="471" spans="1:80" ht="16" x14ac:dyDescent="0.2">
      <c r="A471" s="3" t="s">
        <v>171</v>
      </c>
      <c r="B471" s="10">
        <v>616</v>
      </c>
      <c r="C471" s="5">
        <v>1</v>
      </c>
      <c r="D471" s="10">
        <v>1</v>
      </c>
      <c r="E471" s="10">
        <v>0</v>
      </c>
      <c r="F471" s="10">
        <v>1920</v>
      </c>
      <c r="G471" s="10" t="s">
        <v>73</v>
      </c>
      <c r="H471" s="7" t="str">
        <f t="shared" si="399"/>
        <v>No</v>
      </c>
      <c r="I471" s="54" t="s">
        <v>55</v>
      </c>
      <c r="J471" s="8">
        <v>3</v>
      </c>
      <c r="K471" s="8" t="s">
        <v>63</v>
      </c>
      <c r="L471" s="8" t="s">
        <v>64</v>
      </c>
      <c r="M471" s="8" t="s">
        <v>64</v>
      </c>
      <c r="N471" s="8">
        <v>0</v>
      </c>
      <c r="O471" s="8">
        <v>0</v>
      </c>
      <c r="P471" s="8">
        <v>1</v>
      </c>
      <c r="Q471" s="8" t="s">
        <v>65</v>
      </c>
      <c r="R471" s="9">
        <v>0.5</v>
      </c>
      <c r="S471" s="8">
        <v>0</v>
      </c>
      <c r="T471" s="8">
        <v>0</v>
      </c>
      <c r="U471" s="8">
        <v>1</v>
      </c>
      <c r="V471" s="8">
        <v>0</v>
      </c>
      <c r="W471" s="8">
        <v>1</v>
      </c>
      <c r="X471" s="8">
        <v>0</v>
      </c>
      <c r="Y471" s="8">
        <v>0</v>
      </c>
      <c r="Z471" s="8">
        <v>0</v>
      </c>
      <c r="AA471" s="8" t="s">
        <v>112</v>
      </c>
      <c r="AB471" s="8">
        <v>0</v>
      </c>
      <c r="AC471" s="8">
        <v>0</v>
      </c>
      <c r="AD471" s="8">
        <v>0</v>
      </c>
      <c r="AE471" s="8">
        <v>1</v>
      </c>
      <c r="AF471" s="8">
        <v>0</v>
      </c>
      <c r="AG471" s="8">
        <v>1</v>
      </c>
      <c r="AH471" s="8">
        <v>0</v>
      </c>
      <c r="AI471" s="8">
        <v>0</v>
      </c>
      <c r="AJ471" s="8">
        <v>0</v>
      </c>
      <c r="AK471" s="8">
        <v>0</v>
      </c>
      <c r="AL471" s="8">
        <v>1</v>
      </c>
      <c r="AM471" s="8">
        <v>0</v>
      </c>
      <c r="AN471" s="8">
        <v>0</v>
      </c>
      <c r="AO471" s="8">
        <v>0</v>
      </c>
      <c r="AP471" s="8">
        <v>0</v>
      </c>
      <c r="AQ471" s="8">
        <v>0</v>
      </c>
      <c r="AR471" s="8">
        <v>0</v>
      </c>
      <c r="AS471" s="8">
        <v>0</v>
      </c>
      <c r="AT471" s="8">
        <v>0</v>
      </c>
      <c r="AU471" s="8">
        <v>0</v>
      </c>
      <c r="AV471" s="8">
        <v>0</v>
      </c>
      <c r="AW471" s="8">
        <v>0</v>
      </c>
      <c r="AX471" s="8">
        <v>0</v>
      </c>
      <c r="AY471" s="8">
        <v>0</v>
      </c>
      <c r="AZ471" s="8">
        <v>0</v>
      </c>
      <c r="BA471" s="8">
        <v>0</v>
      </c>
      <c r="BB471" s="8">
        <v>0</v>
      </c>
      <c r="BC471" s="8">
        <v>0</v>
      </c>
      <c r="BD471" s="8">
        <v>0</v>
      </c>
      <c r="BE471" s="8">
        <v>0</v>
      </c>
      <c r="BF471" s="8">
        <v>0</v>
      </c>
      <c r="BG471" s="8">
        <v>0</v>
      </c>
      <c r="BH471" s="8">
        <v>0</v>
      </c>
      <c r="BI471" s="8">
        <v>0</v>
      </c>
      <c r="BJ471" s="8">
        <v>0</v>
      </c>
      <c r="BK471" s="8">
        <v>0</v>
      </c>
      <c r="BL471" s="8">
        <v>0</v>
      </c>
      <c r="BM471" s="8">
        <v>0</v>
      </c>
      <c r="BN471" s="8">
        <v>0</v>
      </c>
      <c r="BO471" s="8">
        <v>0</v>
      </c>
      <c r="BP471" s="8">
        <v>0</v>
      </c>
      <c r="BQ471" s="8">
        <v>0</v>
      </c>
      <c r="BR471" s="8">
        <v>0</v>
      </c>
      <c r="BS471" s="8">
        <f t="shared" si="526"/>
        <v>1</v>
      </c>
      <c r="BT471" s="8"/>
      <c r="BU471" s="2">
        <f t="shared" si="437"/>
        <v>0</v>
      </c>
      <c r="BV471" s="2">
        <f t="shared" si="403"/>
        <v>1</v>
      </c>
      <c r="BW471" s="2">
        <f t="shared" si="404"/>
        <v>0</v>
      </c>
      <c r="BX471" s="2">
        <f t="shared" si="407"/>
        <v>0</v>
      </c>
      <c r="BY471" s="2">
        <f t="shared" si="405"/>
        <v>0</v>
      </c>
      <c r="BZ471" s="2">
        <f t="shared" ref="BZ471:CA471" si="664">SUM(AQ471)</f>
        <v>0</v>
      </c>
      <c r="CA471" s="2">
        <f t="shared" si="664"/>
        <v>0</v>
      </c>
      <c r="CB471" s="2">
        <f t="shared" si="431"/>
        <v>0</v>
      </c>
    </row>
    <row r="472" spans="1:80" ht="16" x14ac:dyDescent="0.2">
      <c r="A472" s="3" t="s">
        <v>171</v>
      </c>
      <c r="B472" s="10">
        <v>616</v>
      </c>
      <c r="C472" s="5">
        <v>1</v>
      </c>
      <c r="D472" s="10">
        <v>1</v>
      </c>
      <c r="E472" s="10">
        <v>0</v>
      </c>
      <c r="F472" s="10">
        <v>1920</v>
      </c>
      <c r="G472" s="10" t="s">
        <v>74</v>
      </c>
      <c r="H472" s="7" t="str">
        <f t="shared" si="399"/>
        <v>Yes</v>
      </c>
      <c r="I472" s="54" t="s">
        <v>56</v>
      </c>
      <c r="J472" s="8">
        <v>5</v>
      </c>
      <c r="K472" s="8" t="s">
        <v>63</v>
      </c>
      <c r="L472" s="8" t="s">
        <v>64</v>
      </c>
      <c r="M472" s="8" t="s">
        <v>64</v>
      </c>
      <c r="N472" s="8">
        <v>1</v>
      </c>
      <c r="O472" s="8">
        <v>0</v>
      </c>
      <c r="P472" s="8">
        <v>1</v>
      </c>
      <c r="Q472" s="8" t="s">
        <v>67</v>
      </c>
      <c r="R472" s="9">
        <v>0.2</v>
      </c>
      <c r="S472" s="8">
        <v>1</v>
      </c>
      <c r="T472" s="8">
        <v>0</v>
      </c>
      <c r="U472" s="8">
        <v>1</v>
      </c>
      <c r="V472" s="8">
        <v>1</v>
      </c>
      <c r="W472" s="8">
        <v>1</v>
      </c>
      <c r="X472" s="8">
        <v>0</v>
      </c>
      <c r="Y472" s="8">
        <v>1</v>
      </c>
      <c r="Z472" s="8">
        <v>1</v>
      </c>
      <c r="AA472" s="8" t="s">
        <v>112</v>
      </c>
      <c r="AB472" s="8">
        <v>1</v>
      </c>
      <c r="AC472" s="8">
        <v>0</v>
      </c>
      <c r="AD472" s="8">
        <v>0</v>
      </c>
      <c r="AE472" s="8">
        <v>1</v>
      </c>
      <c r="AF472" s="8">
        <v>0</v>
      </c>
      <c r="AG472" s="8">
        <v>1</v>
      </c>
      <c r="AH472" s="8">
        <v>0</v>
      </c>
      <c r="AI472" s="8">
        <v>1</v>
      </c>
      <c r="AJ472" s="8">
        <v>1</v>
      </c>
      <c r="AK472" s="8">
        <v>0</v>
      </c>
      <c r="AL472" s="8">
        <v>1</v>
      </c>
      <c r="AM472" s="8">
        <v>1</v>
      </c>
      <c r="AN472" s="8">
        <v>0</v>
      </c>
      <c r="AO472" s="8">
        <v>0</v>
      </c>
      <c r="AP472" s="8">
        <v>0</v>
      </c>
      <c r="AQ472" s="8">
        <v>0</v>
      </c>
      <c r="AR472" s="8">
        <v>0</v>
      </c>
      <c r="AS472" s="8">
        <v>0</v>
      </c>
      <c r="AT472" s="8">
        <v>0</v>
      </c>
      <c r="AU472" s="8">
        <v>0</v>
      </c>
      <c r="AV472" s="8">
        <v>0</v>
      </c>
      <c r="AW472" s="8">
        <v>0</v>
      </c>
      <c r="AX472" s="8">
        <v>0</v>
      </c>
      <c r="AY472" s="8">
        <v>0</v>
      </c>
      <c r="AZ472" s="8">
        <v>0</v>
      </c>
      <c r="BA472" s="8">
        <v>0</v>
      </c>
      <c r="BB472" s="8">
        <v>0</v>
      </c>
      <c r="BC472" s="8">
        <v>0</v>
      </c>
      <c r="BD472" s="8">
        <v>0</v>
      </c>
      <c r="BE472" s="8">
        <v>0</v>
      </c>
      <c r="BF472" s="8">
        <v>0</v>
      </c>
      <c r="BG472" s="8">
        <v>0</v>
      </c>
      <c r="BH472" s="8">
        <v>0</v>
      </c>
      <c r="BI472" s="8">
        <v>0</v>
      </c>
      <c r="BJ472" s="8">
        <v>0</v>
      </c>
      <c r="BK472" s="8">
        <v>1</v>
      </c>
      <c r="BL472" s="8">
        <v>1</v>
      </c>
      <c r="BM472" s="8">
        <v>0</v>
      </c>
      <c r="BN472" s="8">
        <v>0</v>
      </c>
      <c r="BO472" s="8">
        <v>1</v>
      </c>
      <c r="BP472" s="8">
        <v>0</v>
      </c>
      <c r="BQ472" s="8">
        <v>0</v>
      </c>
      <c r="BR472" s="8">
        <v>0</v>
      </c>
      <c r="BS472" s="8">
        <f t="shared" si="526"/>
        <v>7</v>
      </c>
      <c r="BT472" s="8"/>
      <c r="BU472" s="2">
        <f t="shared" si="437"/>
        <v>2</v>
      </c>
      <c r="BV472" s="2">
        <f t="shared" si="403"/>
        <v>5</v>
      </c>
      <c r="BW472" s="2">
        <f t="shared" si="404"/>
        <v>0</v>
      </c>
      <c r="BX472" s="2">
        <f t="shared" si="407"/>
        <v>0</v>
      </c>
      <c r="BY472" s="2">
        <f t="shared" si="405"/>
        <v>0</v>
      </c>
      <c r="BZ472" s="2">
        <f t="shared" ref="BZ472" si="665">SUM(AQ472)</f>
        <v>0</v>
      </c>
      <c r="CA472" s="2">
        <v>1</v>
      </c>
      <c r="CB472" s="2">
        <f t="shared" si="431"/>
        <v>0</v>
      </c>
    </row>
    <row r="473" spans="1:80" ht="16" x14ac:dyDescent="0.2">
      <c r="A473" s="3" t="s">
        <v>171</v>
      </c>
      <c r="B473" s="10">
        <v>616</v>
      </c>
      <c r="C473" s="5">
        <v>1</v>
      </c>
      <c r="D473" s="10">
        <v>1</v>
      </c>
      <c r="E473" s="10">
        <v>0</v>
      </c>
      <c r="F473" s="10">
        <v>1920</v>
      </c>
      <c r="G473" s="10" t="s">
        <v>75</v>
      </c>
      <c r="H473" s="7" t="str">
        <f t="shared" si="399"/>
        <v>No</v>
      </c>
      <c r="I473" s="54" t="s">
        <v>55</v>
      </c>
      <c r="J473" s="8">
        <v>5</v>
      </c>
      <c r="K473" s="8" t="s">
        <v>63</v>
      </c>
      <c r="L473" s="8" t="s">
        <v>64</v>
      </c>
      <c r="M473" s="8" t="s">
        <v>64</v>
      </c>
      <c r="N473" s="8">
        <v>1</v>
      </c>
      <c r="O473" s="8">
        <v>0</v>
      </c>
      <c r="P473" s="8">
        <v>1</v>
      </c>
      <c r="Q473" s="8" t="s">
        <v>67</v>
      </c>
      <c r="R473" s="9">
        <v>0.2</v>
      </c>
      <c r="S473" s="8">
        <v>1</v>
      </c>
      <c r="T473" s="8">
        <v>0</v>
      </c>
      <c r="U473" s="8">
        <v>1</v>
      </c>
      <c r="V473" s="8">
        <v>1</v>
      </c>
      <c r="W473" s="8">
        <v>1</v>
      </c>
      <c r="X473" s="8">
        <v>0</v>
      </c>
      <c r="Y473" s="8">
        <v>1</v>
      </c>
      <c r="Z473" s="8">
        <v>1</v>
      </c>
      <c r="AA473" s="8" t="s">
        <v>112</v>
      </c>
      <c r="AB473" s="8">
        <v>1</v>
      </c>
      <c r="AC473" s="8">
        <v>0</v>
      </c>
      <c r="AD473" s="8">
        <v>0</v>
      </c>
      <c r="AE473" s="8">
        <v>1</v>
      </c>
      <c r="AF473" s="8">
        <v>0</v>
      </c>
      <c r="AG473" s="8">
        <v>1</v>
      </c>
      <c r="AH473" s="8">
        <v>0</v>
      </c>
      <c r="AI473" s="8">
        <v>1</v>
      </c>
      <c r="AJ473" s="8">
        <v>1</v>
      </c>
      <c r="AK473" s="8">
        <v>0</v>
      </c>
      <c r="AL473" s="8">
        <v>1</v>
      </c>
      <c r="AM473" s="8">
        <v>1</v>
      </c>
      <c r="AN473" s="8">
        <v>0</v>
      </c>
      <c r="AO473" s="8">
        <v>0</v>
      </c>
      <c r="AP473" s="8">
        <v>0</v>
      </c>
      <c r="AQ473" s="8">
        <v>0</v>
      </c>
      <c r="AR473" s="8">
        <v>0</v>
      </c>
      <c r="AS473" s="8">
        <v>0</v>
      </c>
      <c r="AT473" s="8">
        <v>0</v>
      </c>
      <c r="AU473" s="8">
        <v>0</v>
      </c>
      <c r="AV473" s="8">
        <v>0</v>
      </c>
      <c r="AW473" s="8">
        <v>0</v>
      </c>
      <c r="AX473" s="8">
        <v>0</v>
      </c>
      <c r="AY473" s="8">
        <v>0</v>
      </c>
      <c r="AZ473" s="8">
        <v>0</v>
      </c>
      <c r="BA473" s="8">
        <v>0</v>
      </c>
      <c r="BB473" s="8">
        <v>0</v>
      </c>
      <c r="BC473" s="8">
        <v>0</v>
      </c>
      <c r="BD473" s="8">
        <v>0</v>
      </c>
      <c r="BE473" s="8">
        <v>0</v>
      </c>
      <c r="BF473" s="8">
        <v>0</v>
      </c>
      <c r="BG473" s="8">
        <v>0</v>
      </c>
      <c r="BH473" s="8">
        <v>0</v>
      </c>
      <c r="BI473" s="8">
        <v>0</v>
      </c>
      <c r="BJ473" s="8">
        <v>0</v>
      </c>
      <c r="BK473" s="8">
        <v>1</v>
      </c>
      <c r="BL473" s="8">
        <v>1</v>
      </c>
      <c r="BM473" s="8">
        <v>0</v>
      </c>
      <c r="BN473" s="8">
        <v>0</v>
      </c>
      <c r="BO473" s="8">
        <v>1</v>
      </c>
      <c r="BP473" s="8">
        <v>0</v>
      </c>
      <c r="BQ473" s="8">
        <v>0</v>
      </c>
      <c r="BR473" s="8">
        <v>0</v>
      </c>
      <c r="BS473" s="8">
        <f t="shared" si="526"/>
        <v>7</v>
      </c>
      <c r="BT473" s="8"/>
      <c r="BU473" s="2">
        <f t="shared" si="437"/>
        <v>2</v>
      </c>
      <c r="BV473" s="2">
        <f t="shared" si="403"/>
        <v>5</v>
      </c>
      <c r="BW473" s="2">
        <f t="shared" si="404"/>
        <v>0</v>
      </c>
      <c r="BX473" s="2">
        <f t="shared" si="407"/>
        <v>0</v>
      </c>
      <c r="BY473" s="2">
        <f t="shared" si="405"/>
        <v>0</v>
      </c>
      <c r="BZ473" s="2">
        <f t="shared" ref="BZ473" si="666">SUM(AQ473)</f>
        <v>0</v>
      </c>
      <c r="CA473" s="2">
        <v>1</v>
      </c>
      <c r="CB473" s="2">
        <f t="shared" si="431"/>
        <v>0</v>
      </c>
    </row>
    <row r="474" spans="1:80" ht="16" x14ac:dyDescent="0.2">
      <c r="A474" s="3" t="s">
        <v>171</v>
      </c>
      <c r="B474" s="10">
        <v>616</v>
      </c>
      <c r="C474" s="5">
        <v>1</v>
      </c>
      <c r="D474" s="10">
        <v>1</v>
      </c>
      <c r="E474" s="10">
        <v>0</v>
      </c>
      <c r="F474" s="10">
        <v>1920</v>
      </c>
      <c r="G474" s="10" t="s">
        <v>76</v>
      </c>
      <c r="H474" s="7" t="str">
        <f t="shared" si="399"/>
        <v>No</v>
      </c>
      <c r="I474" s="54" t="s">
        <v>55</v>
      </c>
      <c r="J474" s="8">
        <v>5</v>
      </c>
      <c r="K474" s="8" t="s">
        <v>63</v>
      </c>
      <c r="L474" s="8" t="s">
        <v>64</v>
      </c>
      <c r="M474" s="8" t="s">
        <v>64</v>
      </c>
      <c r="N474" s="8">
        <v>1</v>
      </c>
      <c r="O474" s="8">
        <v>0</v>
      </c>
      <c r="P474" s="8">
        <v>1</v>
      </c>
      <c r="Q474" s="8" t="s">
        <v>67</v>
      </c>
      <c r="R474" s="9">
        <v>0.2</v>
      </c>
      <c r="S474" s="8">
        <v>1</v>
      </c>
      <c r="T474" s="8">
        <v>0</v>
      </c>
      <c r="U474" s="8">
        <v>1</v>
      </c>
      <c r="V474" s="8">
        <v>1</v>
      </c>
      <c r="W474" s="8">
        <v>1</v>
      </c>
      <c r="X474" s="8">
        <v>0</v>
      </c>
      <c r="Y474" s="8">
        <v>1</v>
      </c>
      <c r="Z474" s="8">
        <v>1</v>
      </c>
      <c r="AA474" s="8" t="s">
        <v>112</v>
      </c>
      <c r="AB474" s="8">
        <v>1</v>
      </c>
      <c r="AC474" s="8">
        <v>0</v>
      </c>
      <c r="AD474" s="8">
        <v>0</v>
      </c>
      <c r="AE474" s="8">
        <v>1</v>
      </c>
      <c r="AF474" s="8">
        <v>0</v>
      </c>
      <c r="AG474" s="8">
        <v>1</v>
      </c>
      <c r="AH474" s="8">
        <v>0</v>
      </c>
      <c r="AI474" s="8">
        <v>1</v>
      </c>
      <c r="AJ474" s="8">
        <v>1</v>
      </c>
      <c r="AK474" s="8">
        <v>0</v>
      </c>
      <c r="AL474" s="8">
        <v>1</v>
      </c>
      <c r="AM474" s="8">
        <v>1</v>
      </c>
      <c r="AN474" s="8">
        <v>0</v>
      </c>
      <c r="AO474" s="8">
        <v>0</v>
      </c>
      <c r="AP474" s="8">
        <v>0</v>
      </c>
      <c r="AQ474" s="8">
        <v>0</v>
      </c>
      <c r="AR474" s="8">
        <v>0</v>
      </c>
      <c r="AS474" s="8">
        <v>0</v>
      </c>
      <c r="AT474" s="8">
        <v>0</v>
      </c>
      <c r="AU474" s="8">
        <v>0</v>
      </c>
      <c r="AV474" s="8">
        <v>0</v>
      </c>
      <c r="AW474" s="8">
        <v>0</v>
      </c>
      <c r="AX474" s="8">
        <v>0</v>
      </c>
      <c r="AY474" s="8">
        <v>0</v>
      </c>
      <c r="AZ474" s="8">
        <v>0</v>
      </c>
      <c r="BA474" s="8">
        <v>0</v>
      </c>
      <c r="BB474" s="8">
        <v>0</v>
      </c>
      <c r="BC474" s="8">
        <v>0</v>
      </c>
      <c r="BD474" s="8">
        <v>0</v>
      </c>
      <c r="BE474" s="8">
        <v>0</v>
      </c>
      <c r="BF474" s="8">
        <v>0</v>
      </c>
      <c r="BG474" s="8">
        <v>0</v>
      </c>
      <c r="BH474" s="8">
        <v>0</v>
      </c>
      <c r="BI474" s="8">
        <v>0</v>
      </c>
      <c r="BJ474" s="8">
        <v>0</v>
      </c>
      <c r="BK474" s="8">
        <v>1</v>
      </c>
      <c r="BL474" s="8">
        <v>1</v>
      </c>
      <c r="BM474" s="8">
        <v>0</v>
      </c>
      <c r="BN474" s="8">
        <v>0</v>
      </c>
      <c r="BO474" s="8">
        <v>1</v>
      </c>
      <c r="BP474" s="8">
        <v>0</v>
      </c>
      <c r="BQ474" s="8">
        <v>0</v>
      </c>
      <c r="BR474" s="8">
        <v>0</v>
      </c>
      <c r="BS474" s="8">
        <f t="shared" si="526"/>
        <v>7</v>
      </c>
      <c r="BT474" s="8"/>
      <c r="BU474" s="2">
        <f t="shared" si="437"/>
        <v>2</v>
      </c>
      <c r="BV474" s="2">
        <f t="shared" si="403"/>
        <v>5</v>
      </c>
      <c r="BW474" s="2">
        <f t="shared" si="404"/>
        <v>0</v>
      </c>
      <c r="BX474" s="2">
        <f t="shared" si="407"/>
        <v>0</v>
      </c>
      <c r="BY474" s="2">
        <f t="shared" si="405"/>
        <v>0</v>
      </c>
      <c r="BZ474" s="2">
        <f t="shared" ref="BZ474" si="667">SUM(AQ474)</f>
        <v>0</v>
      </c>
      <c r="CA474" s="2">
        <v>1</v>
      </c>
      <c r="CB474" s="2">
        <f t="shared" si="431"/>
        <v>0</v>
      </c>
    </row>
    <row r="475" spans="1:80" ht="16" x14ac:dyDescent="0.2">
      <c r="A475" s="3" t="s">
        <v>171</v>
      </c>
      <c r="B475" s="10">
        <v>616</v>
      </c>
      <c r="C475" s="5">
        <v>1</v>
      </c>
      <c r="D475" s="10">
        <v>1</v>
      </c>
      <c r="E475" s="10">
        <v>0</v>
      </c>
      <c r="F475" s="10">
        <v>1920</v>
      </c>
      <c r="G475" s="10" t="s">
        <v>77</v>
      </c>
      <c r="H475" s="7" t="str">
        <f t="shared" si="399"/>
        <v>No</v>
      </c>
      <c r="I475" s="54" t="s">
        <v>55</v>
      </c>
      <c r="J475" s="8">
        <v>5</v>
      </c>
      <c r="K475" s="8" t="s">
        <v>63</v>
      </c>
      <c r="L475" s="8" t="s">
        <v>64</v>
      </c>
      <c r="M475" s="8" t="s">
        <v>64</v>
      </c>
      <c r="N475" s="8">
        <v>1</v>
      </c>
      <c r="O475" s="8">
        <v>0</v>
      </c>
      <c r="P475" s="8">
        <v>1</v>
      </c>
      <c r="Q475" s="8" t="s">
        <v>67</v>
      </c>
      <c r="R475" s="9">
        <v>0.2</v>
      </c>
      <c r="S475" s="8">
        <v>1</v>
      </c>
      <c r="T475" s="8">
        <v>0</v>
      </c>
      <c r="U475" s="8">
        <v>1</v>
      </c>
      <c r="V475" s="8">
        <v>1</v>
      </c>
      <c r="W475" s="8">
        <v>1</v>
      </c>
      <c r="X475" s="8">
        <v>0</v>
      </c>
      <c r="Y475" s="8">
        <v>1</v>
      </c>
      <c r="Z475" s="8">
        <v>1</v>
      </c>
      <c r="AA475" s="8" t="s">
        <v>112</v>
      </c>
      <c r="AB475" s="8">
        <v>1</v>
      </c>
      <c r="AC475" s="8">
        <v>0</v>
      </c>
      <c r="AD475" s="8">
        <v>0</v>
      </c>
      <c r="AE475" s="8">
        <v>1</v>
      </c>
      <c r="AF475" s="8">
        <v>0</v>
      </c>
      <c r="AG475" s="8">
        <v>1</v>
      </c>
      <c r="AH475" s="8">
        <v>0</v>
      </c>
      <c r="AI475" s="8">
        <v>1</v>
      </c>
      <c r="AJ475" s="8">
        <v>1</v>
      </c>
      <c r="AK475" s="8">
        <v>0</v>
      </c>
      <c r="AL475" s="8">
        <v>1</v>
      </c>
      <c r="AM475" s="8">
        <v>1</v>
      </c>
      <c r="AN475" s="8">
        <v>0</v>
      </c>
      <c r="AO475" s="8">
        <v>0</v>
      </c>
      <c r="AP475" s="8">
        <v>0</v>
      </c>
      <c r="AQ475" s="8">
        <v>0</v>
      </c>
      <c r="AR475" s="8">
        <v>0</v>
      </c>
      <c r="AS475" s="8">
        <v>0</v>
      </c>
      <c r="AT475" s="8">
        <v>0</v>
      </c>
      <c r="AU475" s="8">
        <v>0</v>
      </c>
      <c r="AV475" s="8">
        <v>0</v>
      </c>
      <c r="AW475" s="8">
        <v>0</v>
      </c>
      <c r="AX475" s="8">
        <v>0</v>
      </c>
      <c r="AY475" s="8">
        <v>0</v>
      </c>
      <c r="AZ475" s="8">
        <v>0</v>
      </c>
      <c r="BA475" s="8">
        <v>0</v>
      </c>
      <c r="BB475" s="8">
        <v>0</v>
      </c>
      <c r="BC475" s="8">
        <v>0</v>
      </c>
      <c r="BD475" s="8">
        <v>0</v>
      </c>
      <c r="BE475" s="8">
        <v>0</v>
      </c>
      <c r="BF475" s="8">
        <v>0</v>
      </c>
      <c r="BG475" s="8">
        <v>0</v>
      </c>
      <c r="BH475" s="8">
        <v>0</v>
      </c>
      <c r="BI475" s="8">
        <v>0</v>
      </c>
      <c r="BJ475" s="8">
        <v>0</v>
      </c>
      <c r="BK475" s="8">
        <v>1</v>
      </c>
      <c r="BL475" s="8">
        <v>1</v>
      </c>
      <c r="BM475" s="8">
        <v>0</v>
      </c>
      <c r="BN475" s="8">
        <v>0</v>
      </c>
      <c r="BO475" s="8">
        <v>1</v>
      </c>
      <c r="BP475" s="8">
        <v>0</v>
      </c>
      <c r="BQ475" s="8">
        <v>0</v>
      </c>
      <c r="BR475" s="8">
        <v>0</v>
      </c>
      <c r="BS475" s="8">
        <f t="shared" si="526"/>
        <v>7</v>
      </c>
      <c r="BT475" s="8"/>
      <c r="BU475" s="2">
        <f t="shared" si="437"/>
        <v>2</v>
      </c>
      <c r="BV475" s="2">
        <f t="shared" si="403"/>
        <v>5</v>
      </c>
      <c r="BW475" s="2">
        <f t="shared" si="404"/>
        <v>0</v>
      </c>
      <c r="BX475" s="2">
        <f t="shared" si="407"/>
        <v>0</v>
      </c>
      <c r="BY475" s="2">
        <f t="shared" si="405"/>
        <v>0</v>
      </c>
      <c r="BZ475" s="2">
        <f t="shared" ref="BZ475" si="668">SUM(AQ475)</f>
        <v>0</v>
      </c>
      <c r="CA475" s="2">
        <v>1</v>
      </c>
      <c r="CB475" s="2">
        <f t="shared" si="431"/>
        <v>0</v>
      </c>
    </row>
    <row r="476" spans="1:80" ht="16" x14ac:dyDescent="0.2">
      <c r="A476" s="3" t="s">
        <v>171</v>
      </c>
      <c r="B476" s="10">
        <v>616</v>
      </c>
      <c r="C476" s="5">
        <v>1</v>
      </c>
      <c r="D476" s="10">
        <v>1</v>
      </c>
      <c r="E476" s="10">
        <v>0</v>
      </c>
      <c r="F476" s="10">
        <v>1920</v>
      </c>
      <c r="G476" s="10" t="s">
        <v>78</v>
      </c>
      <c r="H476" s="7" t="str">
        <f t="shared" si="399"/>
        <v>No</v>
      </c>
      <c r="I476" s="54" t="s">
        <v>55</v>
      </c>
      <c r="J476" s="8">
        <v>5</v>
      </c>
      <c r="K476" s="8" t="s">
        <v>63</v>
      </c>
      <c r="L476" s="8" t="s">
        <v>64</v>
      </c>
      <c r="M476" s="8" t="s">
        <v>64</v>
      </c>
      <c r="N476" s="8">
        <v>1</v>
      </c>
      <c r="O476" s="8">
        <v>0</v>
      </c>
      <c r="P476" s="8">
        <v>1</v>
      </c>
      <c r="Q476" s="8" t="s">
        <v>67</v>
      </c>
      <c r="R476" s="9">
        <v>0.2</v>
      </c>
      <c r="S476" s="8">
        <v>1</v>
      </c>
      <c r="T476" s="8">
        <v>0</v>
      </c>
      <c r="U476" s="8">
        <v>1</v>
      </c>
      <c r="V476" s="8">
        <v>1</v>
      </c>
      <c r="W476" s="8">
        <v>1</v>
      </c>
      <c r="X476" s="8">
        <v>0</v>
      </c>
      <c r="Y476" s="8">
        <v>1</v>
      </c>
      <c r="Z476" s="8">
        <v>1</v>
      </c>
      <c r="AA476" s="8" t="s">
        <v>112</v>
      </c>
      <c r="AB476" s="8">
        <v>1</v>
      </c>
      <c r="AC476" s="8">
        <v>0</v>
      </c>
      <c r="AD476" s="8">
        <v>0</v>
      </c>
      <c r="AE476" s="8">
        <v>1</v>
      </c>
      <c r="AF476" s="8">
        <v>0</v>
      </c>
      <c r="AG476" s="8">
        <v>1</v>
      </c>
      <c r="AH476" s="8">
        <v>0</v>
      </c>
      <c r="AI476" s="8">
        <v>1</v>
      </c>
      <c r="AJ476" s="8">
        <v>1</v>
      </c>
      <c r="AK476" s="8">
        <v>0</v>
      </c>
      <c r="AL476" s="8">
        <v>1</v>
      </c>
      <c r="AM476" s="8">
        <v>1</v>
      </c>
      <c r="AN476" s="8">
        <v>0</v>
      </c>
      <c r="AO476" s="8">
        <v>0</v>
      </c>
      <c r="AP476" s="8">
        <v>0</v>
      </c>
      <c r="AQ476" s="8">
        <v>0</v>
      </c>
      <c r="AR476" s="8">
        <v>0</v>
      </c>
      <c r="AS476" s="8">
        <v>0</v>
      </c>
      <c r="AT476" s="8">
        <v>0</v>
      </c>
      <c r="AU476" s="8">
        <v>0</v>
      </c>
      <c r="AV476" s="8">
        <v>0</v>
      </c>
      <c r="AW476" s="8">
        <v>0</v>
      </c>
      <c r="AX476" s="8">
        <v>0</v>
      </c>
      <c r="AY476" s="8">
        <v>0</v>
      </c>
      <c r="AZ476" s="8">
        <v>0</v>
      </c>
      <c r="BA476" s="8">
        <v>0</v>
      </c>
      <c r="BB476" s="8">
        <v>0</v>
      </c>
      <c r="BC476" s="8">
        <v>0</v>
      </c>
      <c r="BD476" s="8">
        <v>0</v>
      </c>
      <c r="BE476" s="8">
        <v>0</v>
      </c>
      <c r="BF476" s="8">
        <v>0</v>
      </c>
      <c r="BG476" s="8">
        <v>0</v>
      </c>
      <c r="BH476" s="8">
        <v>0</v>
      </c>
      <c r="BI476" s="8">
        <v>0</v>
      </c>
      <c r="BJ476" s="8">
        <v>0</v>
      </c>
      <c r="BK476" s="8">
        <v>1</v>
      </c>
      <c r="BL476" s="8">
        <v>1</v>
      </c>
      <c r="BM476" s="8">
        <v>0</v>
      </c>
      <c r="BN476" s="8">
        <v>0</v>
      </c>
      <c r="BO476" s="8">
        <v>1</v>
      </c>
      <c r="BP476" s="8">
        <v>0</v>
      </c>
      <c r="BQ476" s="8">
        <v>0</v>
      </c>
      <c r="BR476" s="8">
        <v>0</v>
      </c>
      <c r="BS476" s="8">
        <f t="shared" si="526"/>
        <v>7</v>
      </c>
      <c r="BT476" s="8"/>
      <c r="BU476" s="2">
        <f t="shared" si="437"/>
        <v>2</v>
      </c>
      <c r="BV476" s="2">
        <f t="shared" si="403"/>
        <v>5</v>
      </c>
      <c r="BW476" s="2">
        <f t="shared" si="404"/>
        <v>0</v>
      </c>
      <c r="BX476" s="2">
        <f t="shared" si="407"/>
        <v>0</v>
      </c>
      <c r="BY476" s="2">
        <f t="shared" si="405"/>
        <v>0</v>
      </c>
      <c r="BZ476" s="2">
        <f t="shared" ref="BZ476" si="669">SUM(AQ476)</f>
        <v>0</v>
      </c>
      <c r="CA476" s="2">
        <v>1</v>
      </c>
      <c r="CB476" s="2">
        <f t="shared" si="431"/>
        <v>0</v>
      </c>
    </row>
    <row r="477" spans="1:80" ht="15" customHeight="1" x14ac:dyDescent="0.2">
      <c r="A477" s="3" t="s">
        <v>171</v>
      </c>
      <c r="B477" s="10">
        <v>616</v>
      </c>
      <c r="C477" s="5">
        <v>1</v>
      </c>
      <c r="D477" s="10">
        <v>1</v>
      </c>
      <c r="E477" s="10">
        <v>0</v>
      </c>
      <c r="F477" s="10">
        <v>1920</v>
      </c>
      <c r="G477" s="10" t="s">
        <v>79</v>
      </c>
      <c r="H477" s="7" t="str">
        <f t="shared" si="399"/>
        <v>No</v>
      </c>
      <c r="I477" s="58" t="s">
        <v>55</v>
      </c>
      <c r="J477" s="8">
        <v>6</v>
      </c>
      <c r="K477" s="8" t="s">
        <v>63</v>
      </c>
      <c r="L477" s="8" t="s">
        <v>64</v>
      </c>
      <c r="M477" s="8" t="s">
        <v>64</v>
      </c>
      <c r="N477" s="8">
        <v>1</v>
      </c>
      <c r="O477" s="8">
        <v>0</v>
      </c>
      <c r="P477" s="8">
        <v>1</v>
      </c>
      <c r="Q477" s="8" t="s">
        <v>150</v>
      </c>
      <c r="R477" s="9" t="s">
        <v>172</v>
      </c>
      <c r="S477" s="8">
        <v>1</v>
      </c>
      <c r="T477" s="8">
        <v>0</v>
      </c>
      <c r="U477" s="8">
        <v>1</v>
      </c>
      <c r="V477" s="8">
        <v>1</v>
      </c>
      <c r="W477" s="8">
        <v>1</v>
      </c>
      <c r="X477" s="8">
        <v>0</v>
      </c>
      <c r="Y477" s="8">
        <v>0</v>
      </c>
      <c r="Z477" s="8">
        <v>1</v>
      </c>
      <c r="AA477" s="8" t="s">
        <v>112</v>
      </c>
      <c r="AB477" s="8">
        <v>1</v>
      </c>
      <c r="AC477" s="8">
        <v>0</v>
      </c>
      <c r="AD477" s="8">
        <v>0</v>
      </c>
      <c r="AE477" s="8">
        <v>1</v>
      </c>
      <c r="AF477" s="8">
        <v>0</v>
      </c>
      <c r="AG477" s="8">
        <v>0.5</v>
      </c>
      <c r="AH477" s="8">
        <v>1</v>
      </c>
      <c r="AI477" s="8">
        <v>1</v>
      </c>
      <c r="AJ477" s="8">
        <v>1</v>
      </c>
      <c r="AK477" s="8">
        <v>1</v>
      </c>
      <c r="AL477" s="8">
        <v>1</v>
      </c>
      <c r="AM477" s="8">
        <v>1</v>
      </c>
      <c r="AN477" s="8">
        <v>1</v>
      </c>
      <c r="AO477" s="8">
        <v>0</v>
      </c>
      <c r="AP477" s="8">
        <v>0</v>
      </c>
      <c r="AQ477" s="8">
        <v>0</v>
      </c>
      <c r="AR477" s="8">
        <v>0</v>
      </c>
      <c r="AS477" s="8">
        <v>0</v>
      </c>
      <c r="AT477" s="8">
        <v>0</v>
      </c>
      <c r="AU477" s="8">
        <v>0</v>
      </c>
      <c r="AV477" s="8">
        <v>0</v>
      </c>
      <c r="AW477" s="8">
        <v>0</v>
      </c>
      <c r="AX477" s="8">
        <v>0</v>
      </c>
      <c r="AY477" s="8">
        <v>0</v>
      </c>
      <c r="AZ477" s="8">
        <v>0</v>
      </c>
      <c r="BA477" s="8">
        <v>1</v>
      </c>
      <c r="BB477" s="8">
        <v>0</v>
      </c>
      <c r="BC477" s="8">
        <v>0</v>
      </c>
      <c r="BD477" s="8">
        <v>0</v>
      </c>
      <c r="BE477" s="8">
        <v>0</v>
      </c>
      <c r="BF477" s="8">
        <v>0</v>
      </c>
      <c r="BG477" s="8">
        <v>0</v>
      </c>
      <c r="BH477" s="8">
        <v>0</v>
      </c>
      <c r="BI477" s="8">
        <v>0</v>
      </c>
      <c r="BJ477" s="8">
        <v>0</v>
      </c>
      <c r="BK477" s="8">
        <v>1</v>
      </c>
      <c r="BL477" s="8">
        <v>1</v>
      </c>
      <c r="BM477" s="8">
        <v>0</v>
      </c>
      <c r="BN477" s="8">
        <v>0</v>
      </c>
      <c r="BO477" s="8">
        <v>1</v>
      </c>
      <c r="BP477" s="8">
        <v>0</v>
      </c>
      <c r="BQ477" s="8">
        <v>0</v>
      </c>
      <c r="BR477" s="8">
        <v>0</v>
      </c>
      <c r="BS477" s="8">
        <f t="shared" si="526"/>
        <v>10</v>
      </c>
      <c r="BT477" s="8"/>
      <c r="BU477" s="2">
        <f t="shared" si="437"/>
        <v>2</v>
      </c>
      <c r="BV477" s="2">
        <f t="shared" si="403"/>
        <v>6</v>
      </c>
      <c r="BW477" s="2">
        <f t="shared" si="404"/>
        <v>1</v>
      </c>
      <c r="BX477" s="2">
        <f t="shared" si="407"/>
        <v>1</v>
      </c>
      <c r="BY477" s="2">
        <f t="shared" si="405"/>
        <v>0</v>
      </c>
      <c r="BZ477" s="2">
        <f t="shared" ref="BZ477" si="670">SUM(AQ477)</f>
        <v>0</v>
      </c>
      <c r="CA477" s="2">
        <v>1</v>
      </c>
      <c r="CB477" s="2">
        <f t="shared" si="431"/>
        <v>0</v>
      </c>
    </row>
    <row r="478" spans="1:80" ht="15" customHeight="1" x14ac:dyDescent="0.2">
      <c r="A478" s="3" t="s">
        <v>171</v>
      </c>
      <c r="B478" s="10">
        <v>616</v>
      </c>
      <c r="C478" s="5">
        <v>1</v>
      </c>
      <c r="D478" s="10">
        <v>1</v>
      </c>
      <c r="E478" s="10">
        <v>0</v>
      </c>
      <c r="F478" s="10">
        <v>1920</v>
      </c>
      <c r="G478" s="10" t="s">
        <v>80</v>
      </c>
      <c r="H478" s="7" t="str">
        <f t="shared" si="399"/>
        <v>No</v>
      </c>
      <c r="I478" s="54" t="s">
        <v>55</v>
      </c>
      <c r="J478" s="8">
        <v>6</v>
      </c>
      <c r="K478" s="8" t="s">
        <v>63</v>
      </c>
      <c r="L478" s="8" t="s">
        <v>64</v>
      </c>
      <c r="M478" s="8" t="s">
        <v>64</v>
      </c>
      <c r="N478" s="8">
        <v>1</v>
      </c>
      <c r="O478" s="8">
        <v>0</v>
      </c>
      <c r="P478" s="8">
        <v>1</v>
      </c>
      <c r="Q478" s="8" t="s">
        <v>150</v>
      </c>
      <c r="R478" s="9" t="s">
        <v>172</v>
      </c>
      <c r="S478" s="8">
        <v>1</v>
      </c>
      <c r="T478" s="8">
        <v>0</v>
      </c>
      <c r="U478" s="8">
        <v>1</v>
      </c>
      <c r="V478" s="8">
        <v>1</v>
      </c>
      <c r="W478" s="8">
        <v>1</v>
      </c>
      <c r="X478" s="8">
        <v>0</v>
      </c>
      <c r="Y478" s="8">
        <v>0</v>
      </c>
      <c r="Z478" s="8">
        <v>1</v>
      </c>
      <c r="AA478" s="8" t="s">
        <v>112</v>
      </c>
      <c r="AB478" s="8">
        <v>1</v>
      </c>
      <c r="AC478" s="8">
        <v>0</v>
      </c>
      <c r="AD478" s="8">
        <v>0</v>
      </c>
      <c r="AE478" s="8">
        <v>1</v>
      </c>
      <c r="AF478" s="8">
        <v>0</v>
      </c>
      <c r="AG478" s="8">
        <v>0.5</v>
      </c>
      <c r="AH478" s="8">
        <v>1</v>
      </c>
      <c r="AI478" s="8">
        <v>1</v>
      </c>
      <c r="AJ478" s="8">
        <v>1</v>
      </c>
      <c r="AK478" s="8">
        <v>1</v>
      </c>
      <c r="AL478" s="8">
        <v>1</v>
      </c>
      <c r="AM478" s="8">
        <v>1</v>
      </c>
      <c r="AN478" s="8">
        <v>1</v>
      </c>
      <c r="AO478" s="8">
        <v>0</v>
      </c>
      <c r="AP478" s="8">
        <v>0</v>
      </c>
      <c r="AQ478" s="8">
        <v>0</v>
      </c>
      <c r="AR478" s="8">
        <v>0</v>
      </c>
      <c r="AS478" s="8">
        <v>0</v>
      </c>
      <c r="AT478" s="8">
        <v>0</v>
      </c>
      <c r="AU478" s="8">
        <v>0</v>
      </c>
      <c r="AV478" s="8">
        <v>0</v>
      </c>
      <c r="AW478" s="8">
        <v>0</v>
      </c>
      <c r="AX478" s="8">
        <v>0</v>
      </c>
      <c r="AY478" s="8">
        <v>0</v>
      </c>
      <c r="AZ478" s="8">
        <v>0</v>
      </c>
      <c r="BA478" s="8">
        <v>1</v>
      </c>
      <c r="BB478" s="8">
        <v>0</v>
      </c>
      <c r="BC478" s="8">
        <v>0</v>
      </c>
      <c r="BD478" s="8">
        <v>0</v>
      </c>
      <c r="BE478" s="8">
        <v>0</v>
      </c>
      <c r="BF478" s="8">
        <v>0</v>
      </c>
      <c r="BG478" s="8">
        <v>0</v>
      </c>
      <c r="BH478" s="8">
        <v>0</v>
      </c>
      <c r="BI478" s="8">
        <v>0</v>
      </c>
      <c r="BJ478" s="8">
        <v>0</v>
      </c>
      <c r="BK478" s="8">
        <v>1</v>
      </c>
      <c r="BL478" s="8">
        <v>1</v>
      </c>
      <c r="BM478" s="8">
        <v>0</v>
      </c>
      <c r="BN478" s="8">
        <v>0</v>
      </c>
      <c r="BO478" s="8">
        <v>1</v>
      </c>
      <c r="BP478" s="8">
        <v>0</v>
      </c>
      <c r="BQ478" s="8">
        <v>0</v>
      </c>
      <c r="BR478" s="8">
        <v>0</v>
      </c>
      <c r="BS478" s="8">
        <f t="shared" si="526"/>
        <v>10</v>
      </c>
      <c r="BT478" s="8"/>
      <c r="BU478" s="2">
        <f t="shared" si="437"/>
        <v>2</v>
      </c>
      <c r="BV478" s="2">
        <f t="shared" si="403"/>
        <v>6</v>
      </c>
      <c r="BW478" s="2">
        <f t="shared" si="404"/>
        <v>1</v>
      </c>
      <c r="BX478" s="2">
        <f t="shared" si="407"/>
        <v>1</v>
      </c>
      <c r="BY478" s="2">
        <f t="shared" si="405"/>
        <v>0</v>
      </c>
      <c r="BZ478" s="2">
        <f t="shared" ref="BZ478" si="671">SUM(AQ478)</f>
        <v>0</v>
      </c>
      <c r="CA478" s="2">
        <v>1</v>
      </c>
      <c r="CB478" s="2">
        <f t="shared" si="431"/>
        <v>0</v>
      </c>
    </row>
    <row r="479" spans="1:80" ht="16" x14ac:dyDescent="0.2">
      <c r="A479" s="3" t="s">
        <v>171</v>
      </c>
      <c r="B479" s="10">
        <v>616</v>
      </c>
      <c r="C479" s="5">
        <v>1</v>
      </c>
      <c r="D479" s="10">
        <v>1</v>
      </c>
      <c r="E479" s="10">
        <v>0</v>
      </c>
      <c r="F479" s="10">
        <v>1920</v>
      </c>
      <c r="G479" s="10">
        <v>2022</v>
      </c>
      <c r="H479" s="7" t="str">
        <f t="shared" si="399"/>
        <v>No</v>
      </c>
      <c r="I479" s="54" t="s">
        <v>55</v>
      </c>
      <c r="J479" s="8">
        <v>6</v>
      </c>
      <c r="K479" s="8" t="s">
        <v>63</v>
      </c>
      <c r="L479" s="8" t="s">
        <v>64</v>
      </c>
      <c r="M479" s="8" t="s">
        <v>64</v>
      </c>
      <c r="N479" s="8">
        <v>1</v>
      </c>
      <c r="O479" s="8">
        <v>0</v>
      </c>
      <c r="P479" s="8">
        <v>1</v>
      </c>
      <c r="Q479" s="8" t="s">
        <v>150</v>
      </c>
      <c r="R479" s="9" t="s">
        <v>172</v>
      </c>
      <c r="S479" s="8">
        <v>1</v>
      </c>
      <c r="T479" s="8">
        <v>0</v>
      </c>
      <c r="U479" s="8">
        <v>1</v>
      </c>
      <c r="V479" s="8">
        <v>1</v>
      </c>
      <c r="W479" s="8">
        <v>1</v>
      </c>
      <c r="X479" s="8">
        <v>0</v>
      </c>
      <c r="Y479" s="8">
        <v>0</v>
      </c>
      <c r="Z479" s="8">
        <v>1</v>
      </c>
      <c r="AA479" s="8" t="s">
        <v>112</v>
      </c>
      <c r="AB479" s="8">
        <v>1</v>
      </c>
      <c r="AC479" s="8">
        <v>0</v>
      </c>
      <c r="AD479" s="8">
        <v>0</v>
      </c>
      <c r="AE479" s="8">
        <v>1</v>
      </c>
      <c r="AF479" s="8">
        <v>0</v>
      </c>
      <c r="AG479" s="8">
        <v>0.5</v>
      </c>
      <c r="AH479" s="8">
        <v>1</v>
      </c>
      <c r="AI479" s="8">
        <v>1</v>
      </c>
      <c r="AJ479" s="8">
        <v>1</v>
      </c>
      <c r="AK479" s="8">
        <v>1</v>
      </c>
      <c r="AL479" s="8">
        <v>1</v>
      </c>
      <c r="AM479" s="8">
        <v>1</v>
      </c>
      <c r="AN479" s="8">
        <v>1</v>
      </c>
      <c r="AO479" s="8">
        <v>0</v>
      </c>
      <c r="AP479" s="8">
        <v>0</v>
      </c>
      <c r="AQ479" s="8">
        <v>0</v>
      </c>
      <c r="AR479" s="8">
        <v>0</v>
      </c>
      <c r="AS479" s="8">
        <v>0</v>
      </c>
      <c r="AT479" s="8">
        <v>0</v>
      </c>
      <c r="AU479" s="8">
        <v>0</v>
      </c>
      <c r="AV479" s="8">
        <v>0</v>
      </c>
      <c r="AW479" s="8">
        <v>0</v>
      </c>
      <c r="AX479" s="8">
        <v>0</v>
      </c>
      <c r="AY479" s="8">
        <v>0</v>
      </c>
      <c r="AZ479" s="8">
        <v>0</v>
      </c>
      <c r="BA479" s="8">
        <v>1</v>
      </c>
      <c r="BB479" s="8">
        <v>0</v>
      </c>
      <c r="BC479" s="8">
        <v>0</v>
      </c>
      <c r="BD479" s="8">
        <v>0</v>
      </c>
      <c r="BE479" s="8">
        <v>0</v>
      </c>
      <c r="BF479" s="8">
        <v>0</v>
      </c>
      <c r="BG479" s="8">
        <v>0</v>
      </c>
      <c r="BH479" s="8">
        <v>0</v>
      </c>
      <c r="BI479" s="8">
        <v>0</v>
      </c>
      <c r="BJ479" s="8">
        <v>0</v>
      </c>
      <c r="BK479" s="8">
        <v>1</v>
      </c>
      <c r="BL479" s="8">
        <v>1</v>
      </c>
      <c r="BM479" s="8">
        <v>0</v>
      </c>
      <c r="BN479" s="8">
        <v>0</v>
      </c>
      <c r="BO479" s="8">
        <v>1</v>
      </c>
      <c r="BP479" s="8">
        <v>0</v>
      </c>
      <c r="BQ479" s="8">
        <v>0</v>
      </c>
      <c r="BR479" s="8">
        <v>0</v>
      </c>
      <c r="BS479" s="8">
        <f t="shared" si="526"/>
        <v>10</v>
      </c>
      <c r="BT479" s="8"/>
      <c r="BU479" s="2">
        <f t="shared" si="437"/>
        <v>2</v>
      </c>
      <c r="BV479" s="2">
        <f t="shared" si="403"/>
        <v>6</v>
      </c>
      <c r="BW479" s="2">
        <f t="shared" si="404"/>
        <v>1</v>
      </c>
      <c r="BX479" s="2">
        <f t="shared" si="407"/>
        <v>1</v>
      </c>
      <c r="BY479" s="2">
        <f t="shared" si="405"/>
        <v>0</v>
      </c>
      <c r="BZ479" s="2">
        <f t="shared" ref="BZ479" si="672">SUM(AQ479)</f>
        <v>0</v>
      </c>
      <c r="CA479" s="2">
        <v>1</v>
      </c>
      <c r="CB479" s="2">
        <f t="shared" si="431"/>
        <v>0</v>
      </c>
    </row>
    <row r="480" spans="1:80" ht="16" x14ac:dyDescent="0.2">
      <c r="A480" s="3" t="s">
        <v>171</v>
      </c>
      <c r="B480" s="10">
        <v>616</v>
      </c>
      <c r="C480" s="5">
        <v>1</v>
      </c>
      <c r="D480" s="10">
        <v>1</v>
      </c>
      <c r="E480" s="10">
        <v>0</v>
      </c>
      <c r="F480" s="10">
        <v>1920</v>
      </c>
      <c r="G480" s="10">
        <v>2023</v>
      </c>
      <c r="H480" s="7" t="str">
        <f>IF($I480="1", "Yes", "No")</f>
        <v>No</v>
      </c>
      <c r="I480" s="54" t="s">
        <v>55</v>
      </c>
      <c r="J480" s="8">
        <v>6</v>
      </c>
      <c r="K480" s="8" t="s">
        <v>63</v>
      </c>
      <c r="L480" s="8" t="s">
        <v>64</v>
      </c>
      <c r="M480" s="8" t="s">
        <v>64</v>
      </c>
      <c r="N480" s="8">
        <v>1</v>
      </c>
      <c r="O480" s="8">
        <v>0</v>
      </c>
      <c r="P480" s="8">
        <v>1</v>
      </c>
      <c r="Q480" s="8" t="s">
        <v>150</v>
      </c>
      <c r="R480" s="9" t="s">
        <v>172</v>
      </c>
      <c r="S480" s="8">
        <v>1</v>
      </c>
      <c r="T480" s="8">
        <v>0</v>
      </c>
      <c r="U480" s="8">
        <v>1</v>
      </c>
      <c r="V480" s="8">
        <v>1</v>
      </c>
      <c r="W480" s="8">
        <v>1</v>
      </c>
      <c r="X480" s="8">
        <v>0</v>
      </c>
      <c r="Y480" s="8">
        <v>0</v>
      </c>
      <c r="Z480" s="8">
        <v>1</v>
      </c>
      <c r="AA480" s="8" t="s">
        <v>112</v>
      </c>
      <c r="AB480" s="8">
        <v>1</v>
      </c>
      <c r="AC480" s="8">
        <v>0</v>
      </c>
      <c r="AD480" s="8">
        <v>0</v>
      </c>
      <c r="AE480" s="8">
        <v>1</v>
      </c>
      <c r="AF480" s="8">
        <v>0</v>
      </c>
      <c r="AG480" s="8">
        <v>0.5</v>
      </c>
      <c r="AH480" s="8">
        <v>1</v>
      </c>
      <c r="AI480" s="8">
        <v>1</v>
      </c>
      <c r="AJ480" s="8">
        <v>1</v>
      </c>
      <c r="AK480" s="8">
        <v>1</v>
      </c>
      <c r="AL480" s="8">
        <v>1</v>
      </c>
      <c r="AM480" s="8">
        <v>1</v>
      </c>
      <c r="AN480" s="8">
        <v>1</v>
      </c>
      <c r="AO480" s="8">
        <v>0</v>
      </c>
      <c r="AP480" s="8">
        <v>0</v>
      </c>
      <c r="AQ480" s="8">
        <v>0</v>
      </c>
      <c r="AR480" s="8">
        <v>0</v>
      </c>
      <c r="AS480" s="8">
        <v>0</v>
      </c>
      <c r="AT480" s="8">
        <v>0</v>
      </c>
      <c r="AU480" s="8">
        <v>0</v>
      </c>
      <c r="AV480" s="8">
        <v>0</v>
      </c>
      <c r="AW480" s="8">
        <v>0</v>
      </c>
      <c r="AX480" s="8">
        <v>0</v>
      </c>
      <c r="AY480" s="8">
        <v>0</v>
      </c>
      <c r="AZ480" s="8">
        <v>0</v>
      </c>
      <c r="BA480" s="8">
        <v>1</v>
      </c>
      <c r="BB480" s="8">
        <v>0</v>
      </c>
      <c r="BC480" s="8">
        <v>0</v>
      </c>
      <c r="BD480" s="8">
        <v>0</v>
      </c>
      <c r="BE480" s="8">
        <v>0</v>
      </c>
      <c r="BF480" s="8">
        <v>0</v>
      </c>
      <c r="BG480" s="8">
        <v>0</v>
      </c>
      <c r="BH480" s="8">
        <v>0</v>
      </c>
      <c r="BI480" s="8">
        <v>0</v>
      </c>
      <c r="BJ480" s="8">
        <v>0</v>
      </c>
      <c r="BK480" s="8">
        <v>1</v>
      </c>
      <c r="BL480" s="8">
        <v>1</v>
      </c>
      <c r="BM480" s="8">
        <v>0</v>
      </c>
      <c r="BN480" s="8">
        <v>0</v>
      </c>
      <c r="BO480" s="8">
        <v>1</v>
      </c>
      <c r="BP480" s="8">
        <v>0</v>
      </c>
      <c r="BQ480" s="8">
        <v>0</v>
      </c>
      <c r="BR480" s="8">
        <v>0</v>
      </c>
      <c r="BS480" s="8">
        <f>SUM(AI480:BR480)</f>
        <v>10</v>
      </c>
      <c r="BT480" s="8"/>
      <c r="BU480" s="2">
        <f>SUM(AI480,BK480)</f>
        <v>2</v>
      </c>
      <c r="BV480" s="2">
        <f>SUM(AK480, AL480, AM480,AJ480,BL480,BO480, AP480)</f>
        <v>6</v>
      </c>
      <c r="BW480" s="2">
        <f>SUM(AN480, AO480, AS480)</f>
        <v>1</v>
      </c>
      <c r="BX480" s="2">
        <f>SUM(AU480,AV480,AW480,AX480,AY480,AZ480,BA480,BB480,BC480,BD480,BE480,BF480,BG480,BH480,BI480,BJ480,BQ480,BR480,BM480)</f>
        <v>1</v>
      </c>
      <c r="BY480" s="2">
        <f>SUM(BP480, BN480)</f>
        <v>0</v>
      </c>
      <c r="BZ480" s="2">
        <f>SUM(AQ480)</f>
        <v>0</v>
      </c>
      <c r="CA480" s="2">
        <v>1</v>
      </c>
      <c r="CB480" s="2">
        <f>SUM(AT480)</f>
        <v>0</v>
      </c>
    </row>
    <row r="481" spans="1:80" ht="16" x14ac:dyDescent="0.2">
      <c r="A481" s="3" t="s">
        <v>173</v>
      </c>
      <c r="B481" s="10">
        <v>620</v>
      </c>
      <c r="C481" s="5">
        <v>1</v>
      </c>
      <c r="D481" s="10">
        <v>1</v>
      </c>
      <c r="E481" s="10">
        <v>0</v>
      </c>
      <c r="F481" s="10">
        <v>2014</v>
      </c>
      <c r="G481" s="10" t="s">
        <v>86</v>
      </c>
      <c r="H481" s="7" t="str">
        <f t="shared" si="399"/>
        <v>No</v>
      </c>
      <c r="I481" s="54" t="s">
        <v>55</v>
      </c>
      <c r="J481" s="8">
        <v>0</v>
      </c>
      <c r="K481" s="8"/>
      <c r="L481" s="8"/>
      <c r="M481" s="8"/>
      <c r="N481" s="8"/>
      <c r="O481" s="8"/>
      <c r="P481" s="8"/>
      <c r="Q481" s="8"/>
      <c r="R481" s="6"/>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f t="shared" si="526"/>
        <v>0</v>
      </c>
      <c r="BT481" s="8"/>
      <c r="BU481" s="2">
        <f t="shared" si="437"/>
        <v>0</v>
      </c>
      <c r="BV481" s="2">
        <f t="shared" si="403"/>
        <v>0</v>
      </c>
      <c r="BW481" s="2">
        <f t="shared" si="404"/>
        <v>0</v>
      </c>
      <c r="BX481" s="2">
        <f t="shared" si="407"/>
        <v>0</v>
      </c>
      <c r="BY481" s="2">
        <f t="shared" si="405"/>
        <v>0</v>
      </c>
      <c r="BZ481" s="2">
        <f t="shared" ref="BZ481:CA481" si="673">SUM(AQ481)</f>
        <v>0</v>
      </c>
      <c r="CA481" s="2">
        <f t="shared" si="673"/>
        <v>0</v>
      </c>
      <c r="CB481" s="2">
        <f t="shared" si="431"/>
        <v>0</v>
      </c>
    </row>
    <row r="482" spans="1:80" ht="16" x14ac:dyDescent="0.2">
      <c r="A482" s="3" t="s">
        <v>173</v>
      </c>
      <c r="B482" s="10">
        <v>620</v>
      </c>
      <c r="C482" s="5">
        <v>1</v>
      </c>
      <c r="D482" s="10">
        <v>1</v>
      </c>
      <c r="E482" s="10">
        <v>0</v>
      </c>
      <c r="F482" s="10">
        <v>2014</v>
      </c>
      <c r="G482" s="10" t="s">
        <v>90</v>
      </c>
      <c r="H482" s="7" t="str">
        <f t="shared" si="399"/>
        <v>No</v>
      </c>
      <c r="I482" s="54" t="s">
        <v>55</v>
      </c>
      <c r="J482" s="8">
        <v>0</v>
      </c>
      <c r="K482" s="8"/>
      <c r="L482" s="8"/>
      <c r="M482" s="8"/>
      <c r="N482" s="8"/>
      <c r="O482" s="8"/>
      <c r="P482" s="8"/>
      <c r="Q482" s="8"/>
      <c r="R482" s="6"/>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f t="shared" si="526"/>
        <v>0</v>
      </c>
      <c r="BT482" s="8"/>
      <c r="BU482" s="2">
        <f t="shared" si="437"/>
        <v>0</v>
      </c>
      <c r="BV482" s="2">
        <f t="shared" si="403"/>
        <v>0</v>
      </c>
      <c r="BW482" s="2">
        <f t="shared" si="404"/>
        <v>0</v>
      </c>
      <c r="BX482" s="2">
        <f t="shared" si="407"/>
        <v>0</v>
      </c>
      <c r="BY482" s="2">
        <f t="shared" si="405"/>
        <v>0</v>
      </c>
      <c r="BZ482" s="2">
        <f t="shared" ref="BZ482:CA482" si="674">SUM(AQ482)</f>
        <v>0</v>
      </c>
      <c r="CA482" s="2">
        <f t="shared" si="674"/>
        <v>0</v>
      </c>
      <c r="CB482" s="2">
        <f t="shared" si="431"/>
        <v>0</v>
      </c>
    </row>
    <row r="483" spans="1:80" ht="16" x14ac:dyDescent="0.2">
      <c r="A483" s="3" t="s">
        <v>173</v>
      </c>
      <c r="B483" s="10">
        <v>620</v>
      </c>
      <c r="C483" s="5">
        <v>1</v>
      </c>
      <c r="D483" s="10">
        <v>1</v>
      </c>
      <c r="E483" s="10">
        <v>0</v>
      </c>
      <c r="F483" s="10">
        <v>2014</v>
      </c>
      <c r="G483" s="10" t="s">
        <v>91</v>
      </c>
      <c r="H483" s="7" t="str">
        <f t="shared" si="399"/>
        <v>No</v>
      </c>
      <c r="I483" s="54" t="s">
        <v>55</v>
      </c>
      <c r="J483" s="8">
        <v>0</v>
      </c>
      <c r="K483" s="8"/>
      <c r="L483" s="8"/>
      <c r="M483" s="8"/>
      <c r="N483" s="8"/>
      <c r="O483" s="8"/>
      <c r="P483" s="8"/>
      <c r="Q483" s="8"/>
      <c r="R483" s="6"/>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f t="shared" si="526"/>
        <v>0</v>
      </c>
      <c r="BT483" s="8"/>
      <c r="BU483" s="2">
        <f t="shared" si="437"/>
        <v>0</v>
      </c>
      <c r="BV483" s="2">
        <f t="shared" si="403"/>
        <v>0</v>
      </c>
      <c r="BW483" s="2">
        <f t="shared" si="404"/>
        <v>0</v>
      </c>
      <c r="BX483" s="2">
        <f t="shared" si="407"/>
        <v>0</v>
      </c>
      <c r="BY483" s="2">
        <f t="shared" si="405"/>
        <v>0</v>
      </c>
      <c r="BZ483" s="2">
        <f t="shared" ref="BZ483:CA483" si="675">SUM(AQ483)</f>
        <v>0</v>
      </c>
      <c r="CA483" s="2">
        <f t="shared" si="675"/>
        <v>0</v>
      </c>
      <c r="CB483" s="2">
        <f t="shared" si="431"/>
        <v>0</v>
      </c>
    </row>
    <row r="484" spans="1:80" ht="16" x14ac:dyDescent="0.2">
      <c r="A484" s="3" t="s">
        <v>173</v>
      </c>
      <c r="B484" s="10">
        <v>620</v>
      </c>
      <c r="C484" s="5">
        <v>1</v>
      </c>
      <c r="D484" s="10">
        <v>1</v>
      </c>
      <c r="E484" s="10">
        <v>0</v>
      </c>
      <c r="F484" s="10">
        <v>2014</v>
      </c>
      <c r="G484" s="10" t="s">
        <v>93</v>
      </c>
      <c r="H484" s="7" t="str">
        <f t="shared" si="399"/>
        <v>No</v>
      </c>
      <c r="I484" s="54" t="s">
        <v>55</v>
      </c>
      <c r="J484" s="8">
        <v>0</v>
      </c>
      <c r="K484" s="8"/>
      <c r="L484" s="8"/>
      <c r="M484" s="8"/>
      <c r="N484" s="8"/>
      <c r="O484" s="8"/>
      <c r="P484" s="8"/>
      <c r="Q484" s="8"/>
      <c r="R484" s="6"/>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f t="shared" si="526"/>
        <v>0</v>
      </c>
      <c r="BT484" s="8"/>
      <c r="BU484" s="2">
        <f t="shared" si="437"/>
        <v>0</v>
      </c>
      <c r="BV484" s="2">
        <f t="shared" si="403"/>
        <v>0</v>
      </c>
      <c r="BW484" s="2">
        <f t="shared" si="404"/>
        <v>0</v>
      </c>
      <c r="BX484" s="2">
        <f t="shared" si="407"/>
        <v>0</v>
      </c>
      <c r="BY484" s="2">
        <f t="shared" si="405"/>
        <v>0</v>
      </c>
      <c r="BZ484" s="2">
        <f t="shared" ref="BZ484:CA484" si="676">SUM(AQ484)</f>
        <v>0</v>
      </c>
      <c r="CA484" s="2">
        <f t="shared" si="676"/>
        <v>0</v>
      </c>
      <c r="CB484" s="2">
        <f t="shared" si="431"/>
        <v>0</v>
      </c>
    </row>
    <row r="485" spans="1:80" ht="16" x14ac:dyDescent="0.2">
      <c r="A485" s="3" t="s">
        <v>173</v>
      </c>
      <c r="B485" s="10">
        <v>620</v>
      </c>
      <c r="C485" s="5">
        <v>1</v>
      </c>
      <c r="D485" s="10">
        <v>1</v>
      </c>
      <c r="E485" s="10">
        <v>0</v>
      </c>
      <c r="F485" s="10">
        <v>2014</v>
      </c>
      <c r="G485" s="10" t="s">
        <v>70</v>
      </c>
      <c r="H485" s="7" t="str">
        <f t="shared" si="399"/>
        <v>No</v>
      </c>
      <c r="I485" s="54" t="s">
        <v>55</v>
      </c>
      <c r="J485" s="8">
        <v>0</v>
      </c>
      <c r="K485" s="8"/>
      <c r="L485" s="8"/>
      <c r="M485" s="8"/>
      <c r="N485" s="8"/>
      <c r="O485" s="8"/>
      <c r="P485" s="8"/>
      <c r="Q485" s="8"/>
      <c r="R485" s="6"/>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f t="shared" si="526"/>
        <v>0</v>
      </c>
      <c r="BT485" s="8"/>
      <c r="BU485" s="2">
        <f t="shared" si="437"/>
        <v>0</v>
      </c>
      <c r="BV485" s="2">
        <f t="shared" si="403"/>
        <v>0</v>
      </c>
      <c r="BW485" s="2">
        <f t="shared" si="404"/>
        <v>0</v>
      </c>
      <c r="BX485" s="2">
        <f t="shared" si="407"/>
        <v>0</v>
      </c>
      <c r="BY485" s="2">
        <f t="shared" si="405"/>
        <v>0</v>
      </c>
      <c r="BZ485" s="2">
        <f t="shared" ref="BZ485:CA485" si="677">SUM(AQ485)</f>
        <v>0</v>
      </c>
      <c r="CA485" s="2">
        <f t="shared" si="677"/>
        <v>0</v>
      </c>
      <c r="CB485" s="2">
        <f t="shared" si="431"/>
        <v>0</v>
      </c>
    </row>
    <row r="486" spans="1:80" ht="16" x14ac:dyDescent="0.2">
      <c r="A486" s="3" t="s">
        <v>173</v>
      </c>
      <c r="B486" s="10">
        <v>620</v>
      </c>
      <c r="C486" s="5">
        <v>1</v>
      </c>
      <c r="D486" s="10">
        <v>1</v>
      </c>
      <c r="E486" s="10">
        <v>0</v>
      </c>
      <c r="F486" s="10">
        <v>2014</v>
      </c>
      <c r="G486" s="10" t="s">
        <v>71</v>
      </c>
      <c r="H486" s="7" t="str">
        <f t="shared" si="399"/>
        <v>No</v>
      </c>
      <c r="I486" s="54" t="s">
        <v>55</v>
      </c>
      <c r="J486" s="8">
        <v>0</v>
      </c>
      <c r="K486" s="8"/>
      <c r="L486" s="8"/>
      <c r="M486" s="8"/>
      <c r="N486" s="8"/>
      <c r="O486" s="8"/>
      <c r="P486" s="8"/>
      <c r="Q486" s="8"/>
      <c r="R486" s="6"/>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f t="shared" si="526"/>
        <v>0</v>
      </c>
      <c r="BT486" s="8"/>
      <c r="BU486" s="2">
        <f t="shared" si="437"/>
        <v>0</v>
      </c>
      <c r="BV486" s="2">
        <f t="shared" si="403"/>
        <v>0</v>
      </c>
      <c r="BW486" s="2">
        <f t="shared" si="404"/>
        <v>0</v>
      </c>
      <c r="BX486" s="2">
        <f t="shared" si="407"/>
        <v>0</v>
      </c>
      <c r="BY486" s="2">
        <f t="shared" si="405"/>
        <v>0</v>
      </c>
      <c r="BZ486" s="2">
        <f t="shared" ref="BZ486:CA486" si="678">SUM(AQ486)</f>
        <v>0</v>
      </c>
      <c r="CA486" s="2">
        <f t="shared" si="678"/>
        <v>0</v>
      </c>
      <c r="CB486" s="2">
        <f t="shared" si="431"/>
        <v>0</v>
      </c>
    </row>
    <row r="487" spans="1:80" ht="16" x14ac:dyDescent="0.2">
      <c r="A487" s="3" t="s">
        <v>173</v>
      </c>
      <c r="B487" s="10">
        <v>620</v>
      </c>
      <c r="C487" s="5">
        <v>1</v>
      </c>
      <c r="D487" s="10">
        <v>1</v>
      </c>
      <c r="E487" s="10">
        <v>0</v>
      </c>
      <c r="F487" s="10">
        <v>2014</v>
      </c>
      <c r="G487" s="10" t="s">
        <v>72</v>
      </c>
      <c r="H487" s="7" t="str">
        <f t="shared" si="399"/>
        <v>No</v>
      </c>
      <c r="I487" s="54" t="s">
        <v>55</v>
      </c>
      <c r="J487" s="8">
        <v>0</v>
      </c>
      <c r="K487" s="8"/>
      <c r="L487" s="8"/>
      <c r="M487" s="8"/>
      <c r="N487" s="8"/>
      <c r="O487" s="8"/>
      <c r="P487" s="8"/>
      <c r="Q487" s="8"/>
      <c r="R487" s="6"/>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f t="shared" si="526"/>
        <v>0</v>
      </c>
      <c r="BT487" s="8"/>
      <c r="BU487" s="2">
        <f t="shared" si="437"/>
        <v>0</v>
      </c>
      <c r="BV487" s="2">
        <f t="shared" si="403"/>
        <v>0</v>
      </c>
      <c r="BW487" s="2">
        <f t="shared" si="404"/>
        <v>0</v>
      </c>
      <c r="BX487" s="2">
        <f t="shared" si="407"/>
        <v>0</v>
      </c>
      <c r="BY487" s="2">
        <f t="shared" si="405"/>
        <v>0</v>
      </c>
      <c r="BZ487" s="2">
        <f t="shared" ref="BZ487:CA487" si="679">SUM(AQ487)</f>
        <v>0</v>
      </c>
      <c r="CA487" s="2">
        <f t="shared" si="679"/>
        <v>0</v>
      </c>
      <c r="CB487" s="2">
        <f t="shared" si="431"/>
        <v>0</v>
      </c>
    </row>
    <row r="488" spans="1:80" ht="16" x14ac:dyDescent="0.2">
      <c r="A488" s="3" t="s">
        <v>173</v>
      </c>
      <c r="B488" s="10">
        <v>620</v>
      </c>
      <c r="C488" s="5">
        <v>1</v>
      </c>
      <c r="D488" s="10">
        <v>1</v>
      </c>
      <c r="E488" s="10">
        <v>0</v>
      </c>
      <c r="F488" s="10">
        <v>2014</v>
      </c>
      <c r="G488" s="10" t="s">
        <v>73</v>
      </c>
      <c r="H488" s="7" t="str">
        <f t="shared" si="399"/>
        <v>Yes</v>
      </c>
      <c r="I488" s="54" t="s">
        <v>56</v>
      </c>
      <c r="J488" s="8">
        <v>1</v>
      </c>
      <c r="K488" s="8" t="s">
        <v>51</v>
      </c>
      <c r="L488" s="8" t="s">
        <v>123</v>
      </c>
      <c r="M488" s="8" t="s">
        <v>123</v>
      </c>
      <c r="N488" s="8">
        <v>0</v>
      </c>
      <c r="O488" s="8">
        <v>0</v>
      </c>
      <c r="P488" s="8">
        <v>0</v>
      </c>
      <c r="Q488" s="8" t="s">
        <v>65</v>
      </c>
      <c r="R488" s="9">
        <v>0.5</v>
      </c>
      <c r="S488" s="8">
        <v>0</v>
      </c>
      <c r="T488" s="8">
        <v>0</v>
      </c>
      <c r="U488" s="8">
        <v>0</v>
      </c>
      <c r="V488" s="8">
        <v>0</v>
      </c>
      <c r="W488" s="8">
        <v>1</v>
      </c>
      <c r="X488" s="8">
        <v>0</v>
      </c>
      <c r="Y488" s="8">
        <v>0</v>
      </c>
      <c r="Z488" s="8">
        <v>1</v>
      </c>
      <c r="AA488" s="8" t="s">
        <v>143</v>
      </c>
      <c r="AB488" s="8">
        <v>0</v>
      </c>
      <c r="AC488" s="8">
        <v>0</v>
      </c>
      <c r="AD488" s="8">
        <v>0</v>
      </c>
      <c r="AE488" s="8">
        <v>0</v>
      </c>
      <c r="AF488" s="8">
        <v>0</v>
      </c>
      <c r="AG488" s="8">
        <v>0</v>
      </c>
      <c r="AH488" s="8">
        <v>0</v>
      </c>
      <c r="AI488" s="8">
        <v>0</v>
      </c>
      <c r="AJ488" s="8">
        <v>1</v>
      </c>
      <c r="AK488" s="8">
        <v>0</v>
      </c>
      <c r="AL488" s="8">
        <v>1</v>
      </c>
      <c r="AM488" s="8">
        <v>1</v>
      </c>
      <c r="AN488" s="8">
        <v>0</v>
      </c>
      <c r="AO488" s="8">
        <v>0</v>
      </c>
      <c r="AP488" s="8">
        <v>0</v>
      </c>
      <c r="AQ488" s="8">
        <v>0</v>
      </c>
      <c r="AR488" s="8">
        <v>0</v>
      </c>
      <c r="AS488" s="8">
        <v>0</v>
      </c>
      <c r="AT488" s="8">
        <v>1</v>
      </c>
      <c r="AU488" s="8">
        <v>0</v>
      </c>
      <c r="AV488" s="8">
        <v>0</v>
      </c>
      <c r="AW488" s="8">
        <v>0</v>
      </c>
      <c r="AX488" s="8">
        <v>0</v>
      </c>
      <c r="AY488" s="8">
        <v>0</v>
      </c>
      <c r="AZ488" s="8">
        <v>0</v>
      </c>
      <c r="BA488" s="8">
        <v>0</v>
      </c>
      <c r="BB488" s="8">
        <v>0</v>
      </c>
      <c r="BC488" s="8">
        <v>0</v>
      </c>
      <c r="BD488" s="8">
        <v>0</v>
      </c>
      <c r="BE488" s="8">
        <v>0</v>
      </c>
      <c r="BF488" s="8">
        <v>0</v>
      </c>
      <c r="BG488" s="8">
        <v>0</v>
      </c>
      <c r="BH488" s="8">
        <v>0</v>
      </c>
      <c r="BI488" s="8">
        <v>0</v>
      </c>
      <c r="BJ488" s="8">
        <v>0</v>
      </c>
      <c r="BK488" s="8">
        <v>0</v>
      </c>
      <c r="BL488" s="8">
        <v>0</v>
      </c>
      <c r="BM488" s="8">
        <v>0</v>
      </c>
      <c r="BN488" s="8">
        <v>0</v>
      </c>
      <c r="BO488" s="8">
        <v>0</v>
      </c>
      <c r="BP488" s="8">
        <v>0</v>
      </c>
      <c r="BQ488" s="8">
        <v>0</v>
      </c>
      <c r="BR488" s="8">
        <v>0</v>
      </c>
      <c r="BS488" s="8">
        <f t="shared" si="526"/>
        <v>4</v>
      </c>
      <c r="BT488" s="8"/>
      <c r="BU488" s="2">
        <f t="shared" si="437"/>
        <v>0</v>
      </c>
      <c r="BV488" s="2">
        <f t="shared" si="403"/>
        <v>3</v>
      </c>
      <c r="BW488" s="2">
        <f t="shared" si="404"/>
        <v>0</v>
      </c>
      <c r="BX488" s="2">
        <f t="shared" si="407"/>
        <v>0</v>
      </c>
      <c r="BY488" s="2">
        <f t="shared" si="405"/>
        <v>0</v>
      </c>
      <c r="BZ488" s="2">
        <f t="shared" ref="BZ488:CA488" si="680">SUM(AQ488)</f>
        <v>0</v>
      </c>
      <c r="CA488" s="2">
        <f t="shared" si="680"/>
        <v>0</v>
      </c>
      <c r="CB488" s="2">
        <f t="shared" si="431"/>
        <v>1</v>
      </c>
    </row>
    <row r="489" spans="1:80" ht="16" x14ac:dyDescent="0.2">
      <c r="A489" s="3" t="s">
        <v>173</v>
      </c>
      <c r="B489" s="10">
        <v>620</v>
      </c>
      <c r="C489" s="5">
        <v>1</v>
      </c>
      <c r="D489" s="10">
        <v>1</v>
      </c>
      <c r="E489" s="10">
        <v>0</v>
      </c>
      <c r="F489" s="10">
        <v>2014</v>
      </c>
      <c r="G489" s="10" t="s">
        <v>74</v>
      </c>
      <c r="H489" s="7" t="str">
        <f t="shared" si="399"/>
        <v>No</v>
      </c>
      <c r="I489" s="54" t="s">
        <v>55</v>
      </c>
      <c r="J489" s="8">
        <v>1</v>
      </c>
      <c r="K489" s="8" t="s">
        <v>51</v>
      </c>
      <c r="L489" s="8" t="s">
        <v>123</v>
      </c>
      <c r="M489" s="8" t="s">
        <v>123</v>
      </c>
      <c r="N489" s="8">
        <v>0</v>
      </c>
      <c r="O489" s="8">
        <v>0</v>
      </c>
      <c r="P489" s="8">
        <v>0</v>
      </c>
      <c r="Q489" s="8" t="s">
        <v>65</v>
      </c>
      <c r="R489" s="9">
        <v>0.5</v>
      </c>
      <c r="S489" s="8">
        <v>0</v>
      </c>
      <c r="T489" s="8">
        <v>0</v>
      </c>
      <c r="U489" s="8">
        <v>0</v>
      </c>
      <c r="V489" s="8">
        <v>0</v>
      </c>
      <c r="W489" s="8">
        <v>1</v>
      </c>
      <c r="X489" s="8">
        <v>0</v>
      </c>
      <c r="Y489" s="8">
        <v>0</v>
      </c>
      <c r="Z489" s="8">
        <v>1</v>
      </c>
      <c r="AA489" s="8" t="s">
        <v>143</v>
      </c>
      <c r="AB489" s="8">
        <v>0</v>
      </c>
      <c r="AC489" s="8">
        <v>0</v>
      </c>
      <c r="AD489" s="8">
        <v>0</v>
      </c>
      <c r="AE489" s="8">
        <v>0</v>
      </c>
      <c r="AF489" s="8">
        <v>0</v>
      </c>
      <c r="AG489" s="8">
        <v>0</v>
      </c>
      <c r="AH489" s="8">
        <v>0</v>
      </c>
      <c r="AI489" s="8">
        <v>0</v>
      </c>
      <c r="AJ489" s="8">
        <v>1</v>
      </c>
      <c r="AK489" s="8">
        <v>0</v>
      </c>
      <c r="AL489" s="8">
        <v>1</v>
      </c>
      <c r="AM489" s="8">
        <v>1</v>
      </c>
      <c r="AN489" s="8">
        <v>0</v>
      </c>
      <c r="AO489" s="8">
        <v>0</v>
      </c>
      <c r="AP489" s="8">
        <v>0</v>
      </c>
      <c r="AQ489" s="8">
        <v>0</v>
      </c>
      <c r="AR489" s="8">
        <v>0</v>
      </c>
      <c r="AS489" s="8">
        <v>0</v>
      </c>
      <c r="AT489" s="8">
        <v>1</v>
      </c>
      <c r="AU489" s="8">
        <v>0</v>
      </c>
      <c r="AV489" s="8">
        <v>0</v>
      </c>
      <c r="AW489" s="8">
        <v>0</v>
      </c>
      <c r="AX489" s="8">
        <v>0</v>
      </c>
      <c r="AY489" s="8">
        <v>0</v>
      </c>
      <c r="AZ489" s="8">
        <v>0</v>
      </c>
      <c r="BA489" s="8">
        <v>0</v>
      </c>
      <c r="BB489" s="8">
        <v>0</v>
      </c>
      <c r="BC489" s="8">
        <v>0</v>
      </c>
      <c r="BD489" s="8">
        <v>0</v>
      </c>
      <c r="BE489" s="8">
        <v>0</v>
      </c>
      <c r="BF489" s="8">
        <v>0</v>
      </c>
      <c r="BG489" s="8">
        <v>0</v>
      </c>
      <c r="BH489" s="8">
        <v>0</v>
      </c>
      <c r="BI489" s="8">
        <v>0</v>
      </c>
      <c r="BJ489" s="8">
        <v>0</v>
      </c>
      <c r="BK489" s="8">
        <v>0</v>
      </c>
      <c r="BL489" s="8">
        <v>0</v>
      </c>
      <c r="BM489" s="8">
        <v>0</v>
      </c>
      <c r="BN489" s="8">
        <v>0</v>
      </c>
      <c r="BO489" s="8">
        <v>0</v>
      </c>
      <c r="BP489" s="8">
        <v>0</v>
      </c>
      <c r="BQ489" s="8">
        <v>0</v>
      </c>
      <c r="BR489" s="8">
        <v>0</v>
      </c>
      <c r="BS489" s="8">
        <f t="shared" si="526"/>
        <v>4</v>
      </c>
      <c r="BT489" s="8"/>
      <c r="BU489" s="2">
        <f t="shared" si="437"/>
        <v>0</v>
      </c>
      <c r="BV489" s="2">
        <f t="shared" si="403"/>
        <v>3</v>
      </c>
      <c r="BW489" s="2">
        <f t="shared" si="404"/>
        <v>0</v>
      </c>
      <c r="BX489" s="2">
        <f t="shared" si="407"/>
        <v>0</v>
      </c>
      <c r="BY489" s="2">
        <f t="shared" si="405"/>
        <v>0</v>
      </c>
      <c r="BZ489" s="2">
        <f t="shared" ref="BZ489:CA489" si="681">SUM(AQ489)</f>
        <v>0</v>
      </c>
      <c r="CA489" s="2">
        <f t="shared" si="681"/>
        <v>0</v>
      </c>
      <c r="CB489" s="2">
        <f t="shared" si="431"/>
        <v>1</v>
      </c>
    </row>
    <row r="490" spans="1:80" ht="16" x14ac:dyDescent="0.2">
      <c r="A490" s="3" t="s">
        <v>173</v>
      </c>
      <c r="B490" s="10">
        <v>620</v>
      </c>
      <c r="C490" s="5">
        <v>1</v>
      </c>
      <c r="D490" s="10">
        <v>1</v>
      </c>
      <c r="E490" s="10">
        <v>0</v>
      </c>
      <c r="F490" s="10">
        <v>2014</v>
      </c>
      <c r="G490" s="10" t="s">
        <v>75</v>
      </c>
      <c r="H490" s="7" t="str">
        <f t="shared" si="399"/>
        <v>No</v>
      </c>
      <c r="I490" s="54" t="s">
        <v>55</v>
      </c>
      <c r="J490" s="8">
        <v>1</v>
      </c>
      <c r="K490" s="8" t="s">
        <v>51</v>
      </c>
      <c r="L490" s="8" t="s">
        <v>123</v>
      </c>
      <c r="M490" s="8" t="s">
        <v>123</v>
      </c>
      <c r="N490" s="8">
        <v>0</v>
      </c>
      <c r="O490" s="8">
        <v>0</v>
      </c>
      <c r="P490" s="8">
        <v>0</v>
      </c>
      <c r="Q490" s="8" t="s">
        <v>65</v>
      </c>
      <c r="R490" s="9">
        <v>0.5</v>
      </c>
      <c r="S490" s="8">
        <v>0</v>
      </c>
      <c r="T490" s="8">
        <v>0</v>
      </c>
      <c r="U490" s="8">
        <v>0</v>
      </c>
      <c r="V490" s="8">
        <v>0</v>
      </c>
      <c r="W490" s="8">
        <v>1</v>
      </c>
      <c r="X490" s="8">
        <v>0</v>
      </c>
      <c r="Y490" s="8">
        <v>0</v>
      </c>
      <c r="Z490" s="8">
        <v>1</v>
      </c>
      <c r="AA490" s="8" t="s">
        <v>143</v>
      </c>
      <c r="AB490" s="8">
        <v>0</v>
      </c>
      <c r="AC490" s="8">
        <v>0</v>
      </c>
      <c r="AD490" s="8">
        <v>0</v>
      </c>
      <c r="AE490" s="8">
        <v>0</v>
      </c>
      <c r="AF490" s="8">
        <v>0</v>
      </c>
      <c r="AG490" s="8">
        <v>0</v>
      </c>
      <c r="AH490" s="8">
        <v>0</v>
      </c>
      <c r="AI490" s="8">
        <v>0</v>
      </c>
      <c r="AJ490" s="8">
        <v>1</v>
      </c>
      <c r="AK490" s="8">
        <v>0</v>
      </c>
      <c r="AL490" s="8">
        <v>1</v>
      </c>
      <c r="AM490" s="8">
        <v>1</v>
      </c>
      <c r="AN490" s="8">
        <v>0</v>
      </c>
      <c r="AO490" s="8">
        <v>0</v>
      </c>
      <c r="AP490" s="8">
        <v>0</v>
      </c>
      <c r="AQ490" s="8">
        <v>0</v>
      </c>
      <c r="AR490" s="8">
        <v>0</v>
      </c>
      <c r="AS490" s="8">
        <v>0</v>
      </c>
      <c r="AT490" s="8">
        <v>1</v>
      </c>
      <c r="AU490" s="8">
        <v>0</v>
      </c>
      <c r="AV490" s="8">
        <v>0</v>
      </c>
      <c r="AW490" s="8">
        <v>0</v>
      </c>
      <c r="AX490" s="8">
        <v>0</v>
      </c>
      <c r="AY490" s="8">
        <v>0</v>
      </c>
      <c r="AZ490" s="8">
        <v>0</v>
      </c>
      <c r="BA490" s="8">
        <v>0</v>
      </c>
      <c r="BB490" s="8">
        <v>0</v>
      </c>
      <c r="BC490" s="8">
        <v>0</v>
      </c>
      <c r="BD490" s="8">
        <v>0</v>
      </c>
      <c r="BE490" s="8">
        <v>0</v>
      </c>
      <c r="BF490" s="8">
        <v>0</v>
      </c>
      <c r="BG490" s="8">
        <v>0</v>
      </c>
      <c r="BH490" s="8">
        <v>0</v>
      </c>
      <c r="BI490" s="8">
        <v>0</v>
      </c>
      <c r="BJ490" s="8">
        <v>0</v>
      </c>
      <c r="BK490" s="8">
        <v>0</v>
      </c>
      <c r="BL490" s="8">
        <v>0</v>
      </c>
      <c r="BM490" s="8">
        <v>0</v>
      </c>
      <c r="BN490" s="8">
        <v>0</v>
      </c>
      <c r="BO490" s="8">
        <v>0</v>
      </c>
      <c r="BP490" s="8">
        <v>0</v>
      </c>
      <c r="BQ490" s="8">
        <v>0</v>
      </c>
      <c r="BR490" s="8">
        <v>0</v>
      </c>
      <c r="BS490" s="8">
        <f t="shared" si="526"/>
        <v>4</v>
      </c>
      <c r="BT490" s="8"/>
      <c r="BU490" s="2">
        <f t="shared" si="437"/>
        <v>0</v>
      </c>
      <c r="BV490" s="2">
        <f t="shared" si="403"/>
        <v>3</v>
      </c>
      <c r="BW490" s="2">
        <f t="shared" si="404"/>
        <v>0</v>
      </c>
      <c r="BX490" s="2">
        <f t="shared" si="407"/>
        <v>0</v>
      </c>
      <c r="BY490" s="2">
        <f t="shared" si="405"/>
        <v>0</v>
      </c>
      <c r="BZ490" s="2">
        <f t="shared" ref="BZ490:CA490" si="682">SUM(AQ490)</f>
        <v>0</v>
      </c>
      <c r="CA490" s="2">
        <f t="shared" si="682"/>
        <v>0</v>
      </c>
      <c r="CB490" s="2">
        <f t="shared" si="431"/>
        <v>1</v>
      </c>
    </row>
    <row r="491" spans="1:80" ht="16" x14ac:dyDescent="0.2">
      <c r="A491" s="3" t="s">
        <v>173</v>
      </c>
      <c r="B491" s="10">
        <v>620</v>
      </c>
      <c r="C491" s="5">
        <v>1</v>
      </c>
      <c r="D491" s="10">
        <v>1</v>
      </c>
      <c r="E491" s="10">
        <v>0</v>
      </c>
      <c r="F491" s="10">
        <v>2014</v>
      </c>
      <c r="G491" s="10" t="s">
        <v>76</v>
      </c>
      <c r="H491" s="7" t="str">
        <f t="shared" si="399"/>
        <v>No</v>
      </c>
      <c r="I491" s="54" t="s">
        <v>55</v>
      </c>
      <c r="J491" s="8">
        <v>1</v>
      </c>
      <c r="K491" s="8" t="s">
        <v>51</v>
      </c>
      <c r="L491" s="8" t="s">
        <v>123</v>
      </c>
      <c r="M491" s="8" t="s">
        <v>123</v>
      </c>
      <c r="N491" s="8">
        <v>0</v>
      </c>
      <c r="O491" s="8">
        <v>0</v>
      </c>
      <c r="P491" s="8">
        <v>0</v>
      </c>
      <c r="Q491" s="8" t="s">
        <v>65</v>
      </c>
      <c r="R491" s="9">
        <v>0.5</v>
      </c>
      <c r="S491" s="8">
        <v>0</v>
      </c>
      <c r="T491" s="8">
        <v>0</v>
      </c>
      <c r="U491" s="8">
        <v>0</v>
      </c>
      <c r="V491" s="8">
        <v>0</v>
      </c>
      <c r="W491" s="8">
        <v>1</v>
      </c>
      <c r="X491" s="8">
        <v>0</v>
      </c>
      <c r="Y491" s="8">
        <v>0</v>
      </c>
      <c r="Z491" s="8">
        <v>1</v>
      </c>
      <c r="AA491" s="8" t="s">
        <v>143</v>
      </c>
      <c r="AB491" s="8">
        <v>0</v>
      </c>
      <c r="AC491" s="8">
        <v>0</v>
      </c>
      <c r="AD491" s="8">
        <v>0</v>
      </c>
      <c r="AE491" s="8">
        <v>0</v>
      </c>
      <c r="AF491" s="8">
        <v>0</v>
      </c>
      <c r="AG491" s="8">
        <v>0</v>
      </c>
      <c r="AH491" s="8">
        <v>0</v>
      </c>
      <c r="AI491" s="8">
        <v>0</v>
      </c>
      <c r="AJ491" s="8">
        <v>1</v>
      </c>
      <c r="AK491" s="8">
        <v>0</v>
      </c>
      <c r="AL491" s="8">
        <v>1</v>
      </c>
      <c r="AM491" s="8">
        <v>1</v>
      </c>
      <c r="AN491" s="8">
        <v>0</v>
      </c>
      <c r="AO491" s="8">
        <v>0</v>
      </c>
      <c r="AP491" s="8">
        <v>0</v>
      </c>
      <c r="AQ491" s="8">
        <v>0</v>
      </c>
      <c r="AR491" s="8">
        <v>0</v>
      </c>
      <c r="AS491" s="8">
        <v>0</v>
      </c>
      <c r="AT491" s="8">
        <v>1</v>
      </c>
      <c r="AU491" s="8">
        <v>0</v>
      </c>
      <c r="AV491" s="8">
        <v>0</v>
      </c>
      <c r="AW491" s="8">
        <v>0</v>
      </c>
      <c r="AX491" s="8">
        <v>0</v>
      </c>
      <c r="AY491" s="8">
        <v>0</v>
      </c>
      <c r="AZ491" s="8">
        <v>0</v>
      </c>
      <c r="BA491" s="8">
        <v>0</v>
      </c>
      <c r="BB491" s="8">
        <v>0</v>
      </c>
      <c r="BC491" s="8">
        <v>0</v>
      </c>
      <c r="BD491" s="8">
        <v>0</v>
      </c>
      <c r="BE491" s="8">
        <v>0</v>
      </c>
      <c r="BF491" s="8">
        <v>0</v>
      </c>
      <c r="BG491" s="8">
        <v>0</v>
      </c>
      <c r="BH491" s="8">
        <v>0</v>
      </c>
      <c r="BI491" s="8">
        <v>0</v>
      </c>
      <c r="BJ491" s="8">
        <v>0</v>
      </c>
      <c r="BK491" s="8">
        <v>0</v>
      </c>
      <c r="BL491" s="8">
        <v>0</v>
      </c>
      <c r="BM491" s="8">
        <v>0</v>
      </c>
      <c r="BN491" s="8">
        <v>0</v>
      </c>
      <c r="BO491" s="8">
        <v>0</v>
      </c>
      <c r="BP491" s="8">
        <v>0</v>
      </c>
      <c r="BQ491" s="8">
        <v>0</v>
      </c>
      <c r="BR491" s="8">
        <v>0</v>
      </c>
      <c r="BS491" s="8">
        <f t="shared" si="526"/>
        <v>4</v>
      </c>
      <c r="BT491" s="8"/>
      <c r="BU491" s="2">
        <f t="shared" si="437"/>
        <v>0</v>
      </c>
      <c r="BV491" s="2">
        <f t="shared" si="403"/>
        <v>3</v>
      </c>
      <c r="BW491" s="2">
        <f t="shared" si="404"/>
        <v>0</v>
      </c>
      <c r="BX491" s="2">
        <f t="shared" si="407"/>
        <v>0</v>
      </c>
      <c r="BY491" s="2">
        <f t="shared" si="405"/>
        <v>0</v>
      </c>
      <c r="BZ491" s="2">
        <f t="shared" ref="BZ491:CA491" si="683">SUM(AQ491)</f>
        <v>0</v>
      </c>
      <c r="CA491" s="2">
        <f t="shared" si="683"/>
        <v>0</v>
      </c>
      <c r="CB491" s="2">
        <f t="shared" si="431"/>
        <v>1</v>
      </c>
    </row>
    <row r="492" spans="1:80" ht="16" x14ac:dyDescent="0.2">
      <c r="A492" s="3" t="s">
        <v>173</v>
      </c>
      <c r="B492" s="10">
        <v>620</v>
      </c>
      <c r="C492" s="5">
        <v>1</v>
      </c>
      <c r="D492" s="10">
        <v>1</v>
      </c>
      <c r="E492" s="10">
        <v>0</v>
      </c>
      <c r="F492" s="10">
        <v>2014</v>
      </c>
      <c r="G492" s="10" t="s">
        <v>77</v>
      </c>
      <c r="H492" s="7" t="str">
        <f t="shared" si="399"/>
        <v>No</v>
      </c>
      <c r="I492" s="54" t="s">
        <v>55</v>
      </c>
      <c r="J492" s="8">
        <v>1</v>
      </c>
      <c r="K492" s="8" t="s">
        <v>51</v>
      </c>
      <c r="L492" s="8" t="s">
        <v>123</v>
      </c>
      <c r="M492" s="8" t="s">
        <v>123</v>
      </c>
      <c r="N492" s="8">
        <v>0</v>
      </c>
      <c r="O492" s="8">
        <v>0</v>
      </c>
      <c r="P492" s="8">
        <v>0</v>
      </c>
      <c r="Q492" s="8" t="s">
        <v>65</v>
      </c>
      <c r="R492" s="9">
        <v>0.5</v>
      </c>
      <c r="S492" s="8">
        <v>0</v>
      </c>
      <c r="T492" s="8">
        <v>0</v>
      </c>
      <c r="U492" s="8">
        <v>0</v>
      </c>
      <c r="V492" s="8">
        <v>0</v>
      </c>
      <c r="W492" s="8">
        <v>1</v>
      </c>
      <c r="X492" s="8">
        <v>0</v>
      </c>
      <c r="Y492" s="8">
        <v>0</v>
      </c>
      <c r="Z492" s="8">
        <v>1</v>
      </c>
      <c r="AA492" s="8" t="s">
        <v>143</v>
      </c>
      <c r="AB492" s="8">
        <v>0</v>
      </c>
      <c r="AC492" s="8">
        <v>0</v>
      </c>
      <c r="AD492" s="8">
        <v>0</v>
      </c>
      <c r="AE492" s="8">
        <v>0</v>
      </c>
      <c r="AF492" s="8">
        <v>0</v>
      </c>
      <c r="AG492" s="8">
        <v>0</v>
      </c>
      <c r="AH492" s="8">
        <v>0</v>
      </c>
      <c r="AI492" s="8">
        <v>0</v>
      </c>
      <c r="AJ492" s="8">
        <v>1</v>
      </c>
      <c r="AK492" s="8">
        <v>0</v>
      </c>
      <c r="AL492" s="8">
        <v>1</v>
      </c>
      <c r="AM492" s="8">
        <v>1</v>
      </c>
      <c r="AN492" s="8">
        <v>0</v>
      </c>
      <c r="AO492" s="8">
        <v>0</v>
      </c>
      <c r="AP492" s="8">
        <v>0</v>
      </c>
      <c r="AQ492" s="8">
        <v>0</v>
      </c>
      <c r="AR492" s="8">
        <v>0</v>
      </c>
      <c r="AS492" s="8">
        <v>0</v>
      </c>
      <c r="AT492" s="8">
        <v>1</v>
      </c>
      <c r="AU492" s="8">
        <v>0</v>
      </c>
      <c r="AV492" s="8">
        <v>0</v>
      </c>
      <c r="AW492" s="8">
        <v>0</v>
      </c>
      <c r="AX492" s="8">
        <v>0</v>
      </c>
      <c r="AY492" s="8">
        <v>0</v>
      </c>
      <c r="AZ492" s="8">
        <v>0</v>
      </c>
      <c r="BA492" s="8">
        <v>0</v>
      </c>
      <c r="BB492" s="8">
        <v>0</v>
      </c>
      <c r="BC492" s="8">
        <v>0</v>
      </c>
      <c r="BD492" s="8">
        <v>0</v>
      </c>
      <c r="BE492" s="8">
        <v>0</v>
      </c>
      <c r="BF492" s="8">
        <v>0</v>
      </c>
      <c r="BG492" s="8">
        <v>0</v>
      </c>
      <c r="BH492" s="8">
        <v>0</v>
      </c>
      <c r="BI492" s="8">
        <v>0</v>
      </c>
      <c r="BJ492" s="8">
        <v>0</v>
      </c>
      <c r="BK492" s="8">
        <v>0</v>
      </c>
      <c r="BL492" s="8">
        <v>0</v>
      </c>
      <c r="BM492" s="8">
        <v>0</v>
      </c>
      <c r="BN492" s="8">
        <v>0</v>
      </c>
      <c r="BO492" s="8">
        <v>0</v>
      </c>
      <c r="BP492" s="8">
        <v>0</v>
      </c>
      <c r="BQ492" s="8">
        <v>0</v>
      </c>
      <c r="BR492" s="8">
        <v>0</v>
      </c>
      <c r="BS492" s="8">
        <f t="shared" si="526"/>
        <v>4</v>
      </c>
      <c r="BT492" s="8"/>
      <c r="BU492" s="2">
        <f t="shared" si="437"/>
        <v>0</v>
      </c>
      <c r="BV492" s="2">
        <f t="shared" si="403"/>
        <v>3</v>
      </c>
      <c r="BW492" s="2">
        <f t="shared" si="404"/>
        <v>0</v>
      </c>
      <c r="BX492" s="2">
        <f t="shared" si="407"/>
        <v>0</v>
      </c>
      <c r="BY492" s="2">
        <f t="shared" si="405"/>
        <v>0</v>
      </c>
      <c r="BZ492" s="2">
        <f t="shared" ref="BZ492:CA492" si="684">SUM(AQ492)</f>
        <v>0</v>
      </c>
      <c r="CA492" s="2">
        <f t="shared" si="684"/>
        <v>0</v>
      </c>
      <c r="CB492" s="2">
        <f t="shared" si="431"/>
        <v>1</v>
      </c>
    </row>
    <row r="493" spans="1:80" ht="16" x14ac:dyDescent="0.2">
      <c r="A493" s="3" t="s">
        <v>173</v>
      </c>
      <c r="B493" s="10">
        <v>620</v>
      </c>
      <c r="C493" s="5">
        <v>1</v>
      </c>
      <c r="D493" s="10">
        <v>1</v>
      </c>
      <c r="E493" s="10">
        <v>0</v>
      </c>
      <c r="F493" s="10">
        <v>2014</v>
      </c>
      <c r="G493" s="10" t="s">
        <v>78</v>
      </c>
      <c r="H493" s="7" t="str">
        <f t="shared" si="399"/>
        <v>No</v>
      </c>
      <c r="I493" s="54" t="s">
        <v>55</v>
      </c>
      <c r="J493" s="8">
        <v>1</v>
      </c>
      <c r="K493" s="8" t="s">
        <v>51</v>
      </c>
      <c r="L493" s="8" t="s">
        <v>123</v>
      </c>
      <c r="M493" s="8" t="s">
        <v>123</v>
      </c>
      <c r="N493" s="8">
        <v>0</v>
      </c>
      <c r="O493" s="8">
        <v>0</v>
      </c>
      <c r="P493" s="8">
        <v>0</v>
      </c>
      <c r="Q493" s="8" t="s">
        <v>65</v>
      </c>
      <c r="R493" s="9">
        <v>0.5</v>
      </c>
      <c r="S493" s="8">
        <v>0</v>
      </c>
      <c r="T493" s="8">
        <v>0</v>
      </c>
      <c r="U493" s="8">
        <v>0</v>
      </c>
      <c r="V493" s="8">
        <v>0</v>
      </c>
      <c r="W493" s="8">
        <v>1</v>
      </c>
      <c r="X493" s="8">
        <v>0</v>
      </c>
      <c r="Y493" s="8">
        <v>0</v>
      </c>
      <c r="Z493" s="8">
        <v>1</v>
      </c>
      <c r="AA493" s="8" t="s">
        <v>143</v>
      </c>
      <c r="AB493" s="8">
        <v>0</v>
      </c>
      <c r="AC493" s="8">
        <v>0</v>
      </c>
      <c r="AD493" s="8">
        <v>0</v>
      </c>
      <c r="AE493" s="8">
        <v>0</v>
      </c>
      <c r="AF493" s="8">
        <v>0</v>
      </c>
      <c r="AG493" s="8">
        <v>0</v>
      </c>
      <c r="AH493" s="8">
        <v>0</v>
      </c>
      <c r="AI493" s="8">
        <v>0</v>
      </c>
      <c r="AJ493" s="8">
        <v>1</v>
      </c>
      <c r="AK493" s="8">
        <v>0</v>
      </c>
      <c r="AL493" s="8">
        <v>1</v>
      </c>
      <c r="AM493" s="8">
        <v>1</v>
      </c>
      <c r="AN493" s="8">
        <v>0</v>
      </c>
      <c r="AO493" s="8">
        <v>0</v>
      </c>
      <c r="AP493" s="8">
        <v>0</v>
      </c>
      <c r="AQ493" s="8">
        <v>0</v>
      </c>
      <c r="AR493" s="8">
        <v>0</v>
      </c>
      <c r="AS493" s="8">
        <v>0</v>
      </c>
      <c r="AT493" s="8">
        <v>1</v>
      </c>
      <c r="AU493" s="8">
        <v>0</v>
      </c>
      <c r="AV493" s="8">
        <v>0</v>
      </c>
      <c r="AW493" s="8">
        <v>0</v>
      </c>
      <c r="AX493" s="8">
        <v>0</v>
      </c>
      <c r="AY493" s="8">
        <v>0</v>
      </c>
      <c r="AZ493" s="8">
        <v>0</v>
      </c>
      <c r="BA493" s="8">
        <v>0</v>
      </c>
      <c r="BB493" s="8">
        <v>0</v>
      </c>
      <c r="BC493" s="8">
        <v>0</v>
      </c>
      <c r="BD493" s="8">
        <v>0</v>
      </c>
      <c r="BE493" s="8">
        <v>0</v>
      </c>
      <c r="BF493" s="8">
        <v>0</v>
      </c>
      <c r="BG493" s="8">
        <v>0</v>
      </c>
      <c r="BH493" s="8">
        <v>0</v>
      </c>
      <c r="BI493" s="8">
        <v>0</v>
      </c>
      <c r="BJ493" s="8">
        <v>0</v>
      </c>
      <c r="BK493" s="8">
        <v>0</v>
      </c>
      <c r="BL493" s="8">
        <v>0</v>
      </c>
      <c r="BM493" s="8">
        <v>0</v>
      </c>
      <c r="BN493" s="8">
        <v>0</v>
      </c>
      <c r="BO493" s="8">
        <v>0</v>
      </c>
      <c r="BP493" s="8">
        <v>0</v>
      </c>
      <c r="BQ493" s="8">
        <v>0</v>
      </c>
      <c r="BR493" s="8">
        <v>0</v>
      </c>
      <c r="BS493" s="8">
        <f t="shared" si="526"/>
        <v>4</v>
      </c>
      <c r="BT493" s="8"/>
      <c r="BU493" s="2">
        <f t="shared" si="437"/>
        <v>0</v>
      </c>
      <c r="BV493" s="2">
        <f t="shared" si="403"/>
        <v>3</v>
      </c>
      <c r="BW493" s="2">
        <f t="shared" si="404"/>
        <v>0</v>
      </c>
      <c r="BX493" s="2">
        <f t="shared" si="407"/>
        <v>0</v>
      </c>
      <c r="BY493" s="2">
        <f t="shared" si="405"/>
        <v>0</v>
      </c>
      <c r="BZ493" s="2">
        <f t="shared" ref="BZ493:CA493" si="685">SUM(AQ493)</f>
        <v>0</v>
      </c>
      <c r="CA493" s="2">
        <f t="shared" si="685"/>
        <v>0</v>
      </c>
      <c r="CB493" s="2">
        <f t="shared" si="431"/>
        <v>1</v>
      </c>
    </row>
    <row r="494" spans="1:80" ht="15" customHeight="1" x14ac:dyDescent="0.2">
      <c r="A494" s="3" t="s">
        <v>173</v>
      </c>
      <c r="B494" s="10">
        <v>620</v>
      </c>
      <c r="C494" s="5">
        <v>1</v>
      </c>
      <c r="D494" s="10">
        <v>1</v>
      </c>
      <c r="E494" s="10">
        <v>0</v>
      </c>
      <c r="F494" s="10">
        <v>2014</v>
      </c>
      <c r="G494" s="10" t="s">
        <v>79</v>
      </c>
      <c r="H494" s="7" t="str">
        <f t="shared" si="399"/>
        <v>No</v>
      </c>
      <c r="I494" s="54" t="s">
        <v>55</v>
      </c>
      <c r="J494" s="8">
        <v>1</v>
      </c>
      <c r="K494" s="8" t="s">
        <v>51</v>
      </c>
      <c r="L494" s="8" t="s">
        <v>123</v>
      </c>
      <c r="M494" s="8" t="s">
        <v>123</v>
      </c>
      <c r="N494" s="8">
        <v>0</v>
      </c>
      <c r="O494" s="8">
        <v>0</v>
      </c>
      <c r="P494" s="8">
        <v>0</v>
      </c>
      <c r="Q494" s="8" t="s">
        <v>65</v>
      </c>
      <c r="R494" s="9">
        <v>0.5</v>
      </c>
      <c r="S494" s="8">
        <v>0</v>
      </c>
      <c r="T494" s="8">
        <v>0</v>
      </c>
      <c r="U494" s="8">
        <v>0</v>
      </c>
      <c r="V494" s="8">
        <v>0</v>
      </c>
      <c r="W494" s="8">
        <v>1</v>
      </c>
      <c r="X494" s="8">
        <v>0</v>
      </c>
      <c r="Y494" s="8">
        <v>0</v>
      </c>
      <c r="Z494" s="8">
        <v>1</v>
      </c>
      <c r="AA494" s="8" t="s">
        <v>143</v>
      </c>
      <c r="AB494" s="8">
        <v>0</v>
      </c>
      <c r="AC494" s="8">
        <v>0</v>
      </c>
      <c r="AD494" s="8">
        <v>0</v>
      </c>
      <c r="AE494" s="8">
        <v>0</v>
      </c>
      <c r="AF494" s="8">
        <v>0</v>
      </c>
      <c r="AG494" s="8">
        <v>0</v>
      </c>
      <c r="AH494" s="8">
        <v>0</v>
      </c>
      <c r="AI494" s="8">
        <v>0</v>
      </c>
      <c r="AJ494" s="8">
        <v>1</v>
      </c>
      <c r="AK494" s="8">
        <v>0</v>
      </c>
      <c r="AL494" s="8">
        <v>1</v>
      </c>
      <c r="AM494" s="8">
        <v>1</v>
      </c>
      <c r="AN494" s="8">
        <v>0</v>
      </c>
      <c r="AO494" s="8">
        <v>0</v>
      </c>
      <c r="AP494" s="8">
        <v>0</v>
      </c>
      <c r="AQ494" s="8">
        <v>0</v>
      </c>
      <c r="AR494" s="8">
        <v>0</v>
      </c>
      <c r="AS494" s="8">
        <v>0</v>
      </c>
      <c r="AT494" s="8">
        <v>1</v>
      </c>
      <c r="AU494" s="8">
        <v>0</v>
      </c>
      <c r="AV494" s="8">
        <v>0</v>
      </c>
      <c r="AW494" s="8">
        <v>0</v>
      </c>
      <c r="AX494" s="8">
        <v>0</v>
      </c>
      <c r="AY494" s="8">
        <v>0</v>
      </c>
      <c r="AZ494" s="8">
        <v>0</v>
      </c>
      <c r="BA494" s="8">
        <v>0</v>
      </c>
      <c r="BB494" s="8">
        <v>0</v>
      </c>
      <c r="BC494" s="8">
        <v>0</v>
      </c>
      <c r="BD494" s="8">
        <v>0</v>
      </c>
      <c r="BE494" s="8">
        <v>0</v>
      </c>
      <c r="BF494" s="8">
        <v>0</v>
      </c>
      <c r="BG494" s="8">
        <v>0</v>
      </c>
      <c r="BH494" s="8">
        <v>0</v>
      </c>
      <c r="BI494" s="8">
        <v>0</v>
      </c>
      <c r="BJ494" s="8">
        <v>0</v>
      </c>
      <c r="BK494" s="8">
        <v>0</v>
      </c>
      <c r="BL494" s="8">
        <v>0</v>
      </c>
      <c r="BM494" s="8">
        <v>0</v>
      </c>
      <c r="BN494" s="8">
        <v>0</v>
      </c>
      <c r="BO494" s="8">
        <v>0</v>
      </c>
      <c r="BP494" s="8">
        <v>0</v>
      </c>
      <c r="BQ494" s="8">
        <v>0</v>
      </c>
      <c r="BR494" s="8">
        <v>0</v>
      </c>
      <c r="BS494" s="8">
        <f t="shared" si="526"/>
        <v>4</v>
      </c>
      <c r="BT494" s="8"/>
      <c r="BU494" s="2">
        <f t="shared" si="437"/>
        <v>0</v>
      </c>
      <c r="BV494" s="2">
        <f t="shared" si="403"/>
        <v>3</v>
      </c>
      <c r="BW494" s="2">
        <f t="shared" si="404"/>
        <v>0</v>
      </c>
      <c r="BX494" s="2">
        <f t="shared" si="407"/>
        <v>0</v>
      </c>
      <c r="BY494" s="2">
        <f t="shared" si="405"/>
        <v>0</v>
      </c>
      <c r="BZ494" s="2">
        <f t="shared" ref="BZ494:CA494" si="686">SUM(AQ494)</f>
        <v>0</v>
      </c>
      <c r="CA494" s="2">
        <f t="shared" si="686"/>
        <v>0</v>
      </c>
      <c r="CB494" s="2">
        <f t="shared" si="431"/>
        <v>1</v>
      </c>
    </row>
    <row r="495" spans="1:80" ht="15" customHeight="1" x14ac:dyDescent="0.2">
      <c r="A495" s="3" t="s">
        <v>173</v>
      </c>
      <c r="B495" s="10">
        <v>620</v>
      </c>
      <c r="C495" s="5">
        <v>1</v>
      </c>
      <c r="D495" s="10">
        <v>1</v>
      </c>
      <c r="E495" s="10">
        <v>0</v>
      </c>
      <c r="F495" s="10">
        <v>2014</v>
      </c>
      <c r="G495" s="10" t="s">
        <v>80</v>
      </c>
      <c r="H495" s="7" t="str">
        <f t="shared" si="399"/>
        <v>No</v>
      </c>
      <c r="I495" s="54" t="s">
        <v>55</v>
      </c>
      <c r="J495" s="8">
        <v>1</v>
      </c>
      <c r="K495" s="8" t="s">
        <v>51</v>
      </c>
      <c r="L495" s="8" t="s">
        <v>123</v>
      </c>
      <c r="M495" s="8" t="s">
        <v>123</v>
      </c>
      <c r="N495" s="8">
        <v>0</v>
      </c>
      <c r="O495" s="8">
        <v>0</v>
      </c>
      <c r="P495" s="8">
        <v>0</v>
      </c>
      <c r="Q495" s="8" t="s">
        <v>65</v>
      </c>
      <c r="R495" s="9">
        <v>0.5</v>
      </c>
      <c r="S495" s="8">
        <v>0</v>
      </c>
      <c r="T495" s="8">
        <v>0</v>
      </c>
      <c r="U495" s="8">
        <v>0</v>
      </c>
      <c r="V495" s="8">
        <v>0</v>
      </c>
      <c r="W495" s="8">
        <v>1</v>
      </c>
      <c r="X495" s="8">
        <v>0</v>
      </c>
      <c r="Y495" s="8">
        <v>0</v>
      </c>
      <c r="Z495" s="8">
        <v>1</v>
      </c>
      <c r="AA495" s="8" t="s">
        <v>143</v>
      </c>
      <c r="AB495" s="8">
        <v>0</v>
      </c>
      <c r="AC495" s="8">
        <v>0</v>
      </c>
      <c r="AD495" s="8">
        <v>0</v>
      </c>
      <c r="AE495" s="8">
        <v>0</v>
      </c>
      <c r="AF495" s="8">
        <v>0</v>
      </c>
      <c r="AG495" s="8">
        <v>0</v>
      </c>
      <c r="AH495" s="8">
        <v>0</v>
      </c>
      <c r="AI495" s="8">
        <v>0</v>
      </c>
      <c r="AJ495" s="8">
        <v>1</v>
      </c>
      <c r="AK495" s="8">
        <v>0</v>
      </c>
      <c r="AL495" s="8">
        <v>1</v>
      </c>
      <c r="AM495" s="8">
        <v>1</v>
      </c>
      <c r="AN495" s="8">
        <v>0</v>
      </c>
      <c r="AO495" s="8">
        <v>0</v>
      </c>
      <c r="AP495" s="8">
        <v>0</v>
      </c>
      <c r="AQ495" s="8">
        <v>0</v>
      </c>
      <c r="AR495" s="8">
        <v>0</v>
      </c>
      <c r="AS495" s="8">
        <v>0</v>
      </c>
      <c r="AT495" s="8">
        <v>1</v>
      </c>
      <c r="AU495" s="8">
        <v>0</v>
      </c>
      <c r="AV495" s="8">
        <v>0</v>
      </c>
      <c r="AW495" s="8">
        <v>0</v>
      </c>
      <c r="AX495" s="8">
        <v>0</v>
      </c>
      <c r="AY495" s="8">
        <v>0</v>
      </c>
      <c r="AZ495" s="8">
        <v>0</v>
      </c>
      <c r="BA495" s="8">
        <v>0</v>
      </c>
      <c r="BB495" s="8">
        <v>0</v>
      </c>
      <c r="BC495" s="8">
        <v>0</v>
      </c>
      <c r="BD495" s="8">
        <v>0</v>
      </c>
      <c r="BE495" s="8">
        <v>0</v>
      </c>
      <c r="BF495" s="8">
        <v>0</v>
      </c>
      <c r="BG495" s="8">
        <v>0</v>
      </c>
      <c r="BH495" s="8">
        <v>0</v>
      </c>
      <c r="BI495" s="8">
        <v>0</v>
      </c>
      <c r="BJ495" s="8">
        <v>0</v>
      </c>
      <c r="BK495" s="8">
        <v>0</v>
      </c>
      <c r="BL495" s="8">
        <v>0</v>
      </c>
      <c r="BM495" s="8">
        <v>0</v>
      </c>
      <c r="BN495" s="8">
        <v>0</v>
      </c>
      <c r="BO495" s="8">
        <v>0</v>
      </c>
      <c r="BP495" s="8">
        <v>0</v>
      </c>
      <c r="BQ495" s="8">
        <v>0</v>
      </c>
      <c r="BR495" s="8">
        <v>0</v>
      </c>
      <c r="BS495" s="8">
        <f t="shared" si="526"/>
        <v>4</v>
      </c>
      <c r="BT495" s="8"/>
      <c r="BU495" s="2">
        <f t="shared" si="437"/>
        <v>0</v>
      </c>
      <c r="BV495" s="2">
        <f t="shared" si="403"/>
        <v>3</v>
      </c>
      <c r="BW495" s="2">
        <f t="shared" si="404"/>
        <v>0</v>
      </c>
      <c r="BX495" s="2">
        <f t="shared" si="407"/>
        <v>0</v>
      </c>
      <c r="BY495" s="2">
        <f t="shared" si="405"/>
        <v>0</v>
      </c>
      <c r="BZ495" s="2">
        <f t="shared" ref="BZ495:CA495" si="687">SUM(AQ495)</f>
        <v>0</v>
      </c>
      <c r="CA495" s="2">
        <f t="shared" si="687"/>
        <v>0</v>
      </c>
      <c r="CB495" s="2">
        <f t="shared" si="431"/>
        <v>1</v>
      </c>
    </row>
    <row r="496" spans="1:80" ht="15" customHeight="1" x14ac:dyDescent="0.2">
      <c r="A496" s="3" t="s">
        <v>173</v>
      </c>
      <c r="B496" s="10">
        <v>620</v>
      </c>
      <c r="C496" s="5">
        <v>1</v>
      </c>
      <c r="D496" s="10">
        <v>1</v>
      </c>
      <c r="E496" s="10">
        <v>0</v>
      </c>
      <c r="F496" s="10">
        <v>2014</v>
      </c>
      <c r="G496" s="10">
        <v>2022</v>
      </c>
      <c r="H496" s="7" t="str">
        <f>IF($I496="1", "Yes", "No")</f>
        <v>No</v>
      </c>
      <c r="I496" s="54" t="s">
        <v>55</v>
      </c>
      <c r="J496" s="8">
        <v>1</v>
      </c>
      <c r="K496" s="8" t="s">
        <v>51</v>
      </c>
      <c r="L496" s="8" t="s">
        <v>123</v>
      </c>
      <c r="M496" s="8" t="s">
        <v>123</v>
      </c>
      <c r="N496" s="8">
        <v>0</v>
      </c>
      <c r="O496" s="8">
        <v>0</v>
      </c>
      <c r="P496" s="8">
        <v>0</v>
      </c>
      <c r="Q496" s="8" t="s">
        <v>65</v>
      </c>
      <c r="R496" s="9">
        <v>0.5</v>
      </c>
      <c r="S496" s="8">
        <v>0</v>
      </c>
      <c r="T496" s="8">
        <v>0</v>
      </c>
      <c r="U496" s="8">
        <v>0</v>
      </c>
      <c r="V496" s="8">
        <v>0</v>
      </c>
      <c r="W496" s="8">
        <v>1</v>
      </c>
      <c r="X496" s="8">
        <v>0</v>
      </c>
      <c r="Y496" s="8">
        <v>0</v>
      </c>
      <c r="Z496" s="8">
        <v>1</v>
      </c>
      <c r="AA496" s="8" t="s">
        <v>143</v>
      </c>
      <c r="AB496" s="8">
        <v>0</v>
      </c>
      <c r="AC496" s="8">
        <v>0</v>
      </c>
      <c r="AD496" s="8">
        <v>0</v>
      </c>
      <c r="AE496" s="8">
        <v>0</v>
      </c>
      <c r="AF496" s="8">
        <v>0</v>
      </c>
      <c r="AG496" s="8">
        <v>0</v>
      </c>
      <c r="AH496" s="8">
        <v>0</v>
      </c>
      <c r="AI496" s="8">
        <v>0</v>
      </c>
      <c r="AJ496" s="8">
        <v>1</v>
      </c>
      <c r="AK496" s="8">
        <v>0</v>
      </c>
      <c r="AL496" s="8">
        <v>1</v>
      </c>
      <c r="AM496" s="8">
        <v>1</v>
      </c>
      <c r="AN496" s="8">
        <v>0</v>
      </c>
      <c r="AO496" s="8">
        <v>0</v>
      </c>
      <c r="AP496" s="8">
        <v>0</v>
      </c>
      <c r="AQ496" s="8">
        <v>0</v>
      </c>
      <c r="AR496" s="8">
        <v>0</v>
      </c>
      <c r="AS496" s="8">
        <v>0</v>
      </c>
      <c r="AT496" s="8">
        <v>1</v>
      </c>
      <c r="AU496" s="8">
        <v>0</v>
      </c>
      <c r="AV496" s="8">
        <v>0</v>
      </c>
      <c r="AW496" s="8">
        <v>0</v>
      </c>
      <c r="AX496" s="8">
        <v>0</v>
      </c>
      <c r="AY496" s="8">
        <v>0</v>
      </c>
      <c r="AZ496" s="8">
        <v>0</v>
      </c>
      <c r="BA496" s="8">
        <v>0</v>
      </c>
      <c r="BB496" s="8">
        <v>0</v>
      </c>
      <c r="BC496" s="8">
        <v>0</v>
      </c>
      <c r="BD496" s="8">
        <v>0</v>
      </c>
      <c r="BE496" s="8">
        <v>0</v>
      </c>
      <c r="BF496" s="8">
        <v>0</v>
      </c>
      <c r="BG496" s="8">
        <v>0</v>
      </c>
      <c r="BH496" s="8">
        <v>0</v>
      </c>
      <c r="BI496" s="8">
        <v>0</v>
      </c>
      <c r="BJ496" s="8">
        <v>0</v>
      </c>
      <c r="BK496" s="8">
        <v>0</v>
      </c>
      <c r="BL496" s="8">
        <v>0</v>
      </c>
      <c r="BM496" s="8">
        <v>0</v>
      </c>
      <c r="BN496" s="8">
        <v>0</v>
      </c>
      <c r="BO496" s="8">
        <v>0</v>
      </c>
      <c r="BP496" s="8">
        <v>0</v>
      </c>
      <c r="BQ496" s="8">
        <v>0</v>
      </c>
      <c r="BR496" s="8">
        <v>0</v>
      </c>
      <c r="BS496" s="8">
        <f>SUM(AI496:BR496)</f>
        <v>4</v>
      </c>
      <c r="BT496" s="8"/>
      <c r="BU496" s="2">
        <f>SUM(AI496,BK496)</f>
        <v>0</v>
      </c>
      <c r="BV496" s="2">
        <f>SUM(AK496, AL496, AM496,AJ496,BL496,BO496, AP496)</f>
        <v>3</v>
      </c>
      <c r="BW496" s="2">
        <f>SUM(AN496, AO496, AS496)</f>
        <v>0</v>
      </c>
      <c r="BX496" s="2">
        <f>SUM(AU496,AV496,AW496,AX496,AY496,AZ496,BA496,BB496,BC496,BD496,BE496,BF496,BG496,BH496,BI496,BJ496,BQ496,BR496,BM496)</f>
        <v>0</v>
      </c>
      <c r="BY496" s="2">
        <f>SUM(BP496, BN496)</f>
        <v>0</v>
      </c>
      <c r="BZ496" s="2">
        <f>SUM(AQ496)</f>
        <v>0</v>
      </c>
      <c r="CA496" s="2">
        <f>SUM(AR496)</f>
        <v>0</v>
      </c>
      <c r="CB496" s="2">
        <f>SUM(AT496)</f>
        <v>1</v>
      </c>
    </row>
    <row r="497" spans="1:80" ht="15" customHeight="1" x14ac:dyDescent="0.2">
      <c r="A497" s="3" t="s">
        <v>173</v>
      </c>
      <c r="B497" s="10">
        <v>620</v>
      </c>
      <c r="C497" s="5">
        <v>1</v>
      </c>
      <c r="D497" s="10">
        <v>1</v>
      </c>
      <c r="E497" s="10">
        <v>0</v>
      </c>
      <c r="F497" s="10">
        <v>2014</v>
      </c>
      <c r="G497" s="10">
        <v>2023</v>
      </c>
      <c r="H497" s="7" t="str">
        <f>IF($I497="1", "Yes", "No")</f>
        <v>No</v>
      </c>
      <c r="I497" s="54" t="s">
        <v>55</v>
      </c>
      <c r="J497" s="8">
        <v>1</v>
      </c>
      <c r="K497" s="8" t="s">
        <v>51</v>
      </c>
      <c r="L497" s="8" t="s">
        <v>123</v>
      </c>
      <c r="M497" s="8" t="s">
        <v>123</v>
      </c>
      <c r="N497" s="8">
        <v>0</v>
      </c>
      <c r="O497" s="8">
        <v>0</v>
      </c>
      <c r="P497" s="8">
        <v>0</v>
      </c>
      <c r="Q497" s="8" t="s">
        <v>65</v>
      </c>
      <c r="R497" s="9">
        <v>0.5</v>
      </c>
      <c r="S497" s="8">
        <v>0</v>
      </c>
      <c r="T497" s="8">
        <v>0</v>
      </c>
      <c r="U497" s="8">
        <v>0</v>
      </c>
      <c r="V497" s="8">
        <v>0</v>
      </c>
      <c r="W497" s="8">
        <v>1</v>
      </c>
      <c r="X497" s="8">
        <v>0</v>
      </c>
      <c r="Y497" s="8">
        <v>0</v>
      </c>
      <c r="Z497" s="8">
        <v>1</v>
      </c>
      <c r="AA497" s="8" t="s">
        <v>143</v>
      </c>
      <c r="AB497" s="8">
        <v>0</v>
      </c>
      <c r="AC497" s="8">
        <v>0</v>
      </c>
      <c r="AD497" s="8">
        <v>0</v>
      </c>
      <c r="AE497" s="8">
        <v>0</v>
      </c>
      <c r="AF497" s="8">
        <v>0</v>
      </c>
      <c r="AG497" s="8">
        <v>0</v>
      </c>
      <c r="AH497" s="8">
        <v>0</v>
      </c>
      <c r="AI497" s="8">
        <v>0</v>
      </c>
      <c r="AJ497" s="8">
        <v>1</v>
      </c>
      <c r="AK497" s="8">
        <v>0</v>
      </c>
      <c r="AL497" s="8">
        <v>1</v>
      </c>
      <c r="AM497" s="8">
        <v>1</v>
      </c>
      <c r="AN497" s="8">
        <v>0</v>
      </c>
      <c r="AO497" s="8">
        <v>0</v>
      </c>
      <c r="AP497" s="8">
        <v>0</v>
      </c>
      <c r="AQ497" s="8">
        <v>0</v>
      </c>
      <c r="AR497" s="8">
        <v>0</v>
      </c>
      <c r="AS497" s="8">
        <v>0</v>
      </c>
      <c r="AT497" s="8">
        <v>1</v>
      </c>
      <c r="AU497" s="8">
        <v>0</v>
      </c>
      <c r="AV497" s="8">
        <v>0</v>
      </c>
      <c r="AW497" s="8">
        <v>0</v>
      </c>
      <c r="AX497" s="8">
        <v>0</v>
      </c>
      <c r="AY497" s="8">
        <v>0</v>
      </c>
      <c r="AZ497" s="8">
        <v>0</v>
      </c>
      <c r="BA497" s="8">
        <v>0</v>
      </c>
      <c r="BB497" s="8">
        <v>0</v>
      </c>
      <c r="BC497" s="8">
        <v>0</v>
      </c>
      <c r="BD497" s="8">
        <v>0</v>
      </c>
      <c r="BE497" s="8">
        <v>0</v>
      </c>
      <c r="BF497" s="8">
        <v>0</v>
      </c>
      <c r="BG497" s="8">
        <v>0</v>
      </c>
      <c r="BH497" s="8">
        <v>0</v>
      </c>
      <c r="BI497" s="8">
        <v>0</v>
      </c>
      <c r="BJ497" s="8">
        <v>0</v>
      </c>
      <c r="BK497" s="8">
        <v>0</v>
      </c>
      <c r="BL497" s="8">
        <v>0</v>
      </c>
      <c r="BM497" s="8">
        <v>0</v>
      </c>
      <c r="BN497" s="8">
        <v>0</v>
      </c>
      <c r="BO497" s="8">
        <v>0</v>
      </c>
      <c r="BP497" s="8">
        <v>0</v>
      </c>
      <c r="BQ497" s="8">
        <v>0</v>
      </c>
      <c r="BR497" s="8">
        <v>0</v>
      </c>
      <c r="BS497" s="8">
        <f>SUM(AI497:BR497)</f>
        <v>4</v>
      </c>
      <c r="BT497" s="8"/>
      <c r="BU497" s="2">
        <f>SUM(AI497,BK497)</f>
        <v>0</v>
      </c>
      <c r="BV497" s="2">
        <f>SUM(AK497, AL497, AM497,AJ497,BL497,BO497, AP497)</f>
        <v>3</v>
      </c>
      <c r="BW497" s="2">
        <f>SUM(AN497, AO497, AS497)</f>
        <v>0</v>
      </c>
      <c r="BX497" s="2">
        <f>SUM(AU497,AV497,AW497,AX497,AY497,AZ497,BA497,BB497,BC497,BD497,BE497,BF497,BG497,BH497,BI497,BJ497,BQ497,BR497,BM497)</f>
        <v>0</v>
      </c>
      <c r="BY497" s="2">
        <f>SUM(BP497, BN497)</f>
        <v>0</v>
      </c>
      <c r="BZ497" s="2">
        <f>SUM(AQ497)</f>
        <v>0</v>
      </c>
      <c r="CA497" s="2">
        <f>SUM(AR497)</f>
        <v>0</v>
      </c>
      <c r="CB497" s="2">
        <f>SUM(AT497)</f>
        <v>1</v>
      </c>
    </row>
    <row r="498" spans="1:80" ht="16" x14ac:dyDescent="0.2">
      <c r="A498" s="3" t="s">
        <v>174</v>
      </c>
      <c r="B498" s="10">
        <v>410</v>
      </c>
      <c r="C498" s="5">
        <v>1</v>
      </c>
      <c r="D498" s="10">
        <v>0</v>
      </c>
      <c r="E498" s="10">
        <v>0</v>
      </c>
      <c r="F498" s="10">
        <v>1966</v>
      </c>
      <c r="G498" s="10" t="s">
        <v>86</v>
      </c>
      <c r="H498" s="7" t="str">
        <f t="shared" si="399"/>
        <v>Yes</v>
      </c>
      <c r="I498" s="54" t="s">
        <v>56</v>
      </c>
      <c r="J498" s="8">
        <v>2</v>
      </c>
      <c r="K498" s="8" t="s">
        <v>63</v>
      </c>
      <c r="L498" s="8" t="s">
        <v>64</v>
      </c>
      <c r="M498" s="8" t="s">
        <v>52</v>
      </c>
      <c r="N498" s="8">
        <v>0</v>
      </c>
      <c r="O498" s="8">
        <v>0</v>
      </c>
      <c r="P498" s="8">
        <v>1</v>
      </c>
      <c r="Q498" s="8" t="s">
        <v>58</v>
      </c>
      <c r="R498" s="9">
        <v>0.1</v>
      </c>
      <c r="S498" s="8">
        <v>1</v>
      </c>
      <c r="T498" s="8">
        <v>0</v>
      </c>
      <c r="U498" s="8">
        <v>1</v>
      </c>
      <c r="V498" s="8">
        <v>1</v>
      </c>
      <c r="W498" s="8">
        <v>1</v>
      </c>
      <c r="X498" s="8">
        <v>0</v>
      </c>
      <c r="Y498" s="8">
        <v>0</v>
      </c>
      <c r="Z498" s="8">
        <v>1</v>
      </c>
      <c r="AA498" s="8" t="s">
        <v>110</v>
      </c>
      <c r="AB498" s="8">
        <v>0</v>
      </c>
      <c r="AC498" s="8">
        <v>0</v>
      </c>
      <c r="AD498" s="8">
        <v>0</v>
      </c>
      <c r="AE498" s="8">
        <v>1</v>
      </c>
      <c r="AF498" s="8">
        <v>0</v>
      </c>
      <c r="AG498" s="8">
        <v>0</v>
      </c>
      <c r="AH498" s="8">
        <v>0</v>
      </c>
      <c r="AI498" s="8">
        <v>1</v>
      </c>
      <c r="AJ498" s="8">
        <v>0</v>
      </c>
      <c r="AK498" s="8">
        <v>1</v>
      </c>
      <c r="AL498" s="8">
        <v>1</v>
      </c>
      <c r="AM498" s="8">
        <v>1</v>
      </c>
      <c r="AN498" s="8">
        <v>0</v>
      </c>
      <c r="AO498" s="8">
        <v>0</v>
      </c>
      <c r="AP498" s="8">
        <v>1</v>
      </c>
      <c r="AQ498" s="8">
        <v>0</v>
      </c>
      <c r="AR498" s="8">
        <v>1</v>
      </c>
      <c r="AS498" s="8">
        <v>0</v>
      </c>
      <c r="AT498" s="8">
        <v>0</v>
      </c>
      <c r="AU498" s="8">
        <v>0</v>
      </c>
      <c r="AV498" s="8">
        <v>0</v>
      </c>
      <c r="AW498" s="8">
        <v>0</v>
      </c>
      <c r="AX498" s="8">
        <v>0</v>
      </c>
      <c r="AY498" s="8">
        <v>0</v>
      </c>
      <c r="AZ498" s="8">
        <v>0</v>
      </c>
      <c r="BA498" s="8">
        <v>0</v>
      </c>
      <c r="BB498" s="8">
        <v>0</v>
      </c>
      <c r="BC498" s="8">
        <v>0</v>
      </c>
      <c r="BD498" s="8">
        <v>0</v>
      </c>
      <c r="BE498" s="8">
        <v>0</v>
      </c>
      <c r="BF498" s="8">
        <v>0</v>
      </c>
      <c r="BG498" s="8">
        <v>0</v>
      </c>
      <c r="BH498" s="8">
        <v>0</v>
      </c>
      <c r="BI498" s="8">
        <v>0</v>
      </c>
      <c r="BJ498" s="8">
        <v>0</v>
      </c>
      <c r="BK498" s="8">
        <v>0</v>
      </c>
      <c r="BL498" s="8">
        <v>0</v>
      </c>
      <c r="BM498" s="8">
        <v>0</v>
      </c>
      <c r="BN498" s="8">
        <v>0</v>
      </c>
      <c r="BO498" s="8">
        <v>0</v>
      </c>
      <c r="BP498" s="8">
        <v>0</v>
      </c>
      <c r="BQ498" s="8">
        <v>0</v>
      </c>
      <c r="BR498" s="8">
        <v>0</v>
      </c>
      <c r="BS498" s="8">
        <f t="shared" si="526"/>
        <v>6</v>
      </c>
      <c r="BT498" s="8"/>
      <c r="BU498" s="2">
        <f t="shared" si="437"/>
        <v>1</v>
      </c>
      <c r="BV498" s="2">
        <f t="shared" si="403"/>
        <v>4</v>
      </c>
      <c r="BW498" s="2">
        <f t="shared" si="404"/>
        <v>0</v>
      </c>
      <c r="BX498" s="2">
        <f t="shared" si="407"/>
        <v>0</v>
      </c>
      <c r="BY498" s="2">
        <f t="shared" si="405"/>
        <v>0</v>
      </c>
      <c r="BZ498" s="2">
        <f t="shared" ref="BZ498:CA498" si="688">SUM(AQ498)</f>
        <v>0</v>
      </c>
      <c r="CA498" s="2">
        <f t="shared" si="688"/>
        <v>1</v>
      </c>
      <c r="CB498" s="2">
        <f t="shared" si="431"/>
        <v>0</v>
      </c>
    </row>
    <row r="499" spans="1:80" ht="16" x14ac:dyDescent="0.2">
      <c r="A499" s="3" t="s">
        <v>174</v>
      </c>
      <c r="B499" s="10">
        <v>410</v>
      </c>
      <c r="C499" s="5">
        <v>1</v>
      </c>
      <c r="D499" s="10">
        <v>0</v>
      </c>
      <c r="E499" s="10">
        <v>0</v>
      </c>
      <c r="F499" s="10">
        <v>1966</v>
      </c>
      <c r="G499" s="10" t="s">
        <v>90</v>
      </c>
      <c r="H499" s="7" t="str">
        <f t="shared" si="399"/>
        <v>Yes</v>
      </c>
      <c r="I499" s="54" t="s">
        <v>56</v>
      </c>
      <c r="J499" s="8">
        <v>2</v>
      </c>
      <c r="K499" s="8" t="s">
        <v>63</v>
      </c>
      <c r="L499" s="8" t="s">
        <v>64</v>
      </c>
      <c r="M499" s="8" t="s">
        <v>52</v>
      </c>
      <c r="N499" s="8">
        <v>0</v>
      </c>
      <c r="O499" s="8">
        <v>0</v>
      </c>
      <c r="P499" s="8">
        <v>1</v>
      </c>
      <c r="Q499" s="8" t="s">
        <v>58</v>
      </c>
      <c r="R499" s="9">
        <v>0.1</v>
      </c>
      <c r="S499" s="8">
        <v>1</v>
      </c>
      <c r="T499" s="8">
        <v>0</v>
      </c>
      <c r="U499" s="8">
        <v>1</v>
      </c>
      <c r="V499" s="8">
        <v>1</v>
      </c>
      <c r="W499" s="8">
        <v>1</v>
      </c>
      <c r="X499" s="8">
        <v>0</v>
      </c>
      <c r="Y499" s="8">
        <v>0</v>
      </c>
      <c r="Z499" s="8">
        <v>0</v>
      </c>
      <c r="AA499" s="8" t="s">
        <v>110</v>
      </c>
      <c r="AB499" s="8">
        <v>0</v>
      </c>
      <c r="AC499" s="8">
        <v>0</v>
      </c>
      <c r="AD499" s="8">
        <v>0</v>
      </c>
      <c r="AE499" s="8">
        <v>1</v>
      </c>
      <c r="AF499" s="8">
        <v>1</v>
      </c>
      <c r="AG499" s="8">
        <v>0</v>
      </c>
      <c r="AH499" s="8">
        <v>0</v>
      </c>
      <c r="AI499" s="8">
        <v>1</v>
      </c>
      <c r="AJ499" s="8">
        <v>0</v>
      </c>
      <c r="AK499" s="8">
        <v>1</v>
      </c>
      <c r="AL499" s="8">
        <v>1</v>
      </c>
      <c r="AM499" s="8">
        <v>1</v>
      </c>
      <c r="AN499" s="8">
        <v>0</v>
      </c>
      <c r="AO499" s="8">
        <v>0</v>
      </c>
      <c r="AP499" s="8">
        <v>1</v>
      </c>
      <c r="AQ499" s="8">
        <v>0</v>
      </c>
      <c r="AR499" s="8">
        <v>1</v>
      </c>
      <c r="AS499" s="8">
        <v>0</v>
      </c>
      <c r="AT499" s="8">
        <v>0</v>
      </c>
      <c r="AU499" s="8">
        <v>0</v>
      </c>
      <c r="AV499" s="8">
        <v>0</v>
      </c>
      <c r="AW499" s="8">
        <v>0</v>
      </c>
      <c r="AX499" s="8">
        <v>0</v>
      </c>
      <c r="AY499" s="8">
        <v>0</v>
      </c>
      <c r="AZ499" s="8">
        <v>0</v>
      </c>
      <c r="BA499" s="8">
        <v>0</v>
      </c>
      <c r="BB499" s="8">
        <v>0</v>
      </c>
      <c r="BC499" s="8">
        <v>0</v>
      </c>
      <c r="BD499" s="8">
        <v>0</v>
      </c>
      <c r="BE499" s="8">
        <v>0</v>
      </c>
      <c r="BF499" s="8">
        <v>0</v>
      </c>
      <c r="BG499" s="8">
        <v>0</v>
      </c>
      <c r="BH499" s="8">
        <v>0</v>
      </c>
      <c r="BI499" s="8">
        <v>0</v>
      </c>
      <c r="BJ499" s="8">
        <v>0</v>
      </c>
      <c r="BK499" s="8">
        <v>0</v>
      </c>
      <c r="BL499" s="8">
        <v>0</v>
      </c>
      <c r="BM499" s="8">
        <v>0</v>
      </c>
      <c r="BN499" s="8">
        <v>0</v>
      </c>
      <c r="BO499" s="8">
        <v>0</v>
      </c>
      <c r="BP499" s="8">
        <v>0</v>
      </c>
      <c r="BQ499" s="8">
        <v>0</v>
      </c>
      <c r="BR499" s="8">
        <v>0</v>
      </c>
      <c r="BS499" s="8">
        <f t="shared" si="526"/>
        <v>6</v>
      </c>
      <c r="BT499" s="8"/>
      <c r="BU499" s="2">
        <f t="shared" si="437"/>
        <v>1</v>
      </c>
      <c r="BV499" s="2">
        <f t="shared" si="403"/>
        <v>4</v>
      </c>
      <c r="BW499" s="2">
        <f t="shared" si="404"/>
        <v>0</v>
      </c>
      <c r="BX499" s="2">
        <f t="shared" si="407"/>
        <v>0</v>
      </c>
      <c r="BY499" s="2">
        <f t="shared" si="405"/>
        <v>0</v>
      </c>
      <c r="BZ499" s="2">
        <f t="shared" ref="BZ499:CA499" si="689">SUM(AQ499)</f>
        <v>0</v>
      </c>
      <c r="CA499" s="2">
        <f t="shared" si="689"/>
        <v>1</v>
      </c>
      <c r="CB499" s="2">
        <f t="shared" si="431"/>
        <v>0</v>
      </c>
    </row>
    <row r="500" spans="1:80" ht="16" x14ac:dyDescent="0.2">
      <c r="A500" s="3" t="s">
        <v>174</v>
      </c>
      <c r="B500" s="10">
        <v>410</v>
      </c>
      <c r="C500" s="5">
        <v>1</v>
      </c>
      <c r="D500" s="10">
        <v>0</v>
      </c>
      <c r="E500" s="10">
        <v>0</v>
      </c>
      <c r="F500" s="10">
        <v>1966</v>
      </c>
      <c r="G500" s="10" t="s">
        <v>91</v>
      </c>
      <c r="H500" s="7" t="str">
        <f t="shared" si="399"/>
        <v>Yes</v>
      </c>
      <c r="I500" s="54" t="s">
        <v>56</v>
      </c>
      <c r="J500" s="8">
        <v>2</v>
      </c>
      <c r="K500" s="8" t="s">
        <v>63</v>
      </c>
      <c r="L500" s="8" t="s">
        <v>64</v>
      </c>
      <c r="M500" s="8" t="s">
        <v>52</v>
      </c>
      <c r="N500" s="8">
        <v>0</v>
      </c>
      <c r="O500" s="8">
        <v>0</v>
      </c>
      <c r="P500" s="8">
        <v>1</v>
      </c>
      <c r="Q500" s="8" t="s">
        <v>58</v>
      </c>
      <c r="R500" s="9">
        <v>0.1</v>
      </c>
      <c r="S500" s="8">
        <v>1</v>
      </c>
      <c r="T500" s="8">
        <v>0</v>
      </c>
      <c r="U500" s="8">
        <v>1</v>
      </c>
      <c r="V500" s="8">
        <v>1</v>
      </c>
      <c r="W500" s="8">
        <v>1</v>
      </c>
      <c r="X500" s="8">
        <v>0</v>
      </c>
      <c r="Y500" s="8">
        <v>0</v>
      </c>
      <c r="Z500" s="8">
        <v>0</v>
      </c>
      <c r="AA500" s="8" t="s">
        <v>110</v>
      </c>
      <c r="AB500" s="8">
        <v>0</v>
      </c>
      <c r="AC500" s="8">
        <v>0</v>
      </c>
      <c r="AD500" s="8">
        <v>0</v>
      </c>
      <c r="AE500" s="8">
        <v>1</v>
      </c>
      <c r="AF500" s="8">
        <v>1</v>
      </c>
      <c r="AG500" s="8">
        <v>0</v>
      </c>
      <c r="AH500" s="8">
        <v>0</v>
      </c>
      <c r="AI500" s="8">
        <v>1</v>
      </c>
      <c r="AJ500" s="8">
        <v>0</v>
      </c>
      <c r="AK500" s="8">
        <v>1</v>
      </c>
      <c r="AL500" s="8">
        <v>1</v>
      </c>
      <c r="AM500" s="8">
        <v>1</v>
      </c>
      <c r="AN500" s="8">
        <v>0</v>
      </c>
      <c r="AO500" s="8">
        <v>0</v>
      </c>
      <c r="AP500" s="8">
        <v>1</v>
      </c>
      <c r="AQ500" s="8">
        <v>0</v>
      </c>
      <c r="AR500" s="8">
        <v>1</v>
      </c>
      <c r="AS500" s="8">
        <v>0</v>
      </c>
      <c r="AT500" s="8">
        <v>0</v>
      </c>
      <c r="AU500" s="8">
        <v>0</v>
      </c>
      <c r="AV500" s="8">
        <v>0</v>
      </c>
      <c r="AW500" s="8">
        <v>0</v>
      </c>
      <c r="AX500" s="8">
        <v>0</v>
      </c>
      <c r="AY500" s="8">
        <v>0</v>
      </c>
      <c r="AZ500" s="8">
        <v>0</v>
      </c>
      <c r="BA500" s="8">
        <v>0</v>
      </c>
      <c r="BB500" s="8">
        <v>0</v>
      </c>
      <c r="BC500" s="8">
        <v>0</v>
      </c>
      <c r="BD500" s="8">
        <v>0</v>
      </c>
      <c r="BE500" s="8">
        <v>0</v>
      </c>
      <c r="BF500" s="8">
        <v>0</v>
      </c>
      <c r="BG500" s="8">
        <v>0</v>
      </c>
      <c r="BH500" s="8">
        <v>0</v>
      </c>
      <c r="BI500" s="8">
        <v>0</v>
      </c>
      <c r="BJ500" s="8">
        <v>0</v>
      </c>
      <c r="BK500" s="8">
        <v>0</v>
      </c>
      <c r="BL500" s="8">
        <v>0</v>
      </c>
      <c r="BM500" s="8">
        <v>0</v>
      </c>
      <c r="BN500" s="8">
        <v>0</v>
      </c>
      <c r="BO500" s="8">
        <v>0</v>
      </c>
      <c r="BP500" s="8">
        <v>0</v>
      </c>
      <c r="BQ500" s="8">
        <v>0</v>
      </c>
      <c r="BR500" s="8">
        <v>1</v>
      </c>
      <c r="BS500" s="8">
        <f t="shared" si="526"/>
        <v>7</v>
      </c>
      <c r="BT500" s="8"/>
      <c r="BU500" s="2">
        <f t="shared" si="437"/>
        <v>1</v>
      </c>
      <c r="BV500" s="2">
        <f t="shared" si="403"/>
        <v>4</v>
      </c>
      <c r="BW500" s="2">
        <f t="shared" si="404"/>
        <v>0</v>
      </c>
      <c r="BX500" s="2">
        <f t="shared" si="407"/>
        <v>1</v>
      </c>
      <c r="BY500" s="2">
        <f t="shared" si="405"/>
        <v>0</v>
      </c>
      <c r="BZ500" s="2">
        <f t="shared" ref="BZ500:CA500" si="690">SUM(AQ500)</f>
        <v>0</v>
      </c>
      <c r="CA500" s="2">
        <f t="shared" si="690"/>
        <v>1</v>
      </c>
      <c r="CB500" s="2">
        <f t="shared" si="431"/>
        <v>0</v>
      </c>
    </row>
    <row r="501" spans="1:80" ht="16" x14ac:dyDescent="0.2">
      <c r="A501" s="3" t="s">
        <v>174</v>
      </c>
      <c r="B501" s="10">
        <v>410</v>
      </c>
      <c r="C501" s="5">
        <v>1</v>
      </c>
      <c r="D501" s="10">
        <v>0</v>
      </c>
      <c r="E501" s="10">
        <v>0</v>
      </c>
      <c r="F501" s="10">
        <v>1966</v>
      </c>
      <c r="G501" s="10" t="s">
        <v>93</v>
      </c>
      <c r="H501" s="7" t="str">
        <f t="shared" si="399"/>
        <v>No</v>
      </c>
      <c r="I501" s="54" t="s">
        <v>55</v>
      </c>
      <c r="J501" s="8">
        <v>2</v>
      </c>
      <c r="K501" s="8" t="s">
        <v>63</v>
      </c>
      <c r="L501" s="8" t="s">
        <v>64</v>
      </c>
      <c r="M501" s="8" t="s">
        <v>52</v>
      </c>
      <c r="N501" s="8">
        <v>0</v>
      </c>
      <c r="O501" s="8">
        <v>0</v>
      </c>
      <c r="P501" s="8">
        <v>1</v>
      </c>
      <c r="Q501" s="8" t="s">
        <v>58</v>
      </c>
      <c r="R501" s="9">
        <v>0.1</v>
      </c>
      <c r="S501" s="8">
        <v>1</v>
      </c>
      <c r="T501" s="8">
        <v>0</v>
      </c>
      <c r="U501" s="8">
        <v>1</v>
      </c>
      <c r="V501" s="8">
        <v>1</v>
      </c>
      <c r="W501" s="8">
        <v>1</v>
      </c>
      <c r="X501" s="8">
        <v>0</v>
      </c>
      <c r="Y501" s="8">
        <v>0</v>
      </c>
      <c r="Z501" s="8">
        <v>0</v>
      </c>
      <c r="AA501" s="8" t="s">
        <v>110</v>
      </c>
      <c r="AB501" s="8">
        <v>0</v>
      </c>
      <c r="AC501" s="8">
        <v>0</v>
      </c>
      <c r="AD501" s="8">
        <v>0</v>
      </c>
      <c r="AE501" s="8">
        <v>1</v>
      </c>
      <c r="AF501" s="8">
        <v>1</v>
      </c>
      <c r="AG501" s="8">
        <v>0</v>
      </c>
      <c r="AH501" s="8">
        <v>0</v>
      </c>
      <c r="AI501" s="8">
        <v>1</v>
      </c>
      <c r="AJ501" s="8">
        <v>0</v>
      </c>
      <c r="AK501" s="8">
        <v>1</v>
      </c>
      <c r="AL501" s="8">
        <v>1</v>
      </c>
      <c r="AM501" s="8">
        <v>1</v>
      </c>
      <c r="AN501" s="8">
        <v>0</v>
      </c>
      <c r="AO501" s="8">
        <v>0</v>
      </c>
      <c r="AP501" s="8">
        <v>1</v>
      </c>
      <c r="AQ501" s="8">
        <v>0</v>
      </c>
      <c r="AR501" s="8">
        <v>1</v>
      </c>
      <c r="AS501" s="8">
        <v>0</v>
      </c>
      <c r="AT501" s="8">
        <v>0</v>
      </c>
      <c r="AU501" s="8">
        <v>0</v>
      </c>
      <c r="AV501" s="8">
        <v>0</v>
      </c>
      <c r="AW501" s="8">
        <v>0</v>
      </c>
      <c r="AX501" s="8">
        <v>0</v>
      </c>
      <c r="AY501" s="8">
        <v>0</v>
      </c>
      <c r="AZ501" s="8">
        <v>0</v>
      </c>
      <c r="BA501" s="8">
        <v>0</v>
      </c>
      <c r="BB501" s="8">
        <v>0</v>
      </c>
      <c r="BC501" s="8">
        <v>0</v>
      </c>
      <c r="BD501" s="8">
        <v>0</v>
      </c>
      <c r="BE501" s="8">
        <v>0</v>
      </c>
      <c r="BF501" s="8">
        <v>0</v>
      </c>
      <c r="BG501" s="8">
        <v>0</v>
      </c>
      <c r="BH501" s="8">
        <v>0</v>
      </c>
      <c r="BI501" s="8">
        <v>0</v>
      </c>
      <c r="BJ501" s="8">
        <v>0</v>
      </c>
      <c r="BK501" s="8">
        <v>0</v>
      </c>
      <c r="BL501" s="8">
        <v>0</v>
      </c>
      <c r="BM501" s="8">
        <v>0</v>
      </c>
      <c r="BN501" s="8">
        <v>0</v>
      </c>
      <c r="BO501" s="8">
        <v>0</v>
      </c>
      <c r="BP501" s="8">
        <v>0</v>
      </c>
      <c r="BQ501" s="8">
        <v>0</v>
      </c>
      <c r="BR501" s="8">
        <v>1</v>
      </c>
      <c r="BS501" s="8">
        <f t="shared" si="526"/>
        <v>7</v>
      </c>
      <c r="BT501" s="8"/>
      <c r="BU501" s="2">
        <f t="shared" si="437"/>
        <v>1</v>
      </c>
      <c r="BV501" s="2">
        <f t="shared" si="403"/>
        <v>4</v>
      </c>
      <c r="BW501" s="2">
        <f t="shared" si="404"/>
        <v>0</v>
      </c>
      <c r="BX501" s="2">
        <f t="shared" si="407"/>
        <v>1</v>
      </c>
      <c r="BY501" s="2">
        <f t="shared" si="405"/>
        <v>0</v>
      </c>
      <c r="BZ501" s="2">
        <f t="shared" ref="BZ501:CA501" si="691">SUM(AQ501)</f>
        <v>0</v>
      </c>
      <c r="CA501" s="2">
        <f t="shared" si="691"/>
        <v>1</v>
      </c>
      <c r="CB501" s="2">
        <f t="shared" si="431"/>
        <v>0</v>
      </c>
    </row>
    <row r="502" spans="1:80" ht="16" x14ac:dyDescent="0.2">
      <c r="A502" s="3" t="s">
        <v>174</v>
      </c>
      <c r="B502" s="10">
        <v>410</v>
      </c>
      <c r="C502" s="5">
        <v>1</v>
      </c>
      <c r="D502" s="10">
        <v>0</v>
      </c>
      <c r="E502" s="10">
        <v>0</v>
      </c>
      <c r="F502" s="10">
        <v>1966</v>
      </c>
      <c r="G502" s="10" t="s">
        <v>70</v>
      </c>
      <c r="H502" s="7" t="str">
        <f t="shared" si="399"/>
        <v>No</v>
      </c>
      <c r="I502" s="54" t="s">
        <v>55</v>
      </c>
      <c r="J502" s="8">
        <v>2</v>
      </c>
      <c r="K502" s="8" t="s">
        <v>63</v>
      </c>
      <c r="L502" s="8" t="s">
        <v>64</v>
      </c>
      <c r="M502" s="8" t="s">
        <v>52</v>
      </c>
      <c r="N502" s="8">
        <v>0</v>
      </c>
      <c r="O502" s="8">
        <v>0</v>
      </c>
      <c r="P502" s="8">
        <v>1</v>
      </c>
      <c r="Q502" s="8" t="s">
        <v>58</v>
      </c>
      <c r="R502" s="9">
        <v>0.1</v>
      </c>
      <c r="S502" s="8">
        <v>1</v>
      </c>
      <c r="T502" s="8">
        <v>0</v>
      </c>
      <c r="U502" s="8">
        <v>1</v>
      </c>
      <c r="V502" s="8">
        <v>1</v>
      </c>
      <c r="W502" s="8">
        <v>1</v>
      </c>
      <c r="X502" s="8">
        <v>0</v>
      </c>
      <c r="Y502" s="8">
        <v>0</v>
      </c>
      <c r="Z502" s="8">
        <v>0</v>
      </c>
      <c r="AA502" s="8" t="s">
        <v>110</v>
      </c>
      <c r="AB502" s="8">
        <v>0</v>
      </c>
      <c r="AC502" s="8">
        <v>0</v>
      </c>
      <c r="AD502" s="8">
        <v>0</v>
      </c>
      <c r="AE502" s="8">
        <v>1</v>
      </c>
      <c r="AF502" s="8">
        <v>1</v>
      </c>
      <c r="AG502" s="8">
        <v>0</v>
      </c>
      <c r="AH502" s="8">
        <v>0</v>
      </c>
      <c r="AI502" s="8">
        <v>1</v>
      </c>
      <c r="AJ502" s="8">
        <v>0</v>
      </c>
      <c r="AK502" s="8">
        <v>1</v>
      </c>
      <c r="AL502" s="8">
        <v>1</v>
      </c>
      <c r="AM502" s="8">
        <v>1</v>
      </c>
      <c r="AN502" s="8">
        <v>0</v>
      </c>
      <c r="AO502" s="8">
        <v>0</v>
      </c>
      <c r="AP502" s="8">
        <v>1</v>
      </c>
      <c r="AQ502" s="8">
        <v>0</v>
      </c>
      <c r="AR502" s="8">
        <v>1</v>
      </c>
      <c r="AS502" s="8">
        <v>0</v>
      </c>
      <c r="AT502" s="8">
        <v>0</v>
      </c>
      <c r="AU502" s="8">
        <v>0</v>
      </c>
      <c r="AV502" s="8">
        <v>0</v>
      </c>
      <c r="AW502" s="8">
        <v>0</v>
      </c>
      <c r="AX502" s="8">
        <v>0</v>
      </c>
      <c r="AY502" s="8">
        <v>0</v>
      </c>
      <c r="AZ502" s="8">
        <v>0</v>
      </c>
      <c r="BA502" s="8">
        <v>0</v>
      </c>
      <c r="BB502" s="8">
        <v>0</v>
      </c>
      <c r="BC502" s="8">
        <v>0</v>
      </c>
      <c r="BD502" s="8">
        <v>0</v>
      </c>
      <c r="BE502" s="8">
        <v>0</v>
      </c>
      <c r="BF502" s="8">
        <v>0</v>
      </c>
      <c r="BG502" s="8">
        <v>0</v>
      </c>
      <c r="BH502" s="8">
        <v>0</v>
      </c>
      <c r="BI502" s="8">
        <v>0</v>
      </c>
      <c r="BJ502" s="8">
        <v>0</v>
      </c>
      <c r="BK502" s="8">
        <v>0</v>
      </c>
      <c r="BL502" s="8">
        <v>0</v>
      </c>
      <c r="BM502" s="8">
        <v>0</v>
      </c>
      <c r="BN502" s="8">
        <v>0</v>
      </c>
      <c r="BO502" s="8">
        <v>0</v>
      </c>
      <c r="BP502" s="8">
        <v>0</v>
      </c>
      <c r="BQ502" s="8">
        <v>0</v>
      </c>
      <c r="BR502" s="8">
        <v>1</v>
      </c>
      <c r="BS502" s="8">
        <f t="shared" si="526"/>
        <v>7</v>
      </c>
      <c r="BT502" s="8"/>
      <c r="BU502" s="2">
        <f t="shared" si="437"/>
        <v>1</v>
      </c>
      <c r="BV502" s="2">
        <f t="shared" si="403"/>
        <v>4</v>
      </c>
      <c r="BW502" s="2">
        <f t="shared" si="404"/>
        <v>0</v>
      </c>
      <c r="BX502" s="2">
        <f t="shared" si="407"/>
        <v>1</v>
      </c>
      <c r="BY502" s="2">
        <f t="shared" si="405"/>
        <v>0</v>
      </c>
      <c r="BZ502" s="2">
        <f t="shared" ref="BZ502:CA502" si="692">SUM(AQ502)</f>
        <v>0</v>
      </c>
      <c r="CA502" s="2">
        <f t="shared" si="692"/>
        <v>1</v>
      </c>
      <c r="CB502" s="2">
        <f t="shared" si="431"/>
        <v>0</v>
      </c>
    </row>
    <row r="503" spans="1:80" ht="16" x14ac:dyDescent="0.2">
      <c r="A503" s="3" t="s">
        <v>174</v>
      </c>
      <c r="B503" s="10">
        <v>410</v>
      </c>
      <c r="C503" s="5">
        <v>1</v>
      </c>
      <c r="D503" s="10">
        <v>0</v>
      </c>
      <c r="E503" s="10">
        <v>0</v>
      </c>
      <c r="F503" s="10">
        <v>1966</v>
      </c>
      <c r="G503" s="10" t="s">
        <v>71</v>
      </c>
      <c r="H503" s="7" t="str">
        <f t="shared" si="399"/>
        <v>Yes</v>
      </c>
      <c r="I503" s="54" t="s">
        <v>56</v>
      </c>
      <c r="J503" s="8">
        <v>3</v>
      </c>
      <c r="K503" s="8" t="s">
        <v>63</v>
      </c>
      <c r="L503" s="8" t="s">
        <v>64</v>
      </c>
      <c r="M503" s="8" t="s">
        <v>52</v>
      </c>
      <c r="N503" s="8">
        <v>0</v>
      </c>
      <c r="O503" s="8">
        <v>0</v>
      </c>
      <c r="P503" s="8">
        <v>1</v>
      </c>
      <c r="Q503" s="8" t="s">
        <v>58</v>
      </c>
      <c r="R503" s="9">
        <v>0.1</v>
      </c>
      <c r="S503" s="8">
        <v>1</v>
      </c>
      <c r="T503" s="8">
        <v>0</v>
      </c>
      <c r="U503" s="8">
        <v>1</v>
      </c>
      <c r="V503" s="8">
        <v>1</v>
      </c>
      <c r="W503" s="8">
        <v>1</v>
      </c>
      <c r="X503" s="8">
        <v>0</v>
      </c>
      <c r="Y503" s="8">
        <v>0</v>
      </c>
      <c r="Z503" s="8">
        <v>0</v>
      </c>
      <c r="AA503" s="8" t="s">
        <v>110</v>
      </c>
      <c r="AB503" s="8">
        <v>0</v>
      </c>
      <c r="AC503" s="8">
        <v>0</v>
      </c>
      <c r="AD503" s="8">
        <v>0</v>
      </c>
      <c r="AE503" s="8">
        <v>1</v>
      </c>
      <c r="AF503" s="8">
        <v>1</v>
      </c>
      <c r="AG503" s="8">
        <v>0</v>
      </c>
      <c r="AH503" s="8">
        <v>0</v>
      </c>
      <c r="AI503" s="8">
        <v>1</v>
      </c>
      <c r="AJ503" s="8">
        <v>0</v>
      </c>
      <c r="AK503" s="8">
        <v>1</v>
      </c>
      <c r="AL503" s="8">
        <v>1</v>
      </c>
      <c r="AM503" s="8">
        <v>1</v>
      </c>
      <c r="AN503" s="8">
        <v>0</v>
      </c>
      <c r="AO503" s="8">
        <v>0</v>
      </c>
      <c r="AP503" s="8">
        <v>1</v>
      </c>
      <c r="AQ503" s="8">
        <v>0</v>
      </c>
      <c r="AR503" s="8">
        <v>1</v>
      </c>
      <c r="AS503" s="8">
        <v>0</v>
      </c>
      <c r="AT503" s="8">
        <v>0</v>
      </c>
      <c r="AU503" s="8">
        <v>0</v>
      </c>
      <c r="AV503" s="8">
        <v>0</v>
      </c>
      <c r="AW503" s="8">
        <v>0</v>
      </c>
      <c r="AX503" s="8">
        <v>0</v>
      </c>
      <c r="AY503" s="8">
        <v>0</v>
      </c>
      <c r="AZ503" s="8">
        <v>0</v>
      </c>
      <c r="BA503" s="8">
        <v>0</v>
      </c>
      <c r="BB503" s="8">
        <v>0</v>
      </c>
      <c r="BC503" s="8">
        <v>0</v>
      </c>
      <c r="BD503" s="8">
        <v>0</v>
      </c>
      <c r="BE503" s="8">
        <v>0</v>
      </c>
      <c r="BF503" s="8">
        <v>0</v>
      </c>
      <c r="BG503" s="8">
        <v>0</v>
      </c>
      <c r="BH503" s="8">
        <v>0</v>
      </c>
      <c r="BI503" s="8">
        <v>0</v>
      </c>
      <c r="BJ503" s="8">
        <v>0</v>
      </c>
      <c r="BK503" s="8">
        <v>0</v>
      </c>
      <c r="BL503" s="8">
        <v>0</v>
      </c>
      <c r="BM503" s="8">
        <v>0</v>
      </c>
      <c r="BN503" s="8">
        <v>0</v>
      </c>
      <c r="BO503" s="8">
        <v>0</v>
      </c>
      <c r="BP503" s="8">
        <v>0</v>
      </c>
      <c r="BQ503" s="8">
        <v>0</v>
      </c>
      <c r="BR503" s="8">
        <v>1</v>
      </c>
      <c r="BS503" s="8">
        <f t="shared" si="526"/>
        <v>7</v>
      </c>
      <c r="BT503" s="8"/>
      <c r="BU503" s="2">
        <f t="shared" si="437"/>
        <v>1</v>
      </c>
      <c r="BV503" s="2">
        <f t="shared" si="403"/>
        <v>4</v>
      </c>
      <c r="BW503" s="2">
        <f t="shared" si="404"/>
        <v>0</v>
      </c>
      <c r="BX503" s="2">
        <f t="shared" si="407"/>
        <v>1</v>
      </c>
      <c r="BY503" s="2">
        <f t="shared" si="405"/>
        <v>0</v>
      </c>
      <c r="BZ503" s="2">
        <f t="shared" ref="BZ503:CA503" si="693">SUM(AQ503)</f>
        <v>0</v>
      </c>
      <c r="CA503" s="2">
        <f t="shared" si="693"/>
        <v>1</v>
      </c>
      <c r="CB503" s="2">
        <f t="shared" si="431"/>
        <v>0</v>
      </c>
    </row>
    <row r="504" spans="1:80" ht="16" x14ac:dyDescent="0.2">
      <c r="A504" s="3" t="s">
        <v>174</v>
      </c>
      <c r="B504" s="10">
        <v>410</v>
      </c>
      <c r="C504" s="5">
        <v>1</v>
      </c>
      <c r="D504" s="10">
        <v>0</v>
      </c>
      <c r="E504" s="10">
        <v>0</v>
      </c>
      <c r="F504" s="10">
        <v>1966</v>
      </c>
      <c r="G504" s="10" t="s">
        <v>72</v>
      </c>
      <c r="H504" s="7" t="str">
        <f t="shared" si="399"/>
        <v>Yes</v>
      </c>
      <c r="I504" s="54" t="s">
        <v>56</v>
      </c>
      <c r="J504" s="8">
        <v>3</v>
      </c>
      <c r="K504" s="8" t="s">
        <v>63</v>
      </c>
      <c r="L504" s="8" t="s">
        <v>64</v>
      </c>
      <c r="M504" s="8" t="s">
        <v>52</v>
      </c>
      <c r="N504" s="8">
        <v>0</v>
      </c>
      <c r="O504" s="8">
        <v>0</v>
      </c>
      <c r="P504" s="8">
        <v>1</v>
      </c>
      <c r="Q504" s="8" t="s">
        <v>58</v>
      </c>
      <c r="R504" s="9">
        <v>0.1</v>
      </c>
      <c r="S504" s="8">
        <v>1</v>
      </c>
      <c r="T504" s="8">
        <v>0</v>
      </c>
      <c r="U504" s="8">
        <v>1</v>
      </c>
      <c r="V504" s="8">
        <v>1</v>
      </c>
      <c r="W504" s="8">
        <v>1</v>
      </c>
      <c r="X504" s="8">
        <v>0</v>
      </c>
      <c r="Y504" s="8">
        <v>0</v>
      </c>
      <c r="Z504" s="8">
        <v>0</v>
      </c>
      <c r="AA504" s="8" t="s">
        <v>110</v>
      </c>
      <c r="AB504" s="8">
        <v>0</v>
      </c>
      <c r="AC504" s="8">
        <v>0</v>
      </c>
      <c r="AD504" s="8">
        <v>0</v>
      </c>
      <c r="AE504" s="8">
        <v>1</v>
      </c>
      <c r="AF504" s="8">
        <v>1</v>
      </c>
      <c r="AG504" s="8">
        <v>0</v>
      </c>
      <c r="AH504" s="8">
        <v>0</v>
      </c>
      <c r="AI504" s="8">
        <v>1</v>
      </c>
      <c r="AJ504" s="8">
        <v>0</v>
      </c>
      <c r="AK504" s="8">
        <v>1</v>
      </c>
      <c r="AL504" s="8">
        <v>1</v>
      </c>
      <c r="AM504" s="8">
        <v>1</v>
      </c>
      <c r="AN504" s="8">
        <v>0</v>
      </c>
      <c r="AO504" s="8">
        <v>0</v>
      </c>
      <c r="AP504" s="8">
        <v>1</v>
      </c>
      <c r="AQ504" s="8">
        <v>0</v>
      </c>
      <c r="AR504" s="8">
        <v>1</v>
      </c>
      <c r="AS504" s="8">
        <v>0</v>
      </c>
      <c r="AT504" s="8">
        <v>0</v>
      </c>
      <c r="AU504" s="8">
        <v>0</v>
      </c>
      <c r="AV504" s="8">
        <v>0</v>
      </c>
      <c r="AW504" s="8">
        <v>0</v>
      </c>
      <c r="AX504" s="8">
        <v>0</v>
      </c>
      <c r="AY504" s="8">
        <v>0</v>
      </c>
      <c r="AZ504" s="8">
        <v>0</v>
      </c>
      <c r="BA504" s="8">
        <v>0</v>
      </c>
      <c r="BB504" s="8">
        <v>0</v>
      </c>
      <c r="BC504" s="8">
        <v>0</v>
      </c>
      <c r="BD504" s="8">
        <v>0</v>
      </c>
      <c r="BE504" s="8">
        <v>0</v>
      </c>
      <c r="BF504" s="8">
        <v>0</v>
      </c>
      <c r="BG504" s="8">
        <v>0</v>
      </c>
      <c r="BH504" s="8">
        <v>0</v>
      </c>
      <c r="BI504" s="8">
        <v>0</v>
      </c>
      <c r="BJ504" s="8">
        <v>0</v>
      </c>
      <c r="BK504" s="8">
        <v>0</v>
      </c>
      <c r="BL504" s="8">
        <v>0</v>
      </c>
      <c r="BM504" s="8">
        <v>0</v>
      </c>
      <c r="BN504" s="8">
        <v>0</v>
      </c>
      <c r="BO504" s="8">
        <v>0</v>
      </c>
      <c r="BP504" s="8">
        <v>0</v>
      </c>
      <c r="BQ504" s="8">
        <v>0</v>
      </c>
      <c r="BR504" s="8">
        <v>1</v>
      </c>
      <c r="BS504" s="8">
        <f t="shared" si="526"/>
        <v>7</v>
      </c>
      <c r="BT504" s="8"/>
      <c r="BU504" s="2">
        <f t="shared" si="437"/>
        <v>1</v>
      </c>
      <c r="BV504" s="2">
        <f t="shared" si="403"/>
        <v>4</v>
      </c>
      <c r="BW504" s="2">
        <f t="shared" si="404"/>
        <v>0</v>
      </c>
      <c r="BX504" s="2">
        <f t="shared" si="407"/>
        <v>1</v>
      </c>
      <c r="BY504" s="2">
        <f t="shared" si="405"/>
        <v>0</v>
      </c>
      <c r="BZ504" s="2">
        <f t="shared" ref="BZ504:CA504" si="694">SUM(AQ504)</f>
        <v>0</v>
      </c>
      <c r="CA504" s="2">
        <f t="shared" si="694"/>
        <v>1</v>
      </c>
      <c r="CB504" s="2">
        <f t="shared" si="431"/>
        <v>0</v>
      </c>
    </row>
    <row r="505" spans="1:80" ht="16" x14ac:dyDescent="0.2">
      <c r="A505" s="3" t="s">
        <v>174</v>
      </c>
      <c r="B505" s="10">
        <v>410</v>
      </c>
      <c r="C505" s="5">
        <v>1</v>
      </c>
      <c r="D505" s="10">
        <v>0</v>
      </c>
      <c r="E505" s="10">
        <v>0</v>
      </c>
      <c r="F505" s="10">
        <v>1966</v>
      </c>
      <c r="G505" s="10" t="s">
        <v>73</v>
      </c>
      <c r="H505" s="7" t="str">
        <f t="shared" si="399"/>
        <v>No</v>
      </c>
      <c r="I505" s="54" t="s">
        <v>55</v>
      </c>
      <c r="J505" s="8">
        <v>3</v>
      </c>
      <c r="K505" s="8" t="s">
        <v>63</v>
      </c>
      <c r="L505" s="8" t="s">
        <v>64</v>
      </c>
      <c r="M505" s="8" t="s">
        <v>52</v>
      </c>
      <c r="N505" s="8">
        <v>0</v>
      </c>
      <c r="O505" s="8">
        <v>0</v>
      </c>
      <c r="P505" s="8">
        <v>1</v>
      </c>
      <c r="Q505" s="8" t="s">
        <v>58</v>
      </c>
      <c r="R505" s="9">
        <v>0.1</v>
      </c>
      <c r="S505" s="8">
        <v>1</v>
      </c>
      <c r="T505" s="8">
        <v>0</v>
      </c>
      <c r="U505" s="8">
        <v>1</v>
      </c>
      <c r="V505" s="8">
        <v>1</v>
      </c>
      <c r="W505" s="8">
        <v>1</v>
      </c>
      <c r="X505" s="8">
        <v>0</v>
      </c>
      <c r="Y505" s="8">
        <v>0</v>
      </c>
      <c r="Z505" s="8">
        <v>0</v>
      </c>
      <c r="AA505" s="8" t="s">
        <v>110</v>
      </c>
      <c r="AB505" s="8">
        <v>0</v>
      </c>
      <c r="AC505" s="8">
        <v>0</v>
      </c>
      <c r="AD505" s="8">
        <v>0</v>
      </c>
      <c r="AE505" s="8">
        <v>1</v>
      </c>
      <c r="AF505" s="8">
        <v>1</v>
      </c>
      <c r="AG505" s="8">
        <v>0</v>
      </c>
      <c r="AH505" s="8">
        <v>0</v>
      </c>
      <c r="AI505" s="8">
        <v>1</v>
      </c>
      <c r="AJ505" s="8">
        <v>0</v>
      </c>
      <c r="AK505" s="8">
        <v>1</v>
      </c>
      <c r="AL505" s="8">
        <v>1</v>
      </c>
      <c r="AM505" s="8">
        <v>1</v>
      </c>
      <c r="AN505" s="8">
        <v>0</v>
      </c>
      <c r="AO505" s="8">
        <v>0</v>
      </c>
      <c r="AP505" s="8">
        <v>1</v>
      </c>
      <c r="AQ505" s="8">
        <v>0</v>
      </c>
      <c r="AR505" s="8">
        <v>1</v>
      </c>
      <c r="AS505" s="8">
        <v>0</v>
      </c>
      <c r="AT505" s="8">
        <v>0</v>
      </c>
      <c r="AU505" s="8">
        <v>0</v>
      </c>
      <c r="AV505" s="8">
        <v>0</v>
      </c>
      <c r="AW505" s="8">
        <v>0</v>
      </c>
      <c r="AX505" s="8">
        <v>0</v>
      </c>
      <c r="AY505" s="8">
        <v>0</v>
      </c>
      <c r="AZ505" s="8">
        <v>0</v>
      </c>
      <c r="BA505" s="8">
        <v>0</v>
      </c>
      <c r="BB505" s="8">
        <v>0</v>
      </c>
      <c r="BC505" s="8">
        <v>0</v>
      </c>
      <c r="BD505" s="8">
        <v>0</v>
      </c>
      <c r="BE505" s="8">
        <v>0</v>
      </c>
      <c r="BF505" s="8">
        <v>0</v>
      </c>
      <c r="BG505" s="8">
        <v>0</v>
      </c>
      <c r="BH505" s="8">
        <v>0</v>
      </c>
      <c r="BI505" s="8">
        <v>0</v>
      </c>
      <c r="BJ505" s="8">
        <v>0</v>
      </c>
      <c r="BK505" s="8">
        <v>0</v>
      </c>
      <c r="BL505" s="8">
        <v>0</v>
      </c>
      <c r="BM505" s="8">
        <v>0</v>
      </c>
      <c r="BN505" s="8">
        <v>0</v>
      </c>
      <c r="BO505" s="8">
        <v>0</v>
      </c>
      <c r="BP505" s="8">
        <v>0</v>
      </c>
      <c r="BQ505" s="8">
        <v>0</v>
      </c>
      <c r="BR505" s="8">
        <v>1</v>
      </c>
      <c r="BS505" s="8">
        <f t="shared" si="526"/>
        <v>7</v>
      </c>
      <c r="BT505" s="8"/>
      <c r="BU505" s="2">
        <f t="shared" si="437"/>
        <v>1</v>
      </c>
      <c r="BV505" s="2">
        <f t="shared" si="403"/>
        <v>4</v>
      </c>
      <c r="BW505" s="2">
        <f t="shared" si="404"/>
        <v>0</v>
      </c>
      <c r="BX505" s="2">
        <f t="shared" si="407"/>
        <v>1</v>
      </c>
      <c r="BY505" s="2">
        <f t="shared" si="405"/>
        <v>0</v>
      </c>
      <c r="BZ505" s="2">
        <f t="shared" ref="BZ505:CA505" si="695">SUM(AQ505)</f>
        <v>0</v>
      </c>
      <c r="CA505" s="2">
        <f t="shared" si="695"/>
        <v>1</v>
      </c>
      <c r="CB505" s="2">
        <f t="shared" si="431"/>
        <v>0</v>
      </c>
    </row>
    <row r="506" spans="1:80" ht="16" x14ac:dyDescent="0.2">
      <c r="A506" s="3" t="s">
        <v>174</v>
      </c>
      <c r="B506" s="10">
        <v>410</v>
      </c>
      <c r="C506" s="5">
        <v>1</v>
      </c>
      <c r="D506" s="10">
        <v>0</v>
      </c>
      <c r="E506" s="10">
        <v>0</v>
      </c>
      <c r="F506" s="10">
        <v>1966</v>
      </c>
      <c r="G506" s="10" t="s">
        <v>74</v>
      </c>
      <c r="H506" s="7" t="str">
        <f t="shared" si="399"/>
        <v>No</v>
      </c>
      <c r="I506" s="54" t="s">
        <v>55</v>
      </c>
      <c r="J506" s="8">
        <v>3</v>
      </c>
      <c r="K506" s="8" t="s">
        <v>63</v>
      </c>
      <c r="L506" s="8" t="s">
        <v>64</v>
      </c>
      <c r="M506" s="8" t="s">
        <v>52</v>
      </c>
      <c r="N506" s="8">
        <v>0</v>
      </c>
      <c r="O506" s="8">
        <v>0</v>
      </c>
      <c r="P506" s="8">
        <v>1</v>
      </c>
      <c r="Q506" s="8" t="s">
        <v>58</v>
      </c>
      <c r="R506" s="9">
        <v>0.1</v>
      </c>
      <c r="S506" s="8">
        <v>1</v>
      </c>
      <c r="T506" s="8">
        <v>0</v>
      </c>
      <c r="U506" s="8">
        <v>1</v>
      </c>
      <c r="V506" s="8">
        <v>1</v>
      </c>
      <c r="W506" s="8">
        <v>1</v>
      </c>
      <c r="X506" s="8">
        <v>0</v>
      </c>
      <c r="Y506" s="8">
        <v>0</v>
      </c>
      <c r="Z506" s="8">
        <v>0</v>
      </c>
      <c r="AA506" s="8" t="s">
        <v>110</v>
      </c>
      <c r="AB506" s="8">
        <v>0</v>
      </c>
      <c r="AC506" s="8">
        <v>0</v>
      </c>
      <c r="AD506" s="8">
        <v>0</v>
      </c>
      <c r="AE506" s="8">
        <v>1</v>
      </c>
      <c r="AF506" s="8">
        <v>1</v>
      </c>
      <c r="AG506" s="8">
        <v>0</v>
      </c>
      <c r="AH506" s="8">
        <v>0</v>
      </c>
      <c r="AI506" s="8">
        <v>1</v>
      </c>
      <c r="AJ506" s="8">
        <v>0</v>
      </c>
      <c r="AK506" s="8">
        <v>1</v>
      </c>
      <c r="AL506" s="8">
        <v>1</v>
      </c>
      <c r="AM506" s="8">
        <v>1</v>
      </c>
      <c r="AN506" s="8">
        <v>0</v>
      </c>
      <c r="AO506" s="8">
        <v>0</v>
      </c>
      <c r="AP506" s="8">
        <v>1</v>
      </c>
      <c r="AQ506" s="8">
        <v>0</v>
      </c>
      <c r="AR506" s="8">
        <v>1</v>
      </c>
      <c r="AS506" s="8">
        <v>0</v>
      </c>
      <c r="AT506" s="8">
        <v>0</v>
      </c>
      <c r="AU506" s="8">
        <v>0</v>
      </c>
      <c r="AV506" s="8">
        <v>0</v>
      </c>
      <c r="AW506" s="8">
        <v>0</v>
      </c>
      <c r="AX506" s="8">
        <v>0</v>
      </c>
      <c r="AY506" s="8">
        <v>0</v>
      </c>
      <c r="AZ506" s="8">
        <v>0</v>
      </c>
      <c r="BA506" s="8">
        <v>0</v>
      </c>
      <c r="BB506" s="8">
        <v>0</v>
      </c>
      <c r="BC506" s="8">
        <v>0</v>
      </c>
      <c r="BD506" s="8">
        <v>0</v>
      </c>
      <c r="BE506" s="8">
        <v>0</v>
      </c>
      <c r="BF506" s="8">
        <v>0</v>
      </c>
      <c r="BG506" s="8">
        <v>0</v>
      </c>
      <c r="BH506" s="8">
        <v>0</v>
      </c>
      <c r="BI506" s="8">
        <v>0</v>
      </c>
      <c r="BJ506" s="8">
        <v>0</v>
      </c>
      <c r="BK506" s="8">
        <v>0</v>
      </c>
      <c r="BL506" s="8">
        <v>0</v>
      </c>
      <c r="BM506" s="8">
        <v>0</v>
      </c>
      <c r="BN506" s="8">
        <v>0</v>
      </c>
      <c r="BO506" s="8">
        <v>0</v>
      </c>
      <c r="BP506" s="8">
        <v>0</v>
      </c>
      <c r="BQ506" s="8">
        <v>0</v>
      </c>
      <c r="BR506" s="8">
        <v>1</v>
      </c>
      <c r="BS506" s="8">
        <f t="shared" si="526"/>
        <v>7</v>
      </c>
      <c r="BT506" s="8"/>
      <c r="BU506" s="2">
        <f t="shared" si="437"/>
        <v>1</v>
      </c>
      <c r="BV506" s="2">
        <f t="shared" si="403"/>
        <v>4</v>
      </c>
      <c r="BW506" s="2">
        <f t="shared" si="404"/>
        <v>0</v>
      </c>
      <c r="BX506" s="2">
        <f t="shared" si="407"/>
        <v>1</v>
      </c>
      <c r="BY506" s="2">
        <f t="shared" si="405"/>
        <v>0</v>
      </c>
      <c r="BZ506" s="2">
        <f t="shared" ref="BZ506:CA506" si="696">SUM(AQ506)</f>
        <v>0</v>
      </c>
      <c r="CA506" s="2">
        <f t="shared" si="696"/>
        <v>1</v>
      </c>
      <c r="CB506" s="2">
        <f t="shared" si="431"/>
        <v>0</v>
      </c>
    </row>
    <row r="507" spans="1:80" ht="16" x14ac:dyDescent="0.2">
      <c r="A507" s="3" t="s">
        <v>174</v>
      </c>
      <c r="B507" s="10">
        <v>410</v>
      </c>
      <c r="C507" s="5">
        <v>1</v>
      </c>
      <c r="D507" s="10">
        <v>0</v>
      </c>
      <c r="E507" s="10">
        <v>0</v>
      </c>
      <c r="F507" s="10">
        <v>1966</v>
      </c>
      <c r="G507" s="10" t="s">
        <v>75</v>
      </c>
      <c r="H507" s="7" t="str">
        <f t="shared" si="399"/>
        <v>No</v>
      </c>
      <c r="I507" s="54" t="s">
        <v>55</v>
      </c>
      <c r="J507" s="8">
        <v>3</v>
      </c>
      <c r="K507" s="8" t="s">
        <v>63</v>
      </c>
      <c r="L507" s="8" t="s">
        <v>64</v>
      </c>
      <c r="M507" s="8" t="s">
        <v>52</v>
      </c>
      <c r="N507" s="8">
        <v>0</v>
      </c>
      <c r="O507" s="8">
        <v>0</v>
      </c>
      <c r="P507" s="8">
        <v>1</v>
      </c>
      <c r="Q507" s="8" t="s">
        <v>58</v>
      </c>
      <c r="R507" s="9">
        <v>0.1</v>
      </c>
      <c r="S507" s="8">
        <v>1</v>
      </c>
      <c r="T507" s="8">
        <v>0</v>
      </c>
      <c r="U507" s="8">
        <v>1</v>
      </c>
      <c r="V507" s="8">
        <v>1</v>
      </c>
      <c r="W507" s="8">
        <v>1</v>
      </c>
      <c r="X507" s="8">
        <v>0</v>
      </c>
      <c r="Y507" s="8">
        <v>0</v>
      </c>
      <c r="Z507" s="8">
        <v>0</v>
      </c>
      <c r="AA507" s="8" t="s">
        <v>110</v>
      </c>
      <c r="AB507" s="8">
        <v>0</v>
      </c>
      <c r="AC507" s="8">
        <v>0</v>
      </c>
      <c r="AD507" s="8">
        <v>0</v>
      </c>
      <c r="AE507" s="8">
        <v>1</v>
      </c>
      <c r="AF507" s="8">
        <v>1</v>
      </c>
      <c r="AG507" s="8">
        <v>0</v>
      </c>
      <c r="AH507" s="8">
        <v>0</v>
      </c>
      <c r="AI507" s="8">
        <v>1</v>
      </c>
      <c r="AJ507" s="8">
        <v>0</v>
      </c>
      <c r="AK507" s="8">
        <v>1</v>
      </c>
      <c r="AL507" s="8">
        <v>1</v>
      </c>
      <c r="AM507" s="8">
        <v>1</v>
      </c>
      <c r="AN507" s="8">
        <v>0</v>
      </c>
      <c r="AO507" s="8">
        <v>0</v>
      </c>
      <c r="AP507" s="8">
        <v>1</v>
      </c>
      <c r="AQ507" s="8">
        <v>0</v>
      </c>
      <c r="AR507" s="8">
        <v>1</v>
      </c>
      <c r="AS507" s="8">
        <v>0</v>
      </c>
      <c r="AT507" s="8">
        <v>0</v>
      </c>
      <c r="AU507" s="8">
        <v>0</v>
      </c>
      <c r="AV507" s="8">
        <v>0</v>
      </c>
      <c r="AW507" s="8">
        <v>0</v>
      </c>
      <c r="AX507" s="8">
        <v>0</v>
      </c>
      <c r="AY507" s="8">
        <v>0</v>
      </c>
      <c r="AZ507" s="8">
        <v>0</v>
      </c>
      <c r="BA507" s="8">
        <v>0</v>
      </c>
      <c r="BB507" s="8">
        <v>0</v>
      </c>
      <c r="BC507" s="8">
        <v>0</v>
      </c>
      <c r="BD507" s="8">
        <v>0</v>
      </c>
      <c r="BE507" s="8">
        <v>0</v>
      </c>
      <c r="BF507" s="8">
        <v>0</v>
      </c>
      <c r="BG507" s="8">
        <v>0</v>
      </c>
      <c r="BH507" s="8">
        <v>0</v>
      </c>
      <c r="BI507" s="8">
        <v>0</v>
      </c>
      <c r="BJ507" s="8">
        <v>0</v>
      </c>
      <c r="BK507" s="8">
        <v>0</v>
      </c>
      <c r="BL507" s="8">
        <v>0</v>
      </c>
      <c r="BM507" s="8">
        <v>0</v>
      </c>
      <c r="BN507" s="8">
        <v>0</v>
      </c>
      <c r="BO507" s="8">
        <v>0</v>
      </c>
      <c r="BP507" s="8">
        <v>0</v>
      </c>
      <c r="BQ507" s="8">
        <v>0</v>
      </c>
      <c r="BR507" s="8">
        <v>1</v>
      </c>
      <c r="BS507" s="8">
        <f t="shared" si="526"/>
        <v>7</v>
      </c>
      <c r="BT507" s="8"/>
      <c r="BU507" s="2">
        <f t="shared" si="437"/>
        <v>1</v>
      </c>
      <c r="BV507" s="2">
        <f t="shared" si="403"/>
        <v>4</v>
      </c>
      <c r="BW507" s="2">
        <f t="shared" si="404"/>
        <v>0</v>
      </c>
      <c r="BX507" s="2">
        <f t="shared" si="407"/>
        <v>1</v>
      </c>
      <c r="BY507" s="2">
        <f t="shared" si="405"/>
        <v>0</v>
      </c>
      <c r="BZ507" s="2">
        <f t="shared" ref="BZ507:CA507" si="697">SUM(AQ507)</f>
        <v>0</v>
      </c>
      <c r="CA507" s="2">
        <f t="shared" si="697"/>
        <v>1</v>
      </c>
      <c r="CB507" s="2">
        <f t="shared" si="431"/>
        <v>0</v>
      </c>
    </row>
    <row r="508" spans="1:80" ht="16" x14ac:dyDescent="0.2">
      <c r="A508" s="3" t="s">
        <v>174</v>
      </c>
      <c r="B508" s="10">
        <v>410</v>
      </c>
      <c r="C508" s="5">
        <v>1</v>
      </c>
      <c r="D508" s="10">
        <v>0</v>
      </c>
      <c r="E508" s="10">
        <v>0</v>
      </c>
      <c r="F508" s="10">
        <v>1966</v>
      </c>
      <c r="G508" s="10" t="s">
        <v>76</v>
      </c>
      <c r="H508" s="7" t="str">
        <f t="shared" si="399"/>
        <v>No</v>
      </c>
      <c r="I508" s="54" t="s">
        <v>55</v>
      </c>
      <c r="J508" s="8">
        <v>3</v>
      </c>
      <c r="K508" s="8" t="s">
        <v>63</v>
      </c>
      <c r="L508" s="8" t="s">
        <v>64</v>
      </c>
      <c r="M508" s="8" t="s">
        <v>52</v>
      </c>
      <c r="N508" s="8">
        <v>0</v>
      </c>
      <c r="O508" s="8">
        <v>0</v>
      </c>
      <c r="P508" s="8">
        <v>1</v>
      </c>
      <c r="Q508" s="8" t="s">
        <v>58</v>
      </c>
      <c r="R508" s="9">
        <v>0.1</v>
      </c>
      <c r="S508" s="8">
        <v>1</v>
      </c>
      <c r="T508" s="8">
        <v>0</v>
      </c>
      <c r="U508" s="8">
        <v>1</v>
      </c>
      <c r="V508" s="8">
        <v>1</v>
      </c>
      <c r="W508" s="8">
        <v>1</v>
      </c>
      <c r="X508" s="8">
        <v>0</v>
      </c>
      <c r="Y508" s="8">
        <v>0</v>
      </c>
      <c r="Z508" s="8">
        <v>0</v>
      </c>
      <c r="AA508" s="8" t="s">
        <v>110</v>
      </c>
      <c r="AB508" s="8">
        <v>0</v>
      </c>
      <c r="AC508" s="8">
        <v>0</v>
      </c>
      <c r="AD508" s="8">
        <v>0</v>
      </c>
      <c r="AE508" s="8">
        <v>1</v>
      </c>
      <c r="AF508" s="8">
        <v>1</v>
      </c>
      <c r="AG508" s="8">
        <v>0</v>
      </c>
      <c r="AH508" s="8">
        <v>0</v>
      </c>
      <c r="AI508" s="8">
        <v>1</v>
      </c>
      <c r="AJ508" s="8">
        <v>0</v>
      </c>
      <c r="AK508" s="8">
        <v>1</v>
      </c>
      <c r="AL508" s="8">
        <v>1</v>
      </c>
      <c r="AM508" s="8">
        <v>1</v>
      </c>
      <c r="AN508" s="8">
        <v>0</v>
      </c>
      <c r="AO508" s="8">
        <v>0</v>
      </c>
      <c r="AP508" s="8">
        <v>1</v>
      </c>
      <c r="AQ508" s="8">
        <v>0</v>
      </c>
      <c r="AR508" s="8">
        <v>1</v>
      </c>
      <c r="AS508" s="8">
        <v>0</v>
      </c>
      <c r="AT508" s="8">
        <v>0</v>
      </c>
      <c r="AU508" s="8">
        <v>0</v>
      </c>
      <c r="AV508" s="8">
        <v>0</v>
      </c>
      <c r="AW508" s="8">
        <v>0</v>
      </c>
      <c r="AX508" s="8">
        <v>0</v>
      </c>
      <c r="AY508" s="8">
        <v>0</v>
      </c>
      <c r="AZ508" s="8">
        <v>0</v>
      </c>
      <c r="BA508" s="8">
        <v>0</v>
      </c>
      <c r="BB508" s="8">
        <v>0</v>
      </c>
      <c r="BC508" s="8">
        <v>0</v>
      </c>
      <c r="BD508" s="8">
        <v>0</v>
      </c>
      <c r="BE508" s="8">
        <v>0</v>
      </c>
      <c r="BF508" s="8">
        <v>0</v>
      </c>
      <c r="BG508" s="8">
        <v>0</v>
      </c>
      <c r="BH508" s="8">
        <v>0</v>
      </c>
      <c r="BI508" s="8">
        <v>0</v>
      </c>
      <c r="BJ508" s="8">
        <v>0</v>
      </c>
      <c r="BK508" s="8">
        <v>0</v>
      </c>
      <c r="BL508" s="8">
        <v>0</v>
      </c>
      <c r="BM508" s="8">
        <v>0</v>
      </c>
      <c r="BN508" s="8">
        <v>0</v>
      </c>
      <c r="BO508" s="8">
        <v>0</v>
      </c>
      <c r="BP508" s="8">
        <v>0</v>
      </c>
      <c r="BQ508" s="8">
        <v>0</v>
      </c>
      <c r="BR508" s="8">
        <v>1</v>
      </c>
      <c r="BS508" s="8">
        <f t="shared" si="526"/>
        <v>7</v>
      </c>
      <c r="BT508" s="8"/>
      <c r="BU508" s="2">
        <f t="shared" si="437"/>
        <v>1</v>
      </c>
      <c r="BV508" s="2">
        <f t="shared" si="403"/>
        <v>4</v>
      </c>
      <c r="BW508" s="2">
        <f t="shared" si="404"/>
        <v>0</v>
      </c>
      <c r="BX508" s="2">
        <f t="shared" si="407"/>
        <v>1</v>
      </c>
      <c r="BY508" s="2">
        <f t="shared" si="405"/>
        <v>0</v>
      </c>
      <c r="BZ508" s="2">
        <f t="shared" ref="BZ508:CA508" si="698">SUM(AQ508)</f>
        <v>0</v>
      </c>
      <c r="CA508" s="2">
        <f t="shared" si="698"/>
        <v>1</v>
      </c>
      <c r="CB508" s="2">
        <f t="shared" si="431"/>
        <v>0</v>
      </c>
    </row>
    <row r="509" spans="1:80" ht="16" x14ac:dyDescent="0.2">
      <c r="A509" s="3" t="s">
        <v>174</v>
      </c>
      <c r="B509" s="10">
        <v>410</v>
      </c>
      <c r="C509" s="5">
        <v>1</v>
      </c>
      <c r="D509" s="10">
        <v>0</v>
      </c>
      <c r="E509" s="10">
        <v>0</v>
      </c>
      <c r="F509" s="10">
        <v>1966</v>
      </c>
      <c r="G509" s="10" t="s">
        <v>77</v>
      </c>
      <c r="H509" s="7" t="str">
        <f t="shared" si="399"/>
        <v>No</v>
      </c>
      <c r="I509" s="54" t="s">
        <v>55</v>
      </c>
      <c r="J509" s="8">
        <v>3</v>
      </c>
      <c r="K509" s="8" t="s">
        <v>63</v>
      </c>
      <c r="L509" s="8" t="s">
        <v>64</v>
      </c>
      <c r="M509" s="8" t="s">
        <v>52</v>
      </c>
      <c r="N509" s="8">
        <v>0</v>
      </c>
      <c r="O509" s="8">
        <v>0</v>
      </c>
      <c r="P509" s="8">
        <v>1</v>
      </c>
      <c r="Q509" s="8" t="s">
        <v>58</v>
      </c>
      <c r="R509" s="9">
        <v>0.1</v>
      </c>
      <c r="S509" s="8">
        <v>1</v>
      </c>
      <c r="T509" s="8">
        <v>0</v>
      </c>
      <c r="U509" s="8">
        <v>1</v>
      </c>
      <c r="V509" s="8">
        <v>1</v>
      </c>
      <c r="W509" s="8">
        <v>1</v>
      </c>
      <c r="X509" s="8">
        <v>0</v>
      </c>
      <c r="Y509" s="8">
        <v>0</v>
      </c>
      <c r="Z509" s="8">
        <v>0</v>
      </c>
      <c r="AA509" s="8" t="s">
        <v>110</v>
      </c>
      <c r="AB509" s="8">
        <v>0</v>
      </c>
      <c r="AC509" s="8">
        <v>0</v>
      </c>
      <c r="AD509" s="8">
        <v>0</v>
      </c>
      <c r="AE509" s="8">
        <v>1</v>
      </c>
      <c r="AF509" s="8">
        <v>1</v>
      </c>
      <c r="AG509" s="8">
        <v>0</v>
      </c>
      <c r="AH509" s="8">
        <v>0</v>
      </c>
      <c r="AI509" s="8">
        <v>1</v>
      </c>
      <c r="AJ509" s="8">
        <v>0</v>
      </c>
      <c r="AK509" s="8">
        <v>1</v>
      </c>
      <c r="AL509" s="8">
        <v>1</v>
      </c>
      <c r="AM509" s="8">
        <v>1</v>
      </c>
      <c r="AN509" s="8">
        <v>0</v>
      </c>
      <c r="AO509" s="8">
        <v>0</v>
      </c>
      <c r="AP509" s="8">
        <v>1</v>
      </c>
      <c r="AQ509" s="8">
        <v>0</v>
      </c>
      <c r="AR509" s="8">
        <v>1</v>
      </c>
      <c r="AS509" s="8">
        <v>0</v>
      </c>
      <c r="AT509" s="8">
        <v>0</v>
      </c>
      <c r="AU509" s="8">
        <v>0</v>
      </c>
      <c r="AV509" s="8">
        <v>0</v>
      </c>
      <c r="AW509" s="8">
        <v>0</v>
      </c>
      <c r="AX509" s="8">
        <v>0</v>
      </c>
      <c r="AY509" s="8">
        <v>0</v>
      </c>
      <c r="AZ509" s="8">
        <v>0</v>
      </c>
      <c r="BA509" s="8">
        <v>0</v>
      </c>
      <c r="BB509" s="8">
        <v>0</v>
      </c>
      <c r="BC509" s="8">
        <v>0</v>
      </c>
      <c r="BD509" s="8">
        <v>0</v>
      </c>
      <c r="BE509" s="8">
        <v>0</v>
      </c>
      <c r="BF509" s="8">
        <v>0</v>
      </c>
      <c r="BG509" s="8">
        <v>0</v>
      </c>
      <c r="BH509" s="8">
        <v>0</v>
      </c>
      <c r="BI509" s="8">
        <v>0</v>
      </c>
      <c r="BJ509" s="8">
        <v>0</v>
      </c>
      <c r="BK509" s="8">
        <v>0</v>
      </c>
      <c r="BL509" s="8">
        <v>0</v>
      </c>
      <c r="BM509" s="8">
        <v>0</v>
      </c>
      <c r="BN509" s="8">
        <v>0</v>
      </c>
      <c r="BO509" s="8">
        <v>0</v>
      </c>
      <c r="BP509" s="8">
        <v>0</v>
      </c>
      <c r="BQ509" s="8">
        <v>0</v>
      </c>
      <c r="BR509" s="8">
        <v>1</v>
      </c>
      <c r="BS509" s="8">
        <f t="shared" si="526"/>
        <v>7</v>
      </c>
      <c r="BT509" s="8"/>
      <c r="BU509" s="2">
        <f t="shared" si="437"/>
        <v>1</v>
      </c>
      <c r="BV509" s="2">
        <f t="shared" si="403"/>
        <v>4</v>
      </c>
      <c r="BW509" s="2">
        <f t="shared" si="404"/>
        <v>0</v>
      </c>
      <c r="BX509" s="2">
        <f t="shared" si="407"/>
        <v>1</v>
      </c>
      <c r="BY509" s="2">
        <f t="shared" si="405"/>
        <v>0</v>
      </c>
      <c r="BZ509" s="2">
        <f t="shared" ref="BZ509:CA509" si="699">SUM(AQ509)</f>
        <v>0</v>
      </c>
      <c r="CA509" s="2">
        <f t="shared" si="699"/>
        <v>1</v>
      </c>
      <c r="CB509" s="2">
        <f t="shared" si="431"/>
        <v>0</v>
      </c>
    </row>
    <row r="510" spans="1:80" ht="16" x14ac:dyDescent="0.2">
      <c r="A510" s="3" t="s">
        <v>174</v>
      </c>
      <c r="B510" s="10">
        <v>410</v>
      </c>
      <c r="C510" s="5">
        <v>1</v>
      </c>
      <c r="D510" s="10">
        <v>0</v>
      </c>
      <c r="E510" s="10">
        <v>0</v>
      </c>
      <c r="F510" s="10">
        <v>1966</v>
      </c>
      <c r="G510" s="10" t="s">
        <v>78</v>
      </c>
      <c r="H510" s="7" t="str">
        <f t="shared" si="399"/>
        <v>No</v>
      </c>
      <c r="I510" s="54" t="s">
        <v>55</v>
      </c>
      <c r="J510" s="8">
        <v>3</v>
      </c>
      <c r="K510" s="8" t="s">
        <v>63</v>
      </c>
      <c r="L510" s="8" t="s">
        <v>64</v>
      </c>
      <c r="M510" s="8" t="s">
        <v>52</v>
      </c>
      <c r="N510" s="8">
        <v>0</v>
      </c>
      <c r="O510" s="8">
        <v>0</v>
      </c>
      <c r="P510" s="8">
        <v>1</v>
      </c>
      <c r="Q510" s="8" t="s">
        <v>58</v>
      </c>
      <c r="R510" s="9">
        <v>0.1</v>
      </c>
      <c r="S510" s="8">
        <v>1</v>
      </c>
      <c r="T510" s="8">
        <v>0</v>
      </c>
      <c r="U510" s="8">
        <v>1</v>
      </c>
      <c r="V510" s="8">
        <v>1</v>
      </c>
      <c r="W510" s="8">
        <v>1</v>
      </c>
      <c r="X510" s="8">
        <v>0</v>
      </c>
      <c r="Y510" s="8">
        <v>0</v>
      </c>
      <c r="Z510" s="8">
        <v>0</v>
      </c>
      <c r="AA510" s="8" t="s">
        <v>110</v>
      </c>
      <c r="AB510" s="8">
        <v>0</v>
      </c>
      <c r="AC510" s="8">
        <v>0</v>
      </c>
      <c r="AD510" s="8">
        <v>0</v>
      </c>
      <c r="AE510" s="8">
        <v>1</v>
      </c>
      <c r="AF510" s="8">
        <v>1</v>
      </c>
      <c r="AG510" s="8">
        <v>0</v>
      </c>
      <c r="AH510" s="8">
        <v>0</v>
      </c>
      <c r="AI510" s="8">
        <v>1</v>
      </c>
      <c r="AJ510" s="8">
        <v>0</v>
      </c>
      <c r="AK510" s="8">
        <v>1</v>
      </c>
      <c r="AL510" s="8">
        <v>1</v>
      </c>
      <c r="AM510" s="8">
        <v>1</v>
      </c>
      <c r="AN510" s="8">
        <v>0</v>
      </c>
      <c r="AO510" s="8">
        <v>0</v>
      </c>
      <c r="AP510" s="8">
        <v>1</v>
      </c>
      <c r="AQ510" s="8">
        <v>0</v>
      </c>
      <c r="AR510" s="8">
        <v>1</v>
      </c>
      <c r="AS510" s="8">
        <v>0</v>
      </c>
      <c r="AT510" s="8">
        <v>0</v>
      </c>
      <c r="AU510" s="8">
        <v>0</v>
      </c>
      <c r="AV510" s="8">
        <v>0</v>
      </c>
      <c r="AW510" s="8">
        <v>0</v>
      </c>
      <c r="AX510" s="8">
        <v>0</v>
      </c>
      <c r="AY510" s="8">
        <v>0</v>
      </c>
      <c r="AZ510" s="8">
        <v>0</v>
      </c>
      <c r="BA510" s="8">
        <v>0</v>
      </c>
      <c r="BB510" s="8">
        <v>0</v>
      </c>
      <c r="BC510" s="8">
        <v>0</v>
      </c>
      <c r="BD510" s="8">
        <v>0</v>
      </c>
      <c r="BE510" s="8">
        <v>0</v>
      </c>
      <c r="BF510" s="8">
        <v>0</v>
      </c>
      <c r="BG510" s="8">
        <v>0</v>
      </c>
      <c r="BH510" s="8">
        <v>0</v>
      </c>
      <c r="BI510" s="8">
        <v>0</v>
      </c>
      <c r="BJ510" s="8">
        <v>0</v>
      </c>
      <c r="BK510" s="8">
        <v>0</v>
      </c>
      <c r="BL510" s="8">
        <v>0</v>
      </c>
      <c r="BM510" s="8">
        <v>0</v>
      </c>
      <c r="BN510" s="8">
        <v>0</v>
      </c>
      <c r="BO510" s="8">
        <v>0</v>
      </c>
      <c r="BP510" s="8">
        <v>0</v>
      </c>
      <c r="BQ510" s="8">
        <v>0</v>
      </c>
      <c r="BR510" s="8">
        <v>1</v>
      </c>
      <c r="BS510" s="8">
        <f t="shared" si="526"/>
        <v>7</v>
      </c>
      <c r="BT510" s="8"/>
      <c r="BU510" s="2">
        <f t="shared" si="437"/>
        <v>1</v>
      </c>
      <c r="BV510" s="2">
        <f t="shared" si="403"/>
        <v>4</v>
      </c>
      <c r="BW510" s="2">
        <f t="shared" si="404"/>
        <v>0</v>
      </c>
      <c r="BX510" s="2">
        <f t="shared" si="407"/>
        <v>1</v>
      </c>
      <c r="BY510" s="2">
        <f t="shared" si="405"/>
        <v>0</v>
      </c>
      <c r="BZ510" s="2">
        <f t="shared" ref="BZ510:CA510" si="700">SUM(AQ510)</f>
        <v>0</v>
      </c>
      <c r="CA510" s="2">
        <f t="shared" si="700"/>
        <v>1</v>
      </c>
      <c r="CB510" s="2">
        <f t="shared" si="431"/>
        <v>0</v>
      </c>
    </row>
    <row r="511" spans="1:80" ht="15" customHeight="1" x14ac:dyDescent="0.2">
      <c r="A511" s="3" t="s">
        <v>174</v>
      </c>
      <c r="B511" s="10">
        <v>410</v>
      </c>
      <c r="C511" s="5">
        <v>1</v>
      </c>
      <c r="D511" s="10">
        <v>0</v>
      </c>
      <c r="E511" s="10">
        <v>0</v>
      </c>
      <c r="F511" s="10">
        <v>1966</v>
      </c>
      <c r="G511" s="10" t="s">
        <v>79</v>
      </c>
      <c r="H511" s="7" t="str">
        <f t="shared" si="399"/>
        <v>No</v>
      </c>
      <c r="I511" s="54" t="s">
        <v>55</v>
      </c>
      <c r="J511" s="8">
        <v>3</v>
      </c>
      <c r="K511" s="8" t="s">
        <v>63</v>
      </c>
      <c r="L511" s="8" t="s">
        <v>64</v>
      </c>
      <c r="M511" s="8" t="s">
        <v>52</v>
      </c>
      <c r="N511" s="8">
        <v>0</v>
      </c>
      <c r="O511" s="8">
        <v>0</v>
      </c>
      <c r="P511" s="8">
        <v>1</v>
      </c>
      <c r="Q511" s="8" t="s">
        <v>58</v>
      </c>
      <c r="R511" s="9">
        <v>0.1</v>
      </c>
      <c r="S511" s="8">
        <v>1</v>
      </c>
      <c r="T511" s="8">
        <v>0</v>
      </c>
      <c r="U511" s="8">
        <v>1</v>
      </c>
      <c r="V511" s="8">
        <v>1</v>
      </c>
      <c r="W511" s="8">
        <v>1</v>
      </c>
      <c r="X511" s="8">
        <v>0</v>
      </c>
      <c r="Y511" s="8">
        <v>0</v>
      </c>
      <c r="Z511" s="8">
        <v>0</v>
      </c>
      <c r="AA511" s="8" t="s">
        <v>110</v>
      </c>
      <c r="AB511" s="8">
        <v>0</v>
      </c>
      <c r="AC511" s="8">
        <v>0</v>
      </c>
      <c r="AD511" s="8">
        <v>0</v>
      </c>
      <c r="AE511" s="8">
        <v>1</v>
      </c>
      <c r="AF511" s="8">
        <v>1</v>
      </c>
      <c r="AG511" s="8">
        <v>0</v>
      </c>
      <c r="AH511" s="8">
        <v>0</v>
      </c>
      <c r="AI511" s="8">
        <v>1</v>
      </c>
      <c r="AJ511" s="8">
        <v>0</v>
      </c>
      <c r="AK511" s="8">
        <v>1</v>
      </c>
      <c r="AL511" s="8">
        <v>1</v>
      </c>
      <c r="AM511" s="8">
        <v>1</v>
      </c>
      <c r="AN511" s="8">
        <v>0</v>
      </c>
      <c r="AO511" s="8">
        <v>0</v>
      </c>
      <c r="AP511" s="8">
        <v>1</v>
      </c>
      <c r="AQ511" s="8">
        <v>0</v>
      </c>
      <c r="AR511" s="8">
        <v>1</v>
      </c>
      <c r="AS511" s="8">
        <v>0</v>
      </c>
      <c r="AT511" s="8">
        <v>0</v>
      </c>
      <c r="AU511" s="8">
        <v>0</v>
      </c>
      <c r="AV511" s="8">
        <v>0</v>
      </c>
      <c r="AW511" s="8">
        <v>0</v>
      </c>
      <c r="AX511" s="8">
        <v>0</v>
      </c>
      <c r="AY511" s="8">
        <v>0</v>
      </c>
      <c r="AZ511" s="8">
        <v>0</v>
      </c>
      <c r="BA511" s="8">
        <v>0</v>
      </c>
      <c r="BB511" s="8">
        <v>0</v>
      </c>
      <c r="BC511" s="8">
        <v>0</v>
      </c>
      <c r="BD511" s="8">
        <v>0</v>
      </c>
      <c r="BE511" s="8">
        <v>0</v>
      </c>
      <c r="BF511" s="8">
        <v>0</v>
      </c>
      <c r="BG511" s="8">
        <v>0</v>
      </c>
      <c r="BH511" s="8">
        <v>0</v>
      </c>
      <c r="BI511" s="8">
        <v>0</v>
      </c>
      <c r="BJ511" s="8">
        <v>0</v>
      </c>
      <c r="BK511" s="8">
        <v>0</v>
      </c>
      <c r="BL511" s="8">
        <v>0</v>
      </c>
      <c r="BM511" s="8">
        <v>0</v>
      </c>
      <c r="BN511" s="8">
        <v>0</v>
      </c>
      <c r="BO511" s="8">
        <v>0</v>
      </c>
      <c r="BP511" s="8">
        <v>0</v>
      </c>
      <c r="BQ511" s="8">
        <v>0</v>
      </c>
      <c r="BR511" s="8">
        <v>1</v>
      </c>
      <c r="BS511" s="8">
        <f t="shared" si="526"/>
        <v>7</v>
      </c>
      <c r="BT511" s="8"/>
      <c r="BU511" s="2">
        <f t="shared" si="437"/>
        <v>1</v>
      </c>
      <c r="BV511" s="2">
        <f t="shared" si="403"/>
        <v>4</v>
      </c>
      <c r="BW511" s="2">
        <f t="shared" si="404"/>
        <v>0</v>
      </c>
      <c r="BX511" s="2">
        <f t="shared" si="407"/>
        <v>1</v>
      </c>
      <c r="BY511" s="2">
        <f t="shared" si="405"/>
        <v>0</v>
      </c>
      <c r="BZ511" s="2">
        <f t="shared" ref="BZ511:CA511" si="701">SUM(AQ511)</f>
        <v>0</v>
      </c>
      <c r="CA511" s="2">
        <f t="shared" si="701"/>
        <v>1</v>
      </c>
      <c r="CB511" s="2">
        <f t="shared" si="431"/>
        <v>0</v>
      </c>
    </row>
    <row r="512" spans="1:80" ht="15" customHeight="1" x14ac:dyDescent="0.2">
      <c r="A512" s="3" t="s">
        <v>174</v>
      </c>
      <c r="B512" s="10">
        <v>410</v>
      </c>
      <c r="C512" s="5">
        <v>1</v>
      </c>
      <c r="D512" s="10">
        <v>0</v>
      </c>
      <c r="E512" s="10">
        <v>0</v>
      </c>
      <c r="F512" s="10">
        <v>1966</v>
      </c>
      <c r="G512" s="10" t="s">
        <v>80</v>
      </c>
      <c r="H512" s="7" t="str">
        <f t="shared" si="399"/>
        <v>Yes</v>
      </c>
      <c r="I512" s="54" t="s">
        <v>56</v>
      </c>
      <c r="J512" s="8">
        <v>3</v>
      </c>
      <c r="K512" s="8" t="s">
        <v>63</v>
      </c>
      <c r="L512" s="8" t="s">
        <v>64</v>
      </c>
      <c r="M512" s="8" t="s">
        <v>52</v>
      </c>
      <c r="N512" s="8">
        <v>0</v>
      </c>
      <c r="O512" s="8">
        <v>1</v>
      </c>
      <c r="P512" s="8">
        <v>1</v>
      </c>
      <c r="Q512" s="8" t="s">
        <v>58</v>
      </c>
      <c r="R512" s="9">
        <v>0.1</v>
      </c>
      <c r="S512" s="8">
        <v>1</v>
      </c>
      <c r="T512" s="8">
        <v>0</v>
      </c>
      <c r="U512" s="8">
        <v>1</v>
      </c>
      <c r="V512" s="8">
        <v>1</v>
      </c>
      <c r="W512" s="8">
        <v>1</v>
      </c>
      <c r="X512" s="8">
        <v>0</v>
      </c>
      <c r="Y512" s="8">
        <v>0</v>
      </c>
      <c r="Z512" s="8">
        <v>0</v>
      </c>
      <c r="AA512" s="8" t="s">
        <v>110</v>
      </c>
      <c r="AB512" s="8">
        <v>0</v>
      </c>
      <c r="AC512" s="8">
        <v>0</v>
      </c>
      <c r="AD512" s="8">
        <v>0</v>
      </c>
      <c r="AE512" s="8">
        <v>1</v>
      </c>
      <c r="AF512" s="8">
        <v>1</v>
      </c>
      <c r="AG512" s="8">
        <v>0</v>
      </c>
      <c r="AH512" s="8">
        <v>0</v>
      </c>
      <c r="AI512" s="8">
        <v>1</v>
      </c>
      <c r="AJ512" s="8">
        <v>0</v>
      </c>
      <c r="AK512" s="8">
        <v>1</v>
      </c>
      <c r="AL512" s="8">
        <v>1</v>
      </c>
      <c r="AM512" s="8">
        <v>1</v>
      </c>
      <c r="AN512" s="8">
        <v>0</v>
      </c>
      <c r="AO512" s="8">
        <v>0</v>
      </c>
      <c r="AP512" s="8">
        <v>1</v>
      </c>
      <c r="AQ512" s="8">
        <v>0</v>
      </c>
      <c r="AR512" s="8">
        <v>1</v>
      </c>
      <c r="AS512" s="8">
        <v>0</v>
      </c>
      <c r="AT512" s="8">
        <v>0</v>
      </c>
      <c r="AU512" s="8">
        <v>0</v>
      </c>
      <c r="AV512" s="8">
        <v>0</v>
      </c>
      <c r="AW512" s="8">
        <v>0</v>
      </c>
      <c r="AX512" s="8">
        <v>0</v>
      </c>
      <c r="AY512" s="8">
        <v>0</v>
      </c>
      <c r="AZ512" s="8">
        <v>0</v>
      </c>
      <c r="BA512" s="8">
        <v>0</v>
      </c>
      <c r="BB512" s="8">
        <v>0</v>
      </c>
      <c r="BC512" s="8">
        <v>0</v>
      </c>
      <c r="BD512" s="8">
        <v>0</v>
      </c>
      <c r="BE512" s="8">
        <v>0</v>
      </c>
      <c r="BF512" s="8">
        <v>0</v>
      </c>
      <c r="BG512" s="8">
        <v>0</v>
      </c>
      <c r="BH512" s="8">
        <v>0</v>
      </c>
      <c r="BI512" s="8">
        <v>0</v>
      </c>
      <c r="BJ512" s="8">
        <v>0</v>
      </c>
      <c r="BK512" s="8">
        <v>0</v>
      </c>
      <c r="BL512" s="8">
        <v>0</v>
      </c>
      <c r="BM512" s="8">
        <v>0</v>
      </c>
      <c r="BN512" s="8">
        <v>0</v>
      </c>
      <c r="BO512" s="8">
        <v>0</v>
      </c>
      <c r="BP512" s="8">
        <v>0</v>
      </c>
      <c r="BQ512" s="8">
        <v>0</v>
      </c>
      <c r="BR512" s="8">
        <v>1</v>
      </c>
      <c r="BS512" s="8">
        <f t="shared" si="526"/>
        <v>7</v>
      </c>
      <c r="BT512" s="8"/>
      <c r="BU512" s="2">
        <f t="shared" si="437"/>
        <v>1</v>
      </c>
      <c r="BV512" s="2">
        <f t="shared" si="403"/>
        <v>4</v>
      </c>
      <c r="BW512" s="2">
        <f t="shared" si="404"/>
        <v>0</v>
      </c>
      <c r="BX512" s="2">
        <f t="shared" si="407"/>
        <v>1</v>
      </c>
      <c r="BY512" s="2">
        <f t="shared" si="405"/>
        <v>0</v>
      </c>
      <c r="BZ512" s="2">
        <f t="shared" ref="BZ512:CA512" si="702">SUM(AQ512)</f>
        <v>0</v>
      </c>
      <c r="CA512" s="2">
        <f t="shared" si="702"/>
        <v>1</v>
      </c>
      <c r="CB512" s="2">
        <f t="shared" si="431"/>
        <v>0</v>
      </c>
    </row>
    <row r="513" spans="1:80" ht="16" x14ac:dyDescent="0.2">
      <c r="A513" s="3" t="s">
        <v>174</v>
      </c>
      <c r="B513" s="10">
        <v>410</v>
      </c>
      <c r="C513" s="5">
        <v>1</v>
      </c>
      <c r="D513" s="10">
        <v>0</v>
      </c>
      <c r="E513" s="10">
        <v>0</v>
      </c>
      <c r="F513" s="10">
        <v>1966</v>
      </c>
      <c r="G513" s="10">
        <v>2022</v>
      </c>
      <c r="H513" s="7" t="s">
        <v>82</v>
      </c>
      <c r="I513" s="54" t="s">
        <v>56</v>
      </c>
      <c r="J513" s="8">
        <v>3</v>
      </c>
      <c r="K513" s="8" t="s">
        <v>63</v>
      </c>
      <c r="L513" s="8" t="s">
        <v>64</v>
      </c>
      <c r="M513" s="8" t="s">
        <v>52</v>
      </c>
      <c r="N513" s="8">
        <v>0</v>
      </c>
      <c r="O513" s="8">
        <v>1</v>
      </c>
      <c r="P513" s="8">
        <v>1</v>
      </c>
      <c r="Q513" s="8" t="s">
        <v>58</v>
      </c>
      <c r="R513" s="9">
        <v>0.1</v>
      </c>
      <c r="S513" s="8">
        <v>1</v>
      </c>
      <c r="T513" s="8">
        <v>0</v>
      </c>
      <c r="U513" s="8">
        <v>1</v>
      </c>
      <c r="V513" s="8">
        <v>1</v>
      </c>
      <c r="W513" s="8">
        <v>1</v>
      </c>
      <c r="X513" s="8">
        <v>0</v>
      </c>
      <c r="Y513" s="8">
        <v>0</v>
      </c>
      <c r="Z513" s="8">
        <v>0</v>
      </c>
      <c r="AA513" s="8" t="s">
        <v>110</v>
      </c>
      <c r="AB513" s="8">
        <v>0</v>
      </c>
      <c r="AC513" s="8">
        <v>0</v>
      </c>
      <c r="AD513" s="8">
        <v>0</v>
      </c>
      <c r="AE513" s="8">
        <v>1</v>
      </c>
      <c r="AF513" s="8">
        <v>1</v>
      </c>
      <c r="AG513" s="8">
        <v>0</v>
      </c>
      <c r="AH513" s="8">
        <v>0</v>
      </c>
      <c r="AI513" s="8">
        <v>1</v>
      </c>
      <c r="AJ513" s="8">
        <v>0</v>
      </c>
      <c r="AK513" s="8">
        <v>1</v>
      </c>
      <c r="AL513" s="8">
        <v>1</v>
      </c>
      <c r="AM513" s="8">
        <v>1</v>
      </c>
      <c r="AN513" s="8">
        <v>0</v>
      </c>
      <c r="AO513" s="8">
        <v>0</v>
      </c>
      <c r="AP513" s="8">
        <v>1</v>
      </c>
      <c r="AQ513" s="8">
        <v>0</v>
      </c>
      <c r="AR513" s="8">
        <v>1</v>
      </c>
      <c r="AS513" s="8">
        <v>0</v>
      </c>
      <c r="AT513" s="8">
        <v>0</v>
      </c>
      <c r="AU513" s="8">
        <v>0</v>
      </c>
      <c r="AV513" s="8">
        <v>0</v>
      </c>
      <c r="AW513" s="8">
        <v>0</v>
      </c>
      <c r="AX513" s="8">
        <v>0</v>
      </c>
      <c r="AY513" s="8">
        <v>1</v>
      </c>
      <c r="AZ513" s="8">
        <v>0</v>
      </c>
      <c r="BA513" s="8">
        <v>0</v>
      </c>
      <c r="BB513" s="8">
        <v>0</v>
      </c>
      <c r="BC513" s="8">
        <v>0</v>
      </c>
      <c r="BD513" s="8">
        <v>0</v>
      </c>
      <c r="BE513" s="8">
        <v>0</v>
      </c>
      <c r="BF513" s="8">
        <v>0</v>
      </c>
      <c r="BG513" s="8">
        <v>0</v>
      </c>
      <c r="BH513" s="8">
        <v>0</v>
      </c>
      <c r="BI513" s="8">
        <v>0</v>
      </c>
      <c r="BJ513" s="8">
        <v>0</v>
      </c>
      <c r="BK513" s="8">
        <v>0</v>
      </c>
      <c r="BL513" s="8">
        <v>1</v>
      </c>
      <c r="BM513" s="8">
        <v>0</v>
      </c>
      <c r="BN513" s="8">
        <v>0</v>
      </c>
      <c r="BO513" s="8">
        <v>0</v>
      </c>
      <c r="BP513" s="8">
        <v>0</v>
      </c>
      <c r="BQ513" s="8">
        <v>0</v>
      </c>
      <c r="BR513" s="8">
        <v>1</v>
      </c>
      <c r="BS513" s="8">
        <f t="shared" ref="BS513" si="703">SUM(AI513:BR513)</f>
        <v>9</v>
      </c>
      <c r="BT513" s="8"/>
      <c r="BU513" s="2">
        <f t="shared" ref="BU513" si="704">SUM(AI513,BK513)</f>
        <v>1</v>
      </c>
      <c r="BV513" s="2">
        <f t="shared" ref="BV513" si="705">SUM(AK513, AL513, AM513,AJ513,BL513,BO513, AP513)</f>
        <v>5</v>
      </c>
      <c r="BW513" s="2">
        <f t="shared" ref="BW513" si="706">SUM(AN513, AO513, AS513)</f>
        <v>0</v>
      </c>
      <c r="BX513" s="2">
        <f t="shared" ref="BX513" si="707">SUM(AU513,AV513,AW513,AX513,AY513,AZ513,BA513,BB513,BC513,BD513,BE513,BF513,BG513,BH513,BI513,BJ513,BQ513,BR513,BM513)</f>
        <v>2</v>
      </c>
      <c r="BY513" s="2">
        <f t="shared" ref="BY513" si="708">SUM(BP513, BN513)</f>
        <v>0</v>
      </c>
      <c r="BZ513" s="2">
        <f t="shared" ref="BZ513" si="709">SUM(AQ513)</f>
        <v>0</v>
      </c>
      <c r="CA513" s="2">
        <f t="shared" ref="CA513" si="710">SUM(AR513)</f>
        <v>1</v>
      </c>
      <c r="CB513" s="2">
        <f t="shared" ref="CB513" si="711">SUM(AT513)</f>
        <v>0</v>
      </c>
    </row>
    <row r="514" spans="1:80" ht="16" x14ac:dyDescent="0.2">
      <c r="A514" s="16" t="s">
        <v>174</v>
      </c>
      <c r="B514" s="16">
        <v>410</v>
      </c>
      <c r="C514" s="52">
        <v>1</v>
      </c>
      <c r="D514" s="16">
        <v>0</v>
      </c>
      <c r="E514" s="16">
        <v>0</v>
      </c>
      <c r="F514" s="16">
        <v>1966</v>
      </c>
      <c r="G514" s="16">
        <v>2023</v>
      </c>
      <c r="H514" s="16" t="s">
        <v>98</v>
      </c>
      <c r="I514" s="59">
        <v>0</v>
      </c>
      <c r="J514" s="16">
        <v>3</v>
      </c>
      <c r="K514" s="16" t="s">
        <v>63</v>
      </c>
      <c r="L514" s="16" t="s">
        <v>64</v>
      </c>
      <c r="M514" s="16" t="s">
        <v>52</v>
      </c>
      <c r="N514" s="16">
        <v>0</v>
      </c>
      <c r="O514" s="16">
        <v>1</v>
      </c>
      <c r="P514" s="16">
        <v>1</v>
      </c>
      <c r="Q514" s="16" t="s">
        <v>58</v>
      </c>
      <c r="R514" s="16" t="s">
        <v>175</v>
      </c>
      <c r="S514" s="16">
        <v>1</v>
      </c>
      <c r="T514" s="16">
        <v>0</v>
      </c>
      <c r="U514" s="16">
        <v>1</v>
      </c>
      <c r="V514" s="16">
        <v>1</v>
      </c>
      <c r="W514" s="16">
        <v>1</v>
      </c>
      <c r="X514" s="16">
        <v>0</v>
      </c>
      <c r="Y514" s="16">
        <v>0</v>
      </c>
      <c r="Z514" s="16">
        <v>0</v>
      </c>
      <c r="AA514" s="16" t="s">
        <v>110</v>
      </c>
      <c r="AB514" s="16">
        <v>0</v>
      </c>
      <c r="AC514" s="16">
        <v>0</v>
      </c>
      <c r="AD514" s="16">
        <v>0</v>
      </c>
      <c r="AE514" s="16">
        <v>1</v>
      </c>
      <c r="AF514" s="16">
        <v>1</v>
      </c>
      <c r="AG514" s="16">
        <v>0</v>
      </c>
      <c r="AH514" s="16">
        <v>0</v>
      </c>
      <c r="AI514" s="16">
        <v>1</v>
      </c>
      <c r="AJ514" s="16">
        <v>0</v>
      </c>
      <c r="AK514" s="16">
        <v>1</v>
      </c>
      <c r="AL514" s="16">
        <v>1</v>
      </c>
      <c r="AM514" s="16">
        <v>1</v>
      </c>
      <c r="AN514" s="16">
        <v>0</v>
      </c>
      <c r="AO514" s="16">
        <v>0</v>
      </c>
      <c r="AP514" s="16">
        <v>1</v>
      </c>
      <c r="AQ514" s="16">
        <v>0</v>
      </c>
      <c r="AR514" s="16">
        <v>1</v>
      </c>
      <c r="AS514" s="16">
        <v>0</v>
      </c>
      <c r="AT514" s="16">
        <v>0</v>
      </c>
      <c r="AU514" s="16">
        <v>0</v>
      </c>
      <c r="AV514" s="16">
        <v>0</v>
      </c>
      <c r="AW514" s="16">
        <v>0</v>
      </c>
      <c r="AX514" s="16">
        <v>0</v>
      </c>
      <c r="AY514" s="16">
        <v>1</v>
      </c>
      <c r="AZ514" s="16">
        <v>0</v>
      </c>
      <c r="BA514" s="16">
        <v>0</v>
      </c>
      <c r="BB514" s="16">
        <v>0</v>
      </c>
      <c r="BC514" s="16">
        <v>0</v>
      </c>
      <c r="BD514" s="16">
        <v>0</v>
      </c>
      <c r="BE514" s="16">
        <v>0</v>
      </c>
      <c r="BF514" s="16">
        <v>0</v>
      </c>
      <c r="BG514" s="16">
        <v>0</v>
      </c>
      <c r="BH514" s="16">
        <v>0</v>
      </c>
      <c r="BI514" s="16">
        <v>0</v>
      </c>
      <c r="BJ514" s="16">
        <v>0</v>
      </c>
      <c r="BK514" s="16">
        <v>0</v>
      </c>
      <c r="BL514" s="16">
        <v>1</v>
      </c>
      <c r="BM514" s="16">
        <v>0</v>
      </c>
      <c r="BN514" s="16">
        <v>0</v>
      </c>
      <c r="BO514" s="16">
        <v>0</v>
      </c>
      <c r="BP514" s="16">
        <v>0</v>
      </c>
      <c r="BQ514" s="16">
        <v>0</v>
      </c>
      <c r="BR514" s="16">
        <v>1</v>
      </c>
      <c r="BS514" s="16">
        <v>9</v>
      </c>
      <c r="BT514" s="16"/>
      <c r="BU514" s="16">
        <v>1</v>
      </c>
      <c r="BV514" s="16">
        <v>5</v>
      </c>
      <c r="BW514" s="16">
        <v>0</v>
      </c>
      <c r="BX514" s="16">
        <v>2</v>
      </c>
      <c r="BY514" s="16">
        <v>0</v>
      </c>
      <c r="BZ514" s="16">
        <v>0</v>
      </c>
      <c r="CA514" s="16">
        <v>1</v>
      </c>
      <c r="CB514" s="16">
        <v>0</v>
      </c>
    </row>
    <row r="515" spans="1:80" ht="16" x14ac:dyDescent="0.2">
      <c r="A515" s="3" t="s">
        <v>176</v>
      </c>
      <c r="B515" s="10">
        <v>703</v>
      </c>
      <c r="C515" s="5">
        <v>1</v>
      </c>
      <c r="D515" s="10">
        <v>1</v>
      </c>
      <c r="E515" s="10">
        <v>0</v>
      </c>
      <c r="F515" s="10">
        <v>2021</v>
      </c>
      <c r="G515" s="10" t="s">
        <v>86</v>
      </c>
      <c r="H515" s="7" t="str">
        <f t="shared" si="399"/>
        <v>No</v>
      </c>
      <c r="I515" s="54" t="s">
        <v>55</v>
      </c>
      <c r="J515" s="8">
        <v>0</v>
      </c>
      <c r="K515" s="8"/>
      <c r="L515" s="8"/>
      <c r="M515" s="8"/>
      <c r="N515" s="8"/>
      <c r="O515" s="8"/>
      <c r="P515" s="8"/>
      <c r="Q515" s="8"/>
      <c r="R515" s="6"/>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f t="shared" si="526"/>
        <v>0</v>
      </c>
      <c r="BT515" s="8"/>
      <c r="BU515" s="2">
        <f t="shared" si="437"/>
        <v>0</v>
      </c>
      <c r="BV515" s="2">
        <f t="shared" si="403"/>
        <v>0</v>
      </c>
      <c r="BW515" s="2">
        <f t="shared" si="404"/>
        <v>0</v>
      </c>
      <c r="BX515" s="2">
        <f t="shared" si="407"/>
        <v>0</v>
      </c>
      <c r="BY515" s="2">
        <f t="shared" si="405"/>
        <v>0</v>
      </c>
      <c r="BZ515" s="2">
        <f t="shared" ref="BZ515:CA515" si="712">SUM(AQ515)</f>
        <v>0</v>
      </c>
      <c r="CA515" s="2">
        <f t="shared" si="712"/>
        <v>0</v>
      </c>
      <c r="CB515" s="2">
        <f t="shared" si="431"/>
        <v>0</v>
      </c>
    </row>
    <row r="516" spans="1:80" ht="16" x14ac:dyDescent="0.2">
      <c r="A516" s="3" t="s">
        <v>176</v>
      </c>
      <c r="B516" s="10">
        <v>703</v>
      </c>
      <c r="C516" s="5">
        <v>1</v>
      </c>
      <c r="D516" s="10">
        <v>1</v>
      </c>
      <c r="E516" s="10">
        <v>0</v>
      </c>
      <c r="F516" s="10">
        <v>2021</v>
      </c>
      <c r="G516" s="10" t="s">
        <v>90</v>
      </c>
      <c r="H516" s="7" t="str">
        <f t="shared" si="399"/>
        <v>No</v>
      </c>
      <c r="I516" s="54" t="s">
        <v>55</v>
      </c>
      <c r="J516" s="8">
        <v>0</v>
      </c>
      <c r="K516" s="8"/>
      <c r="L516" s="8"/>
      <c r="M516" s="8"/>
      <c r="N516" s="8"/>
      <c r="O516" s="8"/>
      <c r="P516" s="8"/>
      <c r="Q516" s="8"/>
      <c r="R516" s="6"/>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f t="shared" si="526"/>
        <v>0</v>
      </c>
      <c r="BT516" s="8"/>
      <c r="BU516" s="2">
        <f t="shared" si="437"/>
        <v>0</v>
      </c>
      <c r="BV516" s="2">
        <f t="shared" si="403"/>
        <v>0</v>
      </c>
      <c r="BW516" s="2">
        <f t="shared" si="404"/>
        <v>0</v>
      </c>
      <c r="BX516" s="2">
        <f t="shared" si="407"/>
        <v>0</v>
      </c>
      <c r="BY516" s="2">
        <f t="shared" si="405"/>
        <v>0</v>
      </c>
      <c r="BZ516" s="2">
        <f t="shared" ref="BZ516:CA516" si="713">SUM(AQ516)</f>
        <v>0</v>
      </c>
      <c r="CA516" s="2">
        <f t="shared" si="713"/>
        <v>0</v>
      </c>
      <c r="CB516" s="2">
        <f t="shared" si="431"/>
        <v>0</v>
      </c>
    </row>
    <row r="517" spans="1:80" ht="16" x14ac:dyDescent="0.2">
      <c r="A517" s="3" t="s">
        <v>176</v>
      </c>
      <c r="B517" s="10">
        <v>703</v>
      </c>
      <c r="C517" s="5">
        <v>1</v>
      </c>
      <c r="D517" s="10">
        <v>1</v>
      </c>
      <c r="E517" s="10">
        <v>0</v>
      </c>
      <c r="F517" s="10">
        <v>2021</v>
      </c>
      <c r="G517" s="10" t="s">
        <v>91</v>
      </c>
      <c r="H517" s="7" t="str">
        <f t="shared" si="399"/>
        <v>No</v>
      </c>
      <c r="I517" s="54" t="s">
        <v>55</v>
      </c>
      <c r="J517" s="8">
        <v>0</v>
      </c>
      <c r="K517" s="8"/>
      <c r="L517" s="8"/>
      <c r="M517" s="8"/>
      <c r="N517" s="8"/>
      <c r="O517" s="8"/>
      <c r="P517" s="8"/>
      <c r="Q517" s="8"/>
      <c r="R517" s="6"/>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f t="shared" si="526"/>
        <v>0</v>
      </c>
      <c r="BT517" s="8"/>
      <c r="BU517" s="2">
        <f t="shared" si="437"/>
        <v>0</v>
      </c>
      <c r="BV517" s="2">
        <f t="shared" si="403"/>
        <v>0</v>
      </c>
      <c r="BW517" s="2">
        <f t="shared" si="404"/>
        <v>0</v>
      </c>
      <c r="BX517" s="2">
        <f t="shared" si="407"/>
        <v>0</v>
      </c>
      <c r="BY517" s="2">
        <f t="shared" si="405"/>
        <v>0</v>
      </c>
      <c r="BZ517" s="2">
        <f t="shared" ref="BZ517:CA517" si="714">SUM(AQ517)</f>
        <v>0</v>
      </c>
      <c r="CA517" s="2">
        <f t="shared" si="714"/>
        <v>0</v>
      </c>
      <c r="CB517" s="2">
        <f t="shared" si="431"/>
        <v>0</v>
      </c>
    </row>
    <row r="518" spans="1:80" ht="16" x14ac:dyDescent="0.2">
      <c r="A518" s="3" t="s">
        <v>176</v>
      </c>
      <c r="B518" s="10">
        <v>703</v>
      </c>
      <c r="C518" s="5">
        <v>1</v>
      </c>
      <c r="D518" s="10">
        <v>1</v>
      </c>
      <c r="E518" s="10">
        <v>0</v>
      </c>
      <c r="F518" s="10">
        <v>2021</v>
      </c>
      <c r="G518" s="10" t="s">
        <v>93</v>
      </c>
      <c r="H518" s="7" t="str">
        <f t="shared" si="399"/>
        <v>No</v>
      </c>
      <c r="I518" s="54" t="s">
        <v>55</v>
      </c>
      <c r="J518" s="8">
        <v>0</v>
      </c>
      <c r="K518" s="8"/>
      <c r="L518" s="8"/>
      <c r="M518" s="8"/>
      <c r="N518" s="8"/>
      <c r="O518" s="8"/>
      <c r="P518" s="8"/>
      <c r="Q518" s="8"/>
      <c r="R518" s="6"/>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f t="shared" si="526"/>
        <v>0</v>
      </c>
      <c r="BT518" s="8"/>
      <c r="BU518" s="2">
        <f t="shared" si="437"/>
        <v>0</v>
      </c>
      <c r="BV518" s="2">
        <f t="shared" si="403"/>
        <v>0</v>
      </c>
      <c r="BW518" s="2">
        <f t="shared" si="404"/>
        <v>0</v>
      </c>
      <c r="BX518" s="2">
        <f t="shared" si="407"/>
        <v>0</v>
      </c>
      <c r="BY518" s="2">
        <f t="shared" si="405"/>
        <v>0</v>
      </c>
      <c r="BZ518" s="2">
        <f t="shared" ref="BZ518:CA518" si="715">SUM(AQ518)</f>
        <v>0</v>
      </c>
      <c r="CA518" s="2">
        <f t="shared" si="715"/>
        <v>0</v>
      </c>
      <c r="CB518" s="2">
        <f t="shared" si="431"/>
        <v>0</v>
      </c>
    </row>
    <row r="519" spans="1:80" ht="16" x14ac:dyDescent="0.2">
      <c r="A519" s="3" t="s">
        <v>176</v>
      </c>
      <c r="B519" s="10">
        <v>703</v>
      </c>
      <c r="C519" s="5">
        <v>1</v>
      </c>
      <c r="D519" s="10">
        <v>1</v>
      </c>
      <c r="E519" s="10">
        <v>0</v>
      </c>
      <c r="F519" s="10">
        <v>2021</v>
      </c>
      <c r="G519" s="10" t="s">
        <v>70</v>
      </c>
      <c r="H519" s="7" t="str">
        <f t="shared" si="399"/>
        <v>No</v>
      </c>
      <c r="I519" s="54" t="s">
        <v>55</v>
      </c>
      <c r="J519" s="8">
        <v>0</v>
      </c>
      <c r="K519" s="8"/>
      <c r="L519" s="8"/>
      <c r="M519" s="8"/>
      <c r="N519" s="8"/>
      <c r="O519" s="8"/>
      <c r="P519" s="8"/>
      <c r="Q519" s="8"/>
      <c r="R519" s="6"/>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f t="shared" si="526"/>
        <v>0</v>
      </c>
      <c r="BT519" s="8"/>
      <c r="BU519" s="2">
        <f t="shared" si="437"/>
        <v>0</v>
      </c>
      <c r="BV519" s="2">
        <f t="shared" si="403"/>
        <v>0</v>
      </c>
      <c r="BW519" s="2">
        <f t="shared" si="404"/>
        <v>0</v>
      </c>
      <c r="BX519" s="2">
        <f t="shared" si="407"/>
        <v>0</v>
      </c>
      <c r="BY519" s="2">
        <f t="shared" si="405"/>
        <v>0</v>
      </c>
      <c r="BZ519" s="2">
        <f t="shared" ref="BZ519:CA519" si="716">SUM(AQ519)</f>
        <v>0</v>
      </c>
      <c r="CA519" s="2">
        <f t="shared" si="716"/>
        <v>0</v>
      </c>
      <c r="CB519" s="2">
        <f t="shared" si="431"/>
        <v>0</v>
      </c>
    </row>
    <row r="520" spans="1:80" ht="16" x14ac:dyDescent="0.2">
      <c r="A520" s="3" t="s">
        <v>176</v>
      </c>
      <c r="B520" s="10">
        <v>703</v>
      </c>
      <c r="C520" s="5">
        <v>1</v>
      </c>
      <c r="D520" s="10">
        <v>1</v>
      </c>
      <c r="E520" s="10">
        <v>0</v>
      </c>
      <c r="F520" s="10">
        <v>2021</v>
      </c>
      <c r="G520" s="10" t="s">
        <v>71</v>
      </c>
      <c r="H520" s="7" t="str">
        <f t="shared" si="399"/>
        <v>No</v>
      </c>
      <c r="I520" s="54" t="s">
        <v>55</v>
      </c>
      <c r="J520" s="8">
        <v>0</v>
      </c>
      <c r="K520" s="8"/>
      <c r="L520" s="8"/>
      <c r="M520" s="8"/>
      <c r="N520" s="8"/>
      <c r="O520" s="8"/>
      <c r="P520" s="8"/>
      <c r="Q520" s="8"/>
      <c r="R520" s="6"/>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f t="shared" si="526"/>
        <v>0</v>
      </c>
      <c r="BT520" s="8"/>
      <c r="BU520" s="2">
        <f t="shared" si="437"/>
        <v>0</v>
      </c>
      <c r="BV520" s="2">
        <f t="shared" si="403"/>
        <v>0</v>
      </c>
      <c r="BW520" s="2">
        <f t="shared" si="404"/>
        <v>0</v>
      </c>
      <c r="BX520" s="2">
        <f t="shared" si="407"/>
        <v>0</v>
      </c>
      <c r="BY520" s="2">
        <f t="shared" si="405"/>
        <v>0</v>
      </c>
      <c r="BZ520" s="2">
        <f t="shared" ref="BZ520:CA520" si="717">SUM(AQ520)</f>
        <v>0</v>
      </c>
      <c r="CA520" s="2">
        <f t="shared" si="717"/>
        <v>0</v>
      </c>
      <c r="CB520" s="2">
        <f t="shared" si="431"/>
        <v>0</v>
      </c>
    </row>
    <row r="521" spans="1:80" ht="16" x14ac:dyDescent="0.2">
      <c r="A521" s="3" t="s">
        <v>176</v>
      </c>
      <c r="B521" s="10">
        <v>703</v>
      </c>
      <c r="C521" s="5">
        <v>1</v>
      </c>
      <c r="D521" s="10">
        <v>1</v>
      </c>
      <c r="E521" s="10">
        <v>0</v>
      </c>
      <c r="F521" s="10">
        <v>2021</v>
      </c>
      <c r="G521" s="10" t="s">
        <v>72</v>
      </c>
      <c r="H521" s="7" t="str">
        <f t="shared" si="399"/>
        <v>No</v>
      </c>
      <c r="I521" s="54" t="s">
        <v>55</v>
      </c>
      <c r="J521" s="8">
        <v>0</v>
      </c>
      <c r="K521" s="8"/>
      <c r="L521" s="8"/>
      <c r="M521" s="8"/>
      <c r="N521" s="8"/>
      <c r="O521" s="8"/>
      <c r="P521" s="8"/>
      <c r="Q521" s="8"/>
      <c r="R521" s="6"/>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f t="shared" si="526"/>
        <v>0</v>
      </c>
      <c r="BT521" s="8"/>
      <c r="BU521" s="2">
        <f t="shared" si="437"/>
        <v>0</v>
      </c>
      <c r="BV521" s="2">
        <f t="shared" si="403"/>
        <v>0</v>
      </c>
      <c r="BW521" s="2">
        <f t="shared" si="404"/>
        <v>0</v>
      </c>
      <c r="BX521" s="2">
        <f t="shared" si="407"/>
        <v>0</v>
      </c>
      <c r="BY521" s="2">
        <f t="shared" si="405"/>
        <v>0</v>
      </c>
      <c r="BZ521" s="2">
        <f t="shared" ref="BZ521:CA521" si="718">SUM(AQ521)</f>
        <v>0</v>
      </c>
      <c r="CA521" s="2">
        <f t="shared" si="718"/>
        <v>0</v>
      </c>
      <c r="CB521" s="2">
        <f t="shared" si="431"/>
        <v>0</v>
      </c>
    </row>
    <row r="522" spans="1:80" ht="16" x14ac:dyDescent="0.2">
      <c r="A522" s="3" t="s">
        <v>176</v>
      </c>
      <c r="B522" s="10">
        <v>703</v>
      </c>
      <c r="C522" s="5">
        <v>1</v>
      </c>
      <c r="D522" s="10">
        <v>1</v>
      </c>
      <c r="E522" s="10">
        <v>0</v>
      </c>
      <c r="F522" s="10">
        <v>2021</v>
      </c>
      <c r="G522" s="10" t="s">
        <v>73</v>
      </c>
      <c r="H522" s="7" t="str">
        <f t="shared" si="399"/>
        <v>No</v>
      </c>
      <c r="I522" s="54" t="s">
        <v>55</v>
      </c>
      <c r="J522" s="8">
        <v>0</v>
      </c>
      <c r="K522" s="8"/>
      <c r="L522" s="8"/>
      <c r="M522" s="8"/>
      <c r="N522" s="8"/>
      <c r="O522" s="8"/>
      <c r="P522" s="8"/>
      <c r="Q522" s="8"/>
      <c r="R522" s="6"/>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f t="shared" si="526"/>
        <v>0</v>
      </c>
      <c r="BT522" s="8"/>
      <c r="BU522" s="2">
        <f t="shared" si="437"/>
        <v>0</v>
      </c>
      <c r="BV522" s="2">
        <f t="shared" si="403"/>
        <v>0</v>
      </c>
      <c r="BW522" s="2">
        <f t="shared" si="404"/>
        <v>0</v>
      </c>
      <c r="BX522" s="2">
        <f t="shared" si="407"/>
        <v>0</v>
      </c>
      <c r="BY522" s="2">
        <f t="shared" si="405"/>
        <v>0</v>
      </c>
      <c r="BZ522" s="2">
        <f t="shared" ref="BZ522:CA522" si="719">SUM(AQ522)</f>
        <v>0</v>
      </c>
      <c r="CA522" s="2">
        <f t="shared" si="719"/>
        <v>0</v>
      </c>
      <c r="CB522" s="2">
        <f t="shared" si="431"/>
        <v>0</v>
      </c>
    </row>
    <row r="523" spans="1:80" ht="16" x14ac:dyDescent="0.2">
      <c r="A523" s="3" t="s">
        <v>176</v>
      </c>
      <c r="B523" s="10">
        <v>703</v>
      </c>
      <c r="C523" s="5">
        <v>1</v>
      </c>
      <c r="D523" s="10">
        <v>1</v>
      </c>
      <c r="E523" s="10">
        <v>0</v>
      </c>
      <c r="F523" s="10">
        <v>2021</v>
      </c>
      <c r="G523" s="10" t="s">
        <v>74</v>
      </c>
      <c r="H523" s="7" t="str">
        <f t="shared" si="399"/>
        <v>No</v>
      </c>
      <c r="I523" s="54" t="s">
        <v>55</v>
      </c>
      <c r="J523" s="8">
        <v>0</v>
      </c>
      <c r="K523" s="8"/>
      <c r="L523" s="8"/>
      <c r="M523" s="8"/>
      <c r="N523" s="8"/>
      <c r="O523" s="8"/>
      <c r="P523" s="8"/>
      <c r="Q523" s="8"/>
      <c r="R523" s="6"/>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f t="shared" si="526"/>
        <v>0</v>
      </c>
      <c r="BT523" s="8"/>
      <c r="BU523" s="2">
        <f t="shared" si="437"/>
        <v>0</v>
      </c>
      <c r="BV523" s="2">
        <f t="shared" si="403"/>
        <v>0</v>
      </c>
      <c r="BW523" s="2">
        <f t="shared" si="404"/>
        <v>0</v>
      </c>
      <c r="BX523" s="2">
        <f t="shared" si="407"/>
        <v>0</v>
      </c>
      <c r="BY523" s="2">
        <f t="shared" si="405"/>
        <v>0</v>
      </c>
      <c r="BZ523" s="2">
        <f t="shared" ref="BZ523:CA523" si="720">SUM(AQ523)</f>
        <v>0</v>
      </c>
      <c r="CA523" s="2">
        <f t="shared" si="720"/>
        <v>0</v>
      </c>
      <c r="CB523" s="2">
        <f t="shared" si="431"/>
        <v>0</v>
      </c>
    </row>
    <row r="524" spans="1:80" ht="16" x14ac:dyDescent="0.2">
      <c r="A524" s="3" t="s">
        <v>176</v>
      </c>
      <c r="B524" s="10">
        <v>703</v>
      </c>
      <c r="C524" s="5">
        <v>1</v>
      </c>
      <c r="D524" s="10">
        <v>1</v>
      </c>
      <c r="E524" s="10">
        <v>0</v>
      </c>
      <c r="F524" s="10">
        <v>2021</v>
      </c>
      <c r="G524" s="10" t="s">
        <v>75</v>
      </c>
      <c r="H524" s="7" t="str">
        <f t="shared" si="399"/>
        <v>No</v>
      </c>
      <c r="I524" s="54" t="s">
        <v>55</v>
      </c>
      <c r="J524" s="8">
        <v>0</v>
      </c>
      <c r="K524" s="8"/>
      <c r="L524" s="8"/>
      <c r="M524" s="8"/>
      <c r="N524" s="8"/>
      <c r="O524" s="8"/>
      <c r="P524" s="8"/>
      <c r="Q524" s="8"/>
      <c r="R524" s="6"/>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f t="shared" si="526"/>
        <v>0</v>
      </c>
      <c r="BT524" s="8"/>
      <c r="BU524" s="2">
        <f t="shared" si="437"/>
        <v>0</v>
      </c>
      <c r="BV524" s="2">
        <f t="shared" si="403"/>
        <v>0</v>
      </c>
      <c r="BW524" s="2">
        <f t="shared" si="404"/>
        <v>0</v>
      </c>
      <c r="BX524" s="2">
        <f t="shared" si="407"/>
        <v>0</v>
      </c>
      <c r="BY524" s="2">
        <f t="shared" si="405"/>
        <v>0</v>
      </c>
      <c r="BZ524" s="2">
        <f t="shared" ref="BZ524:CA524" si="721">SUM(AQ524)</f>
        <v>0</v>
      </c>
      <c r="CA524" s="2">
        <f t="shared" si="721"/>
        <v>0</v>
      </c>
      <c r="CB524" s="2">
        <f t="shared" si="431"/>
        <v>0</v>
      </c>
    </row>
    <row r="525" spans="1:80" ht="16" x14ac:dyDescent="0.2">
      <c r="A525" s="3" t="s">
        <v>176</v>
      </c>
      <c r="B525" s="10">
        <v>703</v>
      </c>
      <c r="C525" s="5">
        <v>1</v>
      </c>
      <c r="D525" s="10">
        <v>1</v>
      </c>
      <c r="E525" s="10">
        <v>0</v>
      </c>
      <c r="F525" s="10">
        <v>2021</v>
      </c>
      <c r="G525" s="10" t="s">
        <v>76</v>
      </c>
      <c r="H525" s="7" t="str">
        <f t="shared" si="399"/>
        <v>No</v>
      </c>
      <c r="I525" s="54" t="s">
        <v>55</v>
      </c>
      <c r="J525" s="8">
        <v>0</v>
      </c>
      <c r="K525" s="8"/>
      <c r="L525" s="8"/>
      <c r="M525" s="8"/>
      <c r="N525" s="8"/>
      <c r="O525" s="8"/>
      <c r="P525" s="8"/>
      <c r="Q525" s="8"/>
      <c r="R525" s="6"/>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f t="shared" si="526"/>
        <v>0</v>
      </c>
      <c r="BT525" s="8"/>
      <c r="BU525" s="2">
        <f t="shared" si="437"/>
        <v>0</v>
      </c>
      <c r="BV525" s="2">
        <f t="shared" si="403"/>
        <v>0</v>
      </c>
      <c r="BW525" s="2">
        <f t="shared" si="404"/>
        <v>0</v>
      </c>
      <c r="BX525" s="2">
        <f t="shared" si="407"/>
        <v>0</v>
      </c>
      <c r="BY525" s="2">
        <f t="shared" si="405"/>
        <v>0</v>
      </c>
      <c r="BZ525" s="2">
        <f t="shared" ref="BZ525:CA525" si="722">SUM(AQ525)</f>
        <v>0</v>
      </c>
      <c r="CA525" s="2">
        <f t="shared" si="722"/>
        <v>0</v>
      </c>
      <c r="CB525" s="2">
        <f t="shared" si="431"/>
        <v>0</v>
      </c>
    </row>
    <row r="526" spans="1:80" ht="16" x14ac:dyDescent="0.2">
      <c r="A526" s="3" t="s">
        <v>176</v>
      </c>
      <c r="B526" s="10">
        <v>703</v>
      </c>
      <c r="C526" s="5">
        <v>1</v>
      </c>
      <c r="D526" s="10">
        <v>1</v>
      </c>
      <c r="E526" s="10">
        <v>0</v>
      </c>
      <c r="F526" s="10">
        <v>2021</v>
      </c>
      <c r="G526" s="10" t="s">
        <v>77</v>
      </c>
      <c r="H526" s="7" t="str">
        <f t="shared" si="399"/>
        <v>No</v>
      </c>
      <c r="I526" s="54" t="s">
        <v>55</v>
      </c>
      <c r="J526" s="8">
        <v>0</v>
      </c>
      <c r="K526" s="8"/>
      <c r="L526" s="8"/>
      <c r="M526" s="8"/>
      <c r="N526" s="8"/>
      <c r="O526" s="8"/>
      <c r="P526" s="8"/>
      <c r="Q526" s="8"/>
      <c r="R526" s="6"/>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f t="shared" si="526"/>
        <v>0</v>
      </c>
      <c r="BT526" s="8"/>
      <c r="BU526" s="2">
        <f t="shared" si="437"/>
        <v>0</v>
      </c>
      <c r="BV526" s="2">
        <f t="shared" si="403"/>
        <v>0</v>
      </c>
      <c r="BW526" s="2">
        <f t="shared" si="404"/>
        <v>0</v>
      </c>
      <c r="BX526" s="2">
        <f t="shared" si="407"/>
        <v>0</v>
      </c>
      <c r="BY526" s="2">
        <f t="shared" si="405"/>
        <v>0</v>
      </c>
      <c r="BZ526" s="2">
        <f t="shared" ref="BZ526:CA526" si="723">SUM(AQ526)</f>
        <v>0</v>
      </c>
      <c r="CA526" s="2">
        <f t="shared" si="723"/>
        <v>0</v>
      </c>
      <c r="CB526" s="2">
        <f t="shared" si="431"/>
        <v>0</v>
      </c>
    </row>
    <row r="527" spans="1:80" ht="16" x14ac:dyDescent="0.2">
      <c r="A527" s="3" t="s">
        <v>176</v>
      </c>
      <c r="B527" s="10">
        <v>703</v>
      </c>
      <c r="C527" s="5">
        <v>1</v>
      </c>
      <c r="D527" s="10">
        <v>1</v>
      </c>
      <c r="E527" s="10">
        <v>0</v>
      </c>
      <c r="F527" s="10">
        <v>2021</v>
      </c>
      <c r="G527" s="10" t="s">
        <v>78</v>
      </c>
      <c r="H527" s="7" t="str">
        <f t="shared" si="399"/>
        <v>No</v>
      </c>
      <c r="I527" s="54" t="s">
        <v>55</v>
      </c>
      <c r="J527" s="8">
        <v>0</v>
      </c>
      <c r="K527" s="8"/>
      <c r="L527" s="8"/>
      <c r="M527" s="8"/>
      <c r="N527" s="8"/>
      <c r="O527" s="8"/>
      <c r="P527" s="8"/>
      <c r="Q527" s="8"/>
      <c r="R527" s="6"/>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f t="shared" si="526"/>
        <v>0</v>
      </c>
      <c r="BT527" s="8"/>
      <c r="BU527" s="2">
        <f t="shared" si="437"/>
        <v>0</v>
      </c>
      <c r="BV527" s="2">
        <f t="shared" si="403"/>
        <v>0</v>
      </c>
      <c r="BW527" s="2">
        <f t="shared" si="404"/>
        <v>0</v>
      </c>
      <c r="BX527" s="2">
        <f t="shared" si="407"/>
        <v>0</v>
      </c>
      <c r="BY527" s="2">
        <f t="shared" si="405"/>
        <v>0</v>
      </c>
      <c r="BZ527" s="2">
        <f t="shared" ref="BZ527:CA527" si="724">SUM(AQ527)</f>
        <v>0</v>
      </c>
      <c r="CA527" s="2">
        <f t="shared" si="724"/>
        <v>0</v>
      </c>
      <c r="CB527" s="2">
        <f t="shared" si="431"/>
        <v>0</v>
      </c>
    </row>
    <row r="528" spans="1:80" ht="15" customHeight="1" x14ac:dyDescent="0.2">
      <c r="A528" s="3" t="s">
        <v>176</v>
      </c>
      <c r="B528" s="10">
        <v>703</v>
      </c>
      <c r="C528" s="5">
        <v>1</v>
      </c>
      <c r="D528" s="10">
        <v>1</v>
      </c>
      <c r="E528" s="10">
        <v>0</v>
      </c>
      <c r="F528" s="10">
        <v>2021</v>
      </c>
      <c r="G528" s="10" t="s">
        <v>79</v>
      </c>
      <c r="H528" s="7" t="str">
        <f t="shared" si="399"/>
        <v>No</v>
      </c>
      <c r="I528" s="54" t="s">
        <v>55</v>
      </c>
      <c r="J528" s="8">
        <v>0</v>
      </c>
      <c r="K528" s="8"/>
      <c r="L528" s="8"/>
      <c r="M528" s="8"/>
      <c r="N528" s="8"/>
      <c r="O528" s="8"/>
      <c r="P528" s="8"/>
      <c r="Q528" s="8"/>
      <c r="R528" s="6"/>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f t="shared" si="526"/>
        <v>0</v>
      </c>
      <c r="BT528" s="8"/>
      <c r="BU528" s="2">
        <f t="shared" si="437"/>
        <v>0</v>
      </c>
      <c r="BV528" s="2">
        <f t="shared" si="403"/>
        <v>0</v>
      </c>
      <c r="BW528" s="2">
        <f t="shared" si="404"/>
        <v>0</v>
      </c>
      <c r="BX528" s="2">
        <f t="shared" si="407"/>
        <v>0</v>
      </c>
      <c r="BY528" s="2">
        <f t="shared" si="405"/>
        <v>0</v>
      </c>
      <c r="BZ528" s="2">
        <f t="shared" ref="BZ528:CA528" si="725">SUM(AQ528)</f>
        <v>0</v>
      </c>
      <c r="CA528" s="2">
        <f t="shared" si="725"/>
        <v>0</v>
      </c>
      <c r="CB528" s="2">
        <f t="shared" si="431"/>
        <v>0</v>
      </c>
    </row>
    <row r="529" spans="1:80" ht="15" customHeight="1" x14ac:dyDescent="0.2">
      <c r="A529" s="3" t="s">
        <v>176</v>
      </c>
      <c r="B529" s="10">
        <v>703</v>
      </c>
      <c r="C529" s="5">
        <v>1</v>
      </c>
      <c r="D529" s="10">
        <v>1</v>
      </c>
      <c r="E529" s="10">
        <v>0</v>
      </c>
      <c r="F529" s="10">
        <v>2021</v>
      </c>
      <c r="G529" s="10">
        <v>2021</v>
      </c>
      <c r="H529" s="7" t="str">
        <f t="shared" si="399"/>
        <v>Yes</v>
      </c>
      <c r="I529" s="54" t="s">
        <v>56</v>
      </c>
      <c r="J529" s="8">
        <v>1</v>
      </c>
      <c r="K529" s="8" t="s">
        <v>63</v>
      </c>
      <c r="L529" s="8" t="s">
        <v>64</v>
      </c>
      <c r="M529" s="8" t="s">
        <v>64</v>
      </c>
      <c r="N529" s="8">
        <v>0</v>
      </c>
      <c r="O529" s="8">
        <v>0</v>
      </c>
      <c r="P529" s="8">
        <v>0</v>
      </c>
      <c r="Q529" s="8" t="s">
        <v>65</v>
      </c>
      <c r="R529" s="9">
        <v>0.1</v>
      </c>
      <c r="S529" s="8">
        <v>1</v>
      </c>
      <c r="T529" s="8">
        <v>0</v>
      </c>
      <c r="U529" s="8">
        <v>1</v>
      </c>
      <c r="V529" s="8">
        <v>1</v>
      </c>
      <c r="W529" s="8">
        <v>1</v>
      </c>
      <c r="X529" s="8">
        <v>0</v>
      </c>
      <c r="Y529" s="8">
        <v>0</v>
      </c>
      <c r="Z529" s="8">
        <v>0</v>
      </c>
      <c r="AA529" s="8" t="s">
        <v>157</v>
      </c>
      <c r="AB529" s="8">
        <v>0</v>
      </c>
      <c r="AC529" s="8">
        <v>0</v>
      </c>
      <c r="AD529" s="8">
        <v>0</v>
      </c>
      <c r="AE529" s="8">
        <v>0</v>
      </c>
      <c r="AF529" s="8">
        <v>0</v>
      </c>
      <c r="AG529" s="8">
        <v>0</v>
      </c>
      <c r="AH529" s="8">
        <v>0</v>
      </c>
      <c r="AI529" s="8">
        <v>0</v>
      </c>
      <c r="AJ529" s="8">
        <v>1</v>
      </c>
      <c r="AK529" s="8">
        <v>1</v>
      </c>
      <c r="AL529" s="8">
        <v>1</v>
      </c>
      <c r="AM529" s="8">
        <v>1</v>
      </c>
      <c r="AN529" s="8">
        <v>1</v>
      </c>
      <c r="AO529" s="8">
        <v>0</v>
      </c>
      <c r="AP529" s="8">
        <v>1</v>
      </c>
      <c r="AQ529" s="8">
        <v>1</v>
      </c>
      <c r="AR529" s="8">
        <v>0</v>
      </c>
      <c r="AS529" s="8">
        <v>0</v>
      </c>
      <c r="AT529" s="8">
        <v>0</v>
      </c>
      <c r="AU529" s="8">
        <v>0</v>
      </c>
      <c r="AV529" s="8">
        <v>0</v>
      </c>
      <c r="AW529" s="8">
        <v>0</v>
      </c>
      <c r="AX529" s="8">
        <v>0</v>
      </c>
      <c r="AY529" s="8">
        <v>0</v>
      </c>
      <c r="AZ529" s="8">
        <v>0</v>
      </c>
      <c r="BA529" s="8">
        <v>0</v>
      </c>
      <c r="BB529" s="8">
        <v>1</v>
      </c>
      <c r="BC529" s="8">
        <v>0</v>
      </c>
      <c r="BD529" s="8">
        <v>0</v>
      </c>
      <c r="BE529" s="8">
        <v>0</v>
      </c>
      <c r="BF529" s="8">
        <v>0</v>
      </c>
      <c r="BG529" s="8">
        <v>0</v>
      </c>
      <c r="BH529" s="8">
        <v>0</v>
      </c>
      <c r="BI529" s="8">
        <v>0</v>
      </c>
      <c r="BJ529" s="8">
        <v>0</v>
      </c>
      <c r="BK529" s="8">
        <v>0</v>
      </c>
      <c r="BL529" s="8">
        <v>1</v>
      </c>
      <c r="BM529" s="8">
        <v>0</v>
      </c>
      <c r="BN529" s="8">
        <v>0</v>
      </c>
      <c r="BO529" s="8">
        <v>1</v>
      </c>
      <c r="BP529" s="8">
        <v>0</v>
      </c>
      <c r="BQ529" s="8">
        <v>0</v>
      </c>
      <c r="BR529" s="8">
        <v>0</v>
      </c>
      <c r="BS529" s="8">
        <f t="shared" si="526"/>
        <v>10</v>
      </c>
      <c r="BT529" s="8"/>
      <c r="BU529" s="2">
        <f t="shared" si="437"/>
        <v>0</v>
      </c>
      <c r="BV529" s="2">
        <f t="shared" si="403"/>
        <v>7</v>
      </c>
      <c r="BW529" s="2">
        <f t="shared" si="404"/>
        <v>1</v>
      </c>
      <c r="BX529" s="2">
        <f t="shared" si="407"/>
        <v>1</v>
      </c>
      <c r="BY529" s="2">
        <f t="shared" si="405"/>
        <v>0</v>
      </c>
      <c r="BZ529" s="2">
        <f t="shared" ref="BZ529:CA529" si="726">SUM(AQ529)</f>
        <v>1</v>
      </c>
      <c r="CA529" s="2">
        <f t="shared" si="726"/>
        <v>0</v>
      </c>
      <c r="CB529" s="2">
        <f t="shared" si="431"/>
        <v>0</v>
      </c>
    </row>
    <row r="530" spans="1:80" ht="15" customHeight="1" x14ac:dyDescent="0.2">
      <c r="A530" s="3" t="s">
        <v>176</v>
      </c>
      <c r="B530" s="10">
        <v>703</v>
      </c>
      <c r="C530" s="5">
        <v>1</v>
      </c>
      <c r="D530" s="10">
        <v>1</v>
      </c>
      <c r="E530" s="10">
        <v>0</v>
      </c>
      <c r="F530" s="10">
        <v>2021</v>
      </c>
      <c r="G530" s="10">
        <v>2022</v>
      </c>
      <c r="H530" s="7" t="s">
        <v>82</v>
      </c>
      <c r="I530" s="54" t="s">
        <v>56</v>
      </c>
      <c r="J530" s="8">
        <v>1</v>
      </c>
      <c r="K530" s="8" t="s">
        <v>63</v>
      </c>
      <c r="L530" s="8" t="s">
        <v>64</v>
      </c>
      <c r="M530" s="8" t="s">
        <v>64</v>
      </c>
      <c r="N530" s="8">
        <v>1</v>
      </c>
      <c r="O530" s="8">
        <v>0</v>
      </c>
      <c r="P530" s="8">
        <v>0</v>
      </c>
      <c r="Q530" s="8" t="s">
        <v>53</v>
      </c>
      <c r="R530" s="9">
        <v>0.1</v>
      </c>
      <c r="S530" s="8">
        <v>1</v>
      </c>
      <c r="T530" s="8">
        <v>0</v>
      </c>
      <c r="U530" s="8">
        <v>1</v>
      </c>
      <c r="V530" s="8">
        <v>1</v>
      </c>
      <c r="W530" s="8">
        <v>1</v>
      </c>
      <c r="X530" s="8">
        <v>0</v>
      </c>
      <c r="Y530" s="8">
        <v>0</v>
      </c>
      <c r="Z530" s="8">
        <v>0</v>
      </c>
      <c r="AA530" s="8" t="s">
        <v>157</v>
      </c>
      <c r="AB530" s="8">
        <v>0</v>
      </c>
      <c r="AC530" s="8">
        <v>0</v>
      </c>
      <c r="AD530" s="8">
        <v>0</v>
      </c>
      <c r="AE530" s="8">
        <v>0</v>
      </c>
      <c r="AF530" s="8">
        <v>0</v>
      </c>
      <c r="AG530" s="8">
        <v>0</v>
      </c>
      <c r="AH530" s="8">
        <v>0</v>
      </c>
      <c r="AI530" s="8">
        <v>1</v>
      </c>
      <c r="AJ530" s="8">
        <v>1</v>
      </c>
      <c r="AK530" s="8">
        <v>1</v>
      </c>
      <c r="AL530" s="8">
        <v>1</v>
      </c>
      <c r="AM530" s="8">
        <v>1</v>
      </c>
      <c r="AN530" s="8">
        <v>1</v>
      </c>
      <c r="AO530" s="8">
        <v>0</v>
      </c>
      <c r="AP530" s="8">
        <v>1</v>
      </c>
      <c r="AQ530" s="8">
        <v>1</v>
      </c>
      <c r="AR530" s="8">
        <v>1</v>
      </c>
      <c r="AS530" s="8">
        <v>0</v>
      </c>
      <c r="AT530" s="8">
        <v>0</v>
      </c>
      <c r="AU530" s="8">
        <v>1</v>
      </c>
      <c r="AV530" s="8">
        <v>1</v>
      </c>
      <c r="AW530" s="8">
        <v>0</v>
      </c>
      <c r="AX530" s="8">
        <v>0</v>
      </c>
      <c r="AY530" s="8">
        <v>0</v>
      </c>
      <c r="AZ530" s="8">
        <v>0</v>
      </c>
      <c r="BA530" s="8">
        <v>0</v>
      </c>
      <c r="BB530" s="8">
        <v>1</v>
      </c>
      <c r="BC530" s="8">
        <v>0</v>
      </c>
      <c r="BD530" s="8">
        <v>0</v>
      </c>
      <c r="BE530" s="8">
        <v>0</v>
      </c>
      <c r="BF530" s="8">
        <v>0</v>
      </c>
      <c r="BG530" s="8">
        <v>0</v>
      </c>
      <c r="BH530" s="8">
        <v>0</v>
      </c>
      <c r="BI530" s="8">
        <v>0</v>
      </c>
      <c r="BJ530" s="8">
        <v>1</v>
      </c>
      <c r="BK530" s="8">
        <v>0</v>
      </c>
      <c r="BL530" s="8">
        <v>1</v>
      </c>
      <c r="BM530" s="8">
        <v>0</v>
      </c>
      <c r="BN530" s="8">
        <v>0</v>
      </c>
      <c r="BO530" s="8">
        <v>1</v>
      </c>
      <c r="BP530" s="8">
        <v>0</v>
      </c>
      <c r="BQ530" s="8">
        <v>0</v>
      </c>
      <c r="BR530" s="8">
        <v>1</v>
      </c>
      <c r="BS530" s="8">
        <f t="shared" si="526"/>
        <v>16</v>
      </c>
      <c r="BT530" s="8"/>
      <c r="BU530" s="2">
        <f t="shared" ref="BU530" si="727">SUM(AI530,BK530)</f>
        <v>1</v>
      </c>
      <c r="BV530" s="2">
        <f t="shared" ref="BV530" si="728">SUM(AK530, AL530, AM530,AJ530,BL530,BO530, AP530)</f>
        <v>7</v>
      </c>
      <c r="BW530" s="2">
        <f t="shared" ref="BW530" si="729">SUM(AN530, AO530, AS530)</f>
        <v>1</v>
      </c>
      <c r="BX530" s="2">
        <f t="shared" ref="BX530" si="730">SUM(AU530,AV530,AW530,AX530,AY530,AZ530,BA530,BB530,BC530,BD530,BE530,BF530,BG530,BH530,BI530,BJ530,BQ530,BR530,BM530)</f>
        <v>5</v>
      </c>
      <c r="BY530" s="2">
        <f t="shared" ref="BY530" si="731">SUM(BP530, BN530)</f>
        <v>0</v>
      </c>
      <c r="BZ530" s="2">
        <f t="shared" ref="BZ530" si="732">SUM(AQ530)</f>
        <v>1</v>
      </c>
      <c r="CA530" s="2">
        <f t="shared" ref="CA530" si="733">SUM(AR530)</f>
        <v>1</v>
      </c>
      <c r="CB530" s="2">
        <f t="shared" ref="CB530" si="734">SUM(AT530)</f>
        <v>0</v>
      </c>
    </row>
    <row r="531" spans="1:80" s="33" customFormat="1" ht="15" customHeight="1" x14ac:dyDescent="0.2">
      <c r="A531" s="49" t="s">
        <v>176</v>
      </c>
      <c r="B531" s="49">
        <v>703</v>
      </c>
      <c r="C531" s="50">
        <v>1</v>
      </c>
      <c r="D531" s="49">
        <v>1</v>
      </c>
      <c r="E531" s="49">
        <v>0</v>
      </c>
      <c r="F531" s="49">
        <v>2021</v>
      </c>
      <c r="G531" s="49">
        <v>2023</v>
      </c>
      <c r="H531" s="49" t="s">
        <v>82</v>
      </c>
      <c r="I531" s="60">
        <v>1</v>
      </c>
      <c r="J531" s="49">
        <v>1</v>
      </c>
      <c r="K531" s="49" t="s">
        <v>51</v>
      </c>
      <c r="L531" s="49" t="s">
        <v>64</v>
      </c>
      <c r="M531" s="49" t="s">
        <v>64</v>
      </c>
      <c r="N531" s="49">
        <v>1</v>
      </c>
      <c r="O531" s="49">
        <v>0</v>
      </c>
      <c r="P531" s="49">
        <v>0</v>
      </c>
      <c r="Q531" s="49" t="s">
        <v>65</v>
      </c>
      <c r="R531" s="51">
        <v>0.1</v>
      </c>
      <c r="S531" s="49">
        <v>1</v>
      </c>
      <c r="T531" s="49">
        <v>0</v>
      </c>
      <c r="U531" s="49">
        <v>1</v>
      </c>
      <c r="V531" s="49">
        <v>1</v>
      </c>
      <c r="W531" s="49">
        <v>1</v>
      </c>
      <c r="X531" s="49">
        <v>0</v>
      </c>
      <c r="Y531" s="49">
        <v>0</v>
      </c>
      <c r="Z531" s="49">
        <v>0</v>
      </c>
      <c r="AA531" s="49" t="s">
        <v>157</v>
      </c>
      <c r="AB531" s="49">
        <v>0</v>
      </c>
      <c r="AC531" s="49">
        <v>0</v>
      </c>
      <c r="AD531" s="49">
        <v>0</v>
      </c>
      <c r="AE531" s="49">
        <v>0</v>
      </c>
      <c r="AF531" s="49">
        <v>0</v>
      </c>
      <c r="AG531" s="49">
        <v>0</v>
      </c>
      <c r="AH531" s="49">
        <v>0</v>
      </c>
      <c r="AI531" s="49">
        <v>1</v>
      </c>
      <c r="AJ531" s="49">
        <v>1</v>
      </c>
      <c r="AK531" s="49">
        <v>1</v>
      </c>
      <c r="AL531" s="49">
        <v>1</v>
      </c>
      <c r="AM531" s="49">
        <v>1</v>
      </c>
      <c r="AN531" s="49">
        <v>1</v>
      </c>
      <c r="AO531" s="49">
        <v>0</v>
      </c>
      <c r="AP531" s="49">
        <v>1</v>
      </c>
      <c r="AQ531" s="49">
        <v>1</v>
      </c>
      <c r="AR531" s="49">
        <v>1</v>
      </c>
      <c r="AS531" s="49">
        <v>0</v>
      </c>
      <c r="AT531" s="49">
        <v>0</v>
      </c>
      <c r="AU531" s="49">
        <v>1</v>
      </c>
      <c r="AV531" s="49">
        <v>1</v>
      </c>
      <c r="AW531" s="49">
        <v>0</v>
      </c>
      <c r="AX531" s="49">
        <v>0</v>
      </c>
      <c r="AY531" s="49">
        <v>0</v>
      </c>
      <c r="AZ531" s="49">
        <v>0</v>
      </c>
      <c r="BA531" s="49">
        <v>0</v>
      </c>
      <c r="BB531" s="49">
        <v>1</v>
      </c>
      <c r="BC531" s="49">
        <v>0</v>
      </c>
      <c r="BD531" s="49">
        <v>0</v>
      </c>
      <c r="BE531" s="49">
        <v>0</v>
      </c>
      <c r="BF531" s="49">
        <v>0</v>
      </c>
      <c r="BG531" s="49">
        <v>0</v>
      </c>
      <c r="BH531" s="49">
        <v>0</v>
      </c>
      <c r="BI531" s="49">
        <v>0</v>
      </c>
      <c r="BJ531" s="49">
        <v>1</v>
      </c>
      <c r="BK531" s="49">
        <v>0</v>
      </c>
      <c r="BL531" s="49">
        <v>1</v>
      </c>
      <c r="BM531" s="49">
        <v>0</v>
      </c>
      <c r="BN531" s="49">
        <v>0</v>
      </c>
      <c r="BO531" s="49">
        <v>1</v>
      </c>
      <c r="BP531" s="49">
        <v>0</v>
      </c>
      <c r="BQ531" s="49">
        <v>0</v>
      </c>
      <c r="BR531" s="49">
        <v>1</v>
      </c>
      <c r="BS531" s="49">
        <v>16</v>
      </c>
      <c r="BT531" s="49"/>
      <c r="BU531" s="49">
        <v>1</v>
      </c>
      <c r="BV531" s="49">
        <v>7</v>
      </c>
      <c r="BW531" s="49">
        <v>1</v>
      </c>
      <c r="BX531" s="49">
        <v>5</v>
      </c>
      <c r="BY531" s="49">
        <v>0</v>
      </c>
      <c r="BZ531" s="49">
        <v>1</v>
      </c>
      <c r="CA531" s="49">
        <v>1</v>
      </c>
      <c r="CB531" s="49">
        <v>0</v>
      </c>
    </row>
    <row r="532" spans="1:80" ht="16" x14ac:dyDescent="0.2">
      <c r="A532" s="3" t="s">
        <v>177</v>
      </c>
      <c r="B532" s="10">
        <v>705</v>
      </c>
      <c r="C532" s="5">
        <v>1</v>
      </c>
      <c r="D532" s="10">
        <v>1</v>
      </c>
      <c r="E532" s="10">
        <v>0</v>
      </c>
      <c r="F532" s="10">
        <v>2020</v>
      </c>
      <c r="G532" s="10" t="s">
        <v>86</v>
      </c>
      <c r="H532" s="7" t="str">
        <f t="shared" si="399"/>
        <v>No</v>
      </c>
      <c r="I532" s="54" t="s">
        <v>55</v>
      </c>
      <c r="J532" s="8">
        <v>0</v>
      </c>
      <c r="K532" s="8"/>
      <c r="L532" s="8"/>
      <c r="M532" s="8"/>
      <c r="N532" s="8"/>
      <c r="O532" s="8"/>
      <c r="P532" s="8"/>
      <c r="Q532" s="8"/>
      <c r="R532" s="6"/>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f t="shared" si="526"/>
        <v>0</v>
      </c>
      <c r="BT532" s="8"/>
      <c r="BU532" s="2">
        <f t="shared" si="437"/>
        <v>0</v>
      </c>
      <c r="BV532" s="2">
        <f t="shared" si="403"/>
        <v>0</v>
      </c>
      <c r="BW532" s="2">
        <f t="shared" si="404"/>
        <v>0</v>
      </c>
      <c r="BX532" s="2">
        <f t="shared" si="407"/>
        <v>0</v>
      </c>
      <c r="BY532" s="2">
        <f t="shared" si="405"/>
        <v>0</v>
      </c>
      <c r="BZ532" s="2">
        <f t="shared" ref="BZ532:CA532" si="735">SUM(AQ532)</f>
        <v>0</v>
      </c>
      <c r="CA532" s="2">
        <f t="shared" si="735"/>
        <v>0</v>
      </c>
      <c r="CB532" s="2">
        <f t="shared" si="431"/>
        <v>0</v>
      </c>
    </row>
    <row r="533" spans="1:80" ht="16" x14ac:dyDescent="0.2">
      <c r="A533" s="3" t="s">
        <v>177</v>
      </c>
      <c r="B533" s="10">
        <v>705</v>
      </c>
      <c r="C533" s="5">
        <v>1</v>
      </c>
      <c r="D533" s="10">
        <v>1</v>
      </c>
      <c r="E533" s="10">
        <v>0</v>
      </c>
      <c r="F533" s="10">
        <v>2020</v>
      </c>
      <c r="G533" s="10" t="s">
        <v>90</v>
      </c>
      <c r="H533" s="7" t="str">
        <f t="shared" si="399"/>
        <v>No</v>
      </c>
      <c r="I533" s="54" t="s">
        <v>55</v>
      </c>
      <c r="J533" s="8">
        <v>0</v>
      </c>
      <c r="K533" s="8"/>
      <c r="L533" s="8"/>
      <c r="M533" s="8"/>
      <c r="N533" s="8"/>
      <c r="O533" s="8"/>
      <c r="P533" s="8"/>
      <c r="Q533" s="8"/>
      <c r="R533" s="6"/>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f t="shared" si="526"/>
        <v>0</v>
      </c>
      <c r="BT533" s="8"/>
      <c r="BU533" s="2">
        <f t="shared" si="437"/>
        <v>0</v>
      </c>
      <c r="BV533" s="2">
        <f t="shared" si="403"/>
        <v>0</v>
      </c>
      <c r="BW533" s="2">
        <f t="shared" si="404"/>
        <v>0</v>
      </c>
      <c r="BX533" s="2">
        <f t="shared" si="407"/>
        <v>0</v>
      </c>
      <c r="BY533" s="2">
        <f t="shared" si="405"/>
        <v>0</v>
      </c>
      <c r="BZ533" s="2">
        <f t="shared" ref="BZ533:CA533" si="736">SUM(AQ533)</f>
        <v>0</v>
      </c>
      <c r="CA533" s="2">
        <f t="shared" si="736"/>
        <v>0</v>
      </c>
      <c r="CB533" s="2">
        <f t="shared" si="431"/>
        <v>0</v>
      </c>
    </row>
    <row r="534" spans="1:80" ht="16" x14ac:dyDescent="0.2">
      <c r="A534" s="3" t="s">
        <v>177</v>
      </c>
      <c r="B534" s="10">
        <v>705</v>
      </c>
      <c r="C534" s="5">
        <v>1</v>
      </c>
      <c r="D534" s="10">
        <v>1</v>
      </c>
      <c r="E534" s="10">
        <v>0</v>
      </c>
      <c r="F534" s="10">
        <v>2020</v>
      </c>
      <c r="G534" s="10" t="s">
        <v>91</v>
      </c>
      <c r="H534" s="7" t="str">
        <f t="shared" si="399"/>
        <v>No</v>
      </c>
      <c r="I534" s="54" t="s">
        <v>55</v>
      </c>
      <c r="J534" s="8">
        <v>0</v>
      </c>
      <c r="K534" s="8"/>
      <c r="L534" s="8"/>
      <c r="M534" s="8"/>
      <c r="N534" s="8"/>
      <c r="O534" s="8"/>
      <c r="P534" s="8"/>
      <c r="Q534" s="8"/>
      <c r="R534" s="6"/>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f t="shared" si="526"/>
        <v>0</v>
      </c>
      <c r="BT534" s="8"/>
      <c r="BU534" s="2">
        <f t="shared" si="437"/>
        <v>0</v>
      </c>
      <c r="BV534" s="2">
        <f t="shared" si="403"/>
        <v>0</v>
      </c>
      <c r="BW534" s="2">
        <f t="shared" si="404"/>
        <v>0</v>
      </c>
      <c r="BX534" s="2">
        <f t="shared" si="407"/>
        <v>0</v>
      </c>
      <c r="BY534" s="2">
        <f t="shared" si="405"/>
        <v>0</v>
      </c>
      <c r="BZ534" s="2">
        <f t="shared" ref="BZ534:CA534" si="737">SUM(AQ534)</f>
        <v>0</v>
      </c>
      <c r="CA534" s="2">
        <f t="shared" si="737"/>
        <v>0</v>
      </c>
      <c r="CB534" s="2">
        <f t="shared" si="431"/>
        <v>0</v>
      </c>
    </row>
    <row r="535" spans="1:80" ht="16" x14ac:dyDescent="0.2">
      <c r="A535" s="3" t="s">
        <v>177</v>
      </c>
      <c r="B535" s="10">
        <v>705</v>
      </c>
      <c r="C535" s="5">
        <v>1</v>
      </c>
      <c r="D535" s="10">
        <v>1</v>
      </c>
      <c r="E535" s="10">
        <v>0</v>
      </c>
      <c r="F535" s="10">
        <v>2020</v>
      </c>
      <c r="G535" s="10" t="s">
        <v>93</v>
      </c>
      <c r="H535" s="7" t="str">
        <f t="shared" si="399"/>
        <v>No</v>
      </c>
      <c r="I535" s="54" t="s">
        <v>55</v>
      </c>
      <c r="J535" s="8">
        <v>0</v>
      </c>
      <c r="K535" s="8"/>
      <c r="L535" s="8"/>
      <c r="M535" s="8"/>
      <c r="N535" s="8"/>
      <c r="O535" s="8"/>
      <c r="P535" s="8"/>
      <c r="Q535" s="8"/>
      <c r="R535" s="6"/>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f t="shared" si="526"/>
        <v>0</v>
      </c>
      <c r="BT535" s="8"/>
      <c r="BU535" s="2">
        <f t="shared" si="437"/>
        <v>0</v>
      </c>
      <c r="BV535" s="2">
        <f t="shared" si="403"/>
        <v>0</v>
      </c>
      <c r="BW535" s="2">
        <f t="shared" si="404"/>
        <v>0</v>
      </c>
      <c r="BX535" s="2">
        <f t="shared" si="407"/>
        <v>0</v>
      </c>
      <c r="BY535" s="2">
        <f t="shared" si="405"/>
        <v>0</v>
      </c>
      <c r="BZ535" s="2">
        <f t="shared" ref="BZ535:CA535" si="738">SUM(AQ535)</f>
        <v>0</v>
      </c>
      <c r="CA535" s="2">
        <f t="shared" si="738"/>
        <v>0</v>
      </c>
      <c r="CB535" s="2">
        <f t="shared" si="431"/>
        <v>0</v>
      </c>
    </row>
    <row r="536" spans="1:80" ht="16" x14ac:dyDescent="0.2">
      <c r="A536" s="3" t="s">
        <v>177</v>
      </c>
      <c r="B536" s="10">
        <v>705</v>
      </c>
      <c r="C536" s="5">
        <v>1</v>
      </c>
      <c r="D536" s="10">
        <v>1</v>
      </c>
      <c r="E536" s="10">
        <v>0</v>
      </c>
      <c r="F536" s="10">
        <v>2020</v>
      </c>
      <c r="G536" s="10" t="s">
        <v>70</v>
      </c>
      <c r="H536" s="7" t="str">
        <f t="shared" si="399"/>
        <v>No</v>
      </c>
      <c r="I536" s="54" t="s">
        <v>55</v>
      </c>
      <c r="J536" s="8">
        <v>0</v>
      </c>
      <c r="K536" s="8"/>
      <c r="L536" s="8"/>
      <c r="M536" s="8"/>
      <c r="N536" s="8"/>
      <c r="O536" s="8"/>
      <c r="P536" s="8"/>
      <c r="Q536" s="8"/>
      <c r="R536" s="6"/>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f t="shared" si="526"/>
        <v>0</v>
      </c>
      <c r="BT536" s="8"/>
      <c r="BU536" s="2">
        <f t="shared" si="437"/>
        <v>0</v>
      </c>
      <c r="BV536" s="2">
        <f t="shared" si="403"/>
        <v>0</v>
      </c>
      <c r="BW536" s="2">
        <f t="shared" si="404"/>
        <v>0</v>
      </c>
      <c r="BX536" s="2">
        <f t="shared" si="407"/>
        <v>0</v>
      </c>
      <c r="BY536" s="2">
        <f t="shared" si="405"/>
        <v>0</v>
      </c>
      <c r="BZ536" s="2">
        <f t="shared" ref="BZ536:CA536" si="739">SUM(AQ536)</f>
        <v>0</v>
      </c>
      <c r="CA536" s="2">
        <f t="shared" si="739"/>
        <v>0</v>
      </c>
      <c r="CB536" s="2">
        <f t="shared" si="431"/>
        <v>0</v>
      </c>
    </row>
    <row r="537" spans="1:80" ht="16" x14ac:dyDescent="0.2">
      <c r="A537" s="3" t="s">
        <v>177</v>
      </c>
      <c r="B537" s="10">
        <v>705</v>
      </c>
      <c r="C537" s="5">
        <v>1</v>
      </c>
      <c r="D537" s="10">
        <v>1</v>
      </c>
      <c r="E537" s="10">
        <v>0</v>
      </c>
      <c r="F537" s="10">
        <v>2020</v>
      </c>
      <c r="G537" s="10" t="s">
        <v>71</v>
      </c>
      <c r="H537" s="7" t="str">
        <f t="shared" si="399"/>
        <v>No</v>
      </c>
      <c r="I537" s="54" t="s">
        <v>55</v>
      </c>
      <c r="J537" s="8">
        <v>0</v>
      </c>
      <c r="K537" s="8"/>
      <c r="L537" s="8"/>
      <c r="M537" s="8"/>
      <c r="N537" s="8"/>
      <c r="O537" s="8"/>
      <c r="P537" s="8"/>
      <c r="Q537" s="8"/>
      <c r="R537" s="6"/>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f t="shared" si="526"/>
        <v>0</v>
      </c>
      <c r="BT537" s="8"/>
      <c r="BU537" s="2">
        <f t="shared" si="437"/>
        <v>0</v>
      </c>
      <c r="BV537" s="2">
        <f t="shared" si="403"/>
        <v>0</v>
      </c>
      <c r="BW537" s="2">
        <f t="shared" si="404"/>
        <v>0</v>
      </c>
      <c r="BX537" s="2">
        <f t="shared" si="407"/>
        <v>0</v>
      </c>
      <c r="BY537" s="2">
        <f t="shared" si="405"/>
        <v>0</v>
      </c>
      <c r="BZ537" s="2">
        <f t="shared" ref="BZ537:CA537" si="740">SUM(AQ537)</f>
        <v>0</v>
      </c>
      <c r="CA537" s="2">
        <f t="shared" si="740"/>
        <v>0</v>
      </c>
      <c r="CB537" s="2">
        <f t="shared" si="431"/>
        <v>0</v>
      </c>
    </row>
    <row r="538" spans="1:80" ht="16" x14ac:dyDescent="0.2">
      <c r="A538" s="3" t="s">
        <v>177</v>
      </c>
      <c r="B538" s="10">
        <v>705</v>
      </c>
      <c r="C538" s="5">
        <v>1</v>
      </c>
      <c r="D538" s="10">
        <v>1</v>
      </c>
      <c r="E538" s="10">
        <v>0</v>
      </c>
      <c r="F538" s="10">
        <v>2020</v>
      </c>
      <c r="G538" s="10" t="s">
        <v>72</v>
      </c>
      <c r="H538" s="7" t="str">
        <f t="shared" si="399"/>
        <v>No</v>
      </c>
      <c r="I538" s="54" t="s">
        <v>55</v>
      </c>
      <c r="J538" s="8">
        <v>0</v>
      </c>
      <c r="K538" s="8"/>
      <c r="L538" s="8"/>
      <c r="M538" s="8"/>
      <c r="N538" s="8"/>
      <c r="O538" s="8"/>
      <c r="P538" s="8"/>
      <c r="Q538" s="8"/>
      <c r="R538" s="6"/>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f t="shared" si="526"/>
        <v>0</v>
      </c>
      <c r="BT538" s="8"/>
      <c r="BU538" s="2">
        <f t="shared" si="437"/>
        <v>0</v>
      </c>
      <c r="BV538" s="2">
        <f t="shared" si="403"/>
        <v>0</v>
      </c>
      <c r="BW538" s="2">
        <f t="shared" si="404"/>
        <v>0</v>
      </c>
      <c r="BX538" s="2">
        <f t="shared" si="407"/>
        <v>0</v>
      </c>
      <c r="BY538" s="2">
        <f t="shared" si="405"/>
        <v>0</v>
      </c>
      <c r="BZ538" s="2">
        <f t="shared" ref="BZ538:CA538" si="741">SUM(AQ538)</f>
        <v>0</v>
      </c>
      <c r="CA538" s="2">
        <f t="shared" si="741"/>
        <v>0</v>
      </c>
      <c r="CB538" s="2">
        <f t="shared" si="431"/>
        <v>0</v>
      </c>
    </row>
    <row r="539" spans="1:80" ht="16" x14ac:dyDescent="0.2">
      <c r="A539" s="3" t="s">
        <v>177</v>
      </c>
      <c r="B539" s="10">
        <v>705</v>
      </c>
      <c r="C539" s="5">
        <v>1</v>
      </c>
      <c r="D539" s="10">
        <v>1</v>
      </c>
      <c r="E539" s="10">
        <v>0</v>
      </c>
      <c r="F539" s="10">
        <v>2020</v>
      </c>
      <c r="G539" s="10" t="s">
        <v>73</v>
      </c>
      <c r="H539" s="7" t="str">
        <f t="shared" si="399"/>
        <v>No</v>
      </c>
      <c r="I539" s="54" t="s">
        <v>55</v>
      </c>
      <c r="J539" s="8">
        <v>0</v>
      </c>
      <c r="K539" s="8"/>
      <c r="L539" s="8"/>
      <c r="M539" s="8"/>
      <c r="N539" s="8"/>
      <c r="O539" s="8"/>
      <c r="P539" s="8"/>
      <c r="Q539" s="8"/>
      <c r="R539" s="6"/>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f t="shared" si="526"/>
        <v>0</v>
      </c>
      <c r="BT539" s="8"/>
      <c r="BU539" s="2">
        <f t="shared" si="437"/>
        <v>0</v>
      </c>
      <c r="BV539" s="2">
        <f t="shared" si="403"/>
        <v>0</v>
      </c>
      <c r="BW539" s="2">
        <f t="shared" si="404"/>
        <v>0</v>
      </c>
      <c r="BX539" s="2">
        <f t="shared" si="407"/>
        <v>0</v>
      </c>
      <c r="BY539" s="2">
        <f t="shared" si="405"/>
        <v>0</v>
      </c>
      <c r="BZ539" s="2">
        <f t="shared" ref="BZ539:CA539" si="742">SUM(AQ539)</f>
        <v>0</v>
      </c>
      <c r="CA539" s="2">
        <f t="shared" si="742"/>
        <v>0</v>
      </c>
      <c r="CB539" s="2">
        <f t="shared" si="431"/>
        <v>0</v>
      </c>
    </row>
    <row r="540" spans="1:80" ht="16" x14ac:dyDescent="0.2">
      <c r="A540" s="3" t="s">
        <v>177</v>
      </c>
      <c r="B540" s="10">
        <v>705</v>
      </c>
      <c r="C540" s="5">
        <v>1</v>
      </c>
      <c r="D540" s="10">
        <v>1</v>
      </c>
      <c r="E540" s="10">
        <v>0</v>
      </c>
      <c r="F540" s="10">
        <v>2020</v>
      </c>
      <c r="G540" s="10" t="s">
        <v>74</v>
      </c>
      <c r="H540" s="7" t="str">
        <f t="shared" si="399"/>
        <v>No</v>
      </c>
      <c r="I540" s="54" t="s">
        <v>55</v>
      </c>
      <c r="J540" s="8">
        <v>0</v>
      </c>
      <c r="K540" s="8"/>
      <c r="L540" s="8"/>
      <c r="M540" s="8"/>
      <c r="N540" s="8"/>
      <c r="O540" s="8"/>
      <c r="P540" s="8"/>
      <c r="Q540" s="8"/>
      <c r="R540" s="6"/>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f t="shared" si="526"/>
        <v>0</v>
      </c>
      <c r="BT540" s="8"/>
      <c r="BU540" s="2">
        <f t="shared" si="437"/>
        <v>0</v>
      </c>
      <c r="BV540" s="2">
        <f t="shared" si="403"/>
        <v>0</v>
      </c>
      <c r="BW540" s="2">
        <f t="shared" si="404"/>
        <v>0</v>
      </c>
      <c r="BX540" s="2">
        <f t="shared" si="407"/>
        <v>0</v>
      </c>
      <c r="BY540" s="2">
        <f t="shared" si="405"/>
        <v>0</v>
      </c>
      <c r="BZ540" s="2">
        <f t="shared" ref="BZ540:CA540" si="743">SUM(AQ540)</f>
        <v>0</v>
      </c>
      <c r="CA540" s="2">
        <f t="shared" si="743"/>
        <v>0</v>
      </c>
      <c r="CB540" s="2">
        <f t="shared" si="431"/>
        <v>0</v>
      </c>
    </row>
    <row r="541" spans="1:80" ht="16" x14ac:dyDescent="0.2">
      <c r="A541" s="3" t="s">
        <v>177</v>
      </c>
      <c r="B541" s="10">
        <v>705</v>
      </c>
      <c r="C541" s="5">
        <v>1</v>
      </c>
      <c r="D541" s="10">
        <v>1</v>
      </c>
      <c r="E541" s="10">
        <v>0</v>
      </c>
      <c r="F541" s="10">
        <v>2020</v>
      </c>
      <c r="G541" s="10" t="s">
        <v>75</v>
      </c>
      <c r="H541" s="7" t="str">
        <f t="shared" si="399"/>
        <v>No</v>
      </c>
      <c r="I541" s="54" t="s">
        <v>55</v>
      </c>
      <c r="J541" s="8">
        <v>0</v>
      </c>
      <c r="K541" s="8"/>
      <c r="L541" s="8"/>
      <c r="M541" s="8"/>
      <c r="N541" s="8"/>
      <c r="O541" s="8"/>
      <c r="P541" s="8"/>
      <c r="Q541" s="8"/>
      <c r="R541" s="6"/>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f t="shared" si="526"/>
        <v>0</v>
      </c>
      <c r="BT541" s="8"/>
      <c r="BU541" s="2">
        <f t="shared" si="437"/>
        <v>0</v>
      </c>
      <c r="BV541" s="2">
        <f t="shared" si="403"/>
        <v>0</v>
      </c>
      <c r="BW541" s="2">
        <f t="shared" si="404"/>
        <v>0</v>
      </c>
      <c r="BX541" s="2">
        <f t="shared" si="407"/>
        <v>0</v>
      </c>
      <c r="BY541" s="2">
        <f t="shared" si="405"/>
        <v>0</v>
      </c>
      <c r="BZ541" s="2">
        <f t="shared" ref="BZ541:CA541" si="744">SUM(AQ541)</f>
        <v>0</v>
      </c>
      <c r="CA541" s="2">
        <f t="shared" si="744"/>
        <v>0</v>
      </c>
      <c r="CB541" s="2">
        <f t="shared" si="431"/>
        <v>0</v>
      </c>
    </row>
    <row r="542" spans="1:80" ht="16" x14ac:dyDescent="0.2">
      <c r="A542" s="3" t="s">
        <v>177</v>
      </c>
      <c r="B542" s="10">
        <v>705</v>
      </c>
      <c r="C542" s="5">
        <v>1</v>
      </c>
      <c r="D542" s="10">
        <v>1</v>
      </c>
      <c r="E542" s="10">
        <v>0</v>
      </c>
      <c r="F542" s="10">
        <v>2020</v>
      </c>
      <c r="G542" s="10" t="s">
        <v>76</v>
      </c>
      <c r="H542" s="7" t="str">
        <f t="shared" si="399"/>
        <v>No</v>
      </c>
      <c r="I542" s="54" t="s">
        <v>55</v>
      </c>
      <c r="J542" s="8">
        <v>0</v>
      </c>
      <c r="K542" s="8"/>
      <c r="L542" s="8"/>
      <c r="M542" s="8"/>
      <c r="N542" s="8"/>
      <c r="O542" s="8"/>
      <c r="P542" s="8"/>
      <c r="Q542" s="8"/>
      <c r="R542" s="6"/>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f t="shared" si="526"/>
        <v>0</v>
      </c>
      <c r="BT542" s="8"/>
      <c r="BU542" s="2">
        <f t="shared" si="437"/>
        <v>0</v>
      </c>
      <c r="BV542" s="2">
        <f t="shared" si="403"/>
        <v>0</v>
      </c>
      <c r="BW542" s="2">
        <f t="shared" si="404"/>
        <v>0</v>
      </c>
      <c r="BX542" s="2">
        <f t="shared" si="407"/>
        <v>0</v>
      </c>
      <c r="BY542" s="2">
        <f t="shared" si="405"/>
        <v>0</v>
      </c>
      <c r="BZ542" s="2">
        <f t="shared" ref="BZ542:CA542" si="745">SUM(AQ542)</f>
        <v>0</v>
      </c>
      <c r="CA542" s="2">
        <f t="shared" si="745"/>
        <v>0</v>
      </c>
      <c r="CB542" s="2">
        <f t="shared" si="431"/>
        <v>0</v>
      </c>
    </row>
    <row r="543" spans="1:80" ht="16" x14ac:dyDescent="0.2">
      <c r="A543" s="3" t="s">
        <v>177</v>
      </c>
      <c r="B543" s="10">
        <v>705</v>
      </c>
      <c r="C543" s="5">
        <v>1</v>
      </c>
      <c r="D543" s="10">
        <v>1</v>
      </c>
      <c r="E543" s="10">
        <v>0</v>
      </c>
      <c r="F543" s="10">
        <v>2020</v>
      </c>
      <c r="G543" s="10" t="s">
        <v>77</v>
      </c>
      <c r="H543" s="7" t="str">
        <f t="shared" si="399"/>
        <v>No</v>
      </c>
      <c r="I543" s="54" t="s">
        <v>55</v>
      </c>
      <c r="J543" s="8">
        <v>0</v>
      </c>
      <c r="K543" s="8"/>
      <c r="L543" s="8"/>
      <c r="M543" s="8"/>
      <c r="N543" s="8"/>
      <c r="O543" s="8"/>
      <c r="P543" s="8"/>
      <c r="Q543" s="8"/>
      <c r="R543" s="6"/>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f t="shared" si="526"/>
        <v>0</v>
      </c>
      <c r="BT543" s="8"/>
      <c r="BU543" s="2">
        <f t="shared" si="437"/>
        <v>0</v>
      </c>
      <c r="BV543" s="2">
        <f t="shared" si="403"/>
        <v>0</v>
      </c>
      <c r="BW543" s="2">
        <f t="shared" si="404"/>
        <v>0</v>
      </c>
      <c r="BX543" s="2">
        <f t="shared" si="407"/>
        <v>0</v>
      </c>
      <c r="BY543" s="2">
        <f t="shared" si="405"/>
        <v>0</v>
      </c>
      <c r="BZ543" s="2">
        <f t="shared" ref="BZ543:CA543" si="746">SUM(AQ543)</f>
        <v>0</v>
      </c>
      <c r="CA543" s="2">
        <f t="shared" si="746"/>
        <v>0</v>
      </c>
      <c r="CB543" s="2">
        <f t="shared" si="431"/>
        <v>0</v>
      </c>
    </row>
    <row r="544" spans="1:80" ht="16" x14ac:dyDescent="0.2">
      <c r="A544" s="3" t="s">
        <v>177</v>
      </c>
      <c r="B544" s="10">
        <v>705</v>
      </c>
      <c r="C544" s="5">
        <v>1</v>
      </c>
      <c r="D544" s="10">
        <v>1</v>
      </c>
      <c r="E544" s="10">
        <v>0</v>
      </c>
      <c r="F544" s="10">
        <v>2020</v>
      </c>
      <c r="G544" s="10" t="s">
        <v>78</v>
      </c>
      <c r="H544" s="7" t="str">
        <f t="shared" si="399"/>
        <v>No</v>
      </c>
      <c r="I544" s="54" t="s">
        <v>55</v>
      </c>
      <c r="J544" s="8">
        <v>0</v>
      </c>
      <c r="K544" s="8"/>
      <c r="L544" s="8"/>
      <c r="M544" s="8"/>
      <c r="N544" s="8"/>
      <c r="O544" s="8"/>
      <c r="P544" s="8"/>
      <c r="Q544" s="8"/>
      <c r="R544" s="6"/>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f t="shared" si="526"/>
        <v>0</v>
      </c>
      <c r="BT544" s="8"/>
      <c r="BU544" s="2">
        <f t="shared" si="437"/>
        <v>0</v>
      </c>
      <c r="BV544" s="2">
        <f t="shared" si="403"/>
        <v>0</v>
      </c>
      <c r="BW544" s="2">
        <f t="shared" si="404"/>
        <v>0</v>
      </c>
      <c r="BX544" s="2">
        <f t="shared" si="407"/>
        <v>0</v>
      </c>
      <c r="BY544" s="2">
        <f t="shared" si="405"/>
        <v>0</v>
      </c>
      <c r="BZ544" s="2">
        <f t="shared" ref="BZ544:CA544" si="747">SUM(AQ544)</f>
        <v>0</v>
      </c>
      <c r="CA544" s="2">
        <f t="shared" si="747"/>
        <v>0</v>
      </c>
      <c r="CB544" s="2">
        <f t="shared" si="431"/>
        <v>0</v>
      </c>
    </row>
    <row r="545" spans="1:80" ht="15" customHeight="1" x14ac:dyDescent="0.2">
      <c r="A545" s="3" t="s">
        <v>177</v>
      </c>
      <c r="B545" s="10">
        <v>705</v>
      </c>
      <c r="C545" s="5">
        <v>1</v>
      </c>
      <c r="D545" s="10">
        <v>1</v>
      </c>
      <c r="E545" s="10">
        <v>0</v>
      </c>
      <c r="F545" s="10">
        <v>2020</v>
      </c>
      <c r="G545" s="10">
        <v>2020</v>
      </c>
      <c r="H545" s="7" t="str">
        <f t="shared" si="399"/>
        <v>Yes</v>
      </c>
      <c r="I545" s="54" t="s">
        <v>56</v>
      </c>
      <c r="J545" s="8">
        <v>1</v>
      </c>
      <c r="K545" s="8" t="s">
        <v>63</v>
      </c>
      <c r="L545" s="8" t="s">
        <v>64</v>
      </c>
      <c r="M545" s="8" t="s">
        <v>123</v>
      </c>
      <c r="N545" s="8">
        <v>1</v>
      </c>
      <c r="O545" s="8">
        <v>1</v>
      </c>
      <c r="P545" s="8">
        <v>1</v>
      </c>
      <c r="Q545" s="8" t="s">
        <v>65</v>
      </c>
      <c r="R545" s="9">
        <v>0.1</v>
      </c>
      <c r="S545" s="8">
        <v>0</v>
      </c>
      <c r="T545" s="8">
        <v>0</v>
      </c>
      <c r="U545" s="8">
        <v>1</v>
      </c>
      <c r="V545" s="8">
        <v>1</v>
      </c>
      <c r="W545" s="8">
        <v>1</v>
      </c>
      <c r="X545" s="8">
        <v>0</v>
      </c>
      <c r="Y545" s="8">
        <v>0</v>
      </c>
      <c r="Z545" s="8">
        <v>1</v>
      </c>
      <c r="AA545" s="8" t="s">
        <v>178</v>
      </c>
      <c r="AB545" s="8">
        <v>1</v>
      </c>
      <c r="AC545" s="8">
        <v>0</v>
      </c>
      <c r="AD545" s="8">
        <v>0</v>
      </c>
      <c r="AE545" s="8">
        <v>1</v>
      </c>
      <c r="AF545" s="8">
        <v>0</v>
      </c>
      <c r="AG545" s="8">
        <v>0</v>
      </c>
      <c r="AH545" s="8">
        <v>1</v>
      </c>
      <c r="AI545" s="8">
        <v>0</v>
      </c>
      <c r="AJ545" s="8">
        <v>1</v>
      </c>
      <c r="AK545" s="8">
        <v>1</v>
      </c>
      <c r="AL545" s="8">
        <v>0</v>
      </c>
      <c r="AM545" s="8">
        <v>1</v>
      </c>
      <c r="AN545" s="8">
        <v>1</v>
      </c>
      <c r="AO545" s="8">
        <v>0</v>
      </c>
      <c r="AP545" s="8">
        <v>1</v>
      </c>
      <c r="AQ545" s="8">
        <v>0</v>
      </c>
      <c r="AR545" s="8">
        <v>1</v>
      </c>
      <c r="AS545" s="8">
        <v>0</v>
      </c>
      <c r="AT545" s="8">
        <v>1</v>
      </c>
      <c r="AU545" s="8">
        <v>1</v>
      </c>
      <c r="AV545" s="8">
        <v>1</v>
      </c>
      <c r="AW545" s="8">
        <v>1</v>
      </c>
      <c r="AX545" s="8">
        <v>0</v>
      </c>
      <c r="AY545" s="8">
        <v>1</v>
      </c>
      <c r="AZ545" s="8">
        <v>1</v>
      </c>
      <c r="BA545" s="8">
        <v>1</v>
      </c>
      <c r="BB545" s="8">
        <v>0</v>
      </c>
      <c r="BC545" s="8">
        <v>0</v>
      </c>
      <c r="BD545" s="8">
        <v>0</v>
      </c>
      <c r="BE545" s="8">
        <v>1</v>
      </c>
      <c r="BF545" s="8">
        <v>0</v>
      </c>
      <c r="BG545" s="8">
        <v>0</v>
      </c>
      <c r="BH545" s="8">
        <v>0</v>
      </c>
      <c r="BI545" s="8">
        <v>0</v>
      </c>
      <c r="BJ545" s="8">
        <v>1</v>
      </c>
      <c r="BK545" s="8">
        <v>1</v>
      </c>
      <c r="BL545" s="8">
        <v>1</v>
      </c>
      <c r="BM545" s="8">
        <v>0</v>
      </c>
      <c r="BN545" s="8">
        <v>1</v>
      </c>
      <c r="BO545" s="8">
        <v>0</v>
      </c>
      <c r="BP545" s="8">
        <v>0</v>
      </c>
      <c r="BQ545" s="8">
        <v>0</v>
      </c>
      <c r="BR545" s="8">
        <v>1</v>
      </c>
      <c r="BS545" s="8">
        <f t="shared" si="526"/>
        <v>19</v>
      </c>
      <c r="BT545" s="8"/>
      <c r="BU545" s="2">
        <f t="shared" si="437"/>
        <v>1</v>
      </c>
      <c r="BV545" s="2">
        <f t="shared" si="403"/>
        <v>5</v>
      </c>
      <c r="BW545" s="2">
        <f t="shared" si="404"/>
        <v>1</v>
      </c>
      <c r="BX545" s="2">
        <f t="shared" si="407"/>
        <v>9</v>
      </c>
      <c r="BY545" s="2">
        <f t="shared" si="405"/>
        <v>1</v>
      </c>
      <c r="BZ545" s="2">
        <f t="shared" ref="BZ545:CA545" si="748">SUM(AQ545)</f>
        <v>0</v>
      </c>
      <c r="CA545" s="2">
        <f t="shared" si="748"/>
        <v>1</v>
      </c>
      <c r="CB545" s="2">
        <f t="shared" si="431"/>
        <v>1</v>
      </c>
    </row>
    <row r="546" spans="1:80" ht="15" customHeight="1" x14ac:dyDescent="0.2">
      <c r="A546" s="3" t="s">
        <v>177</v>
      </c>
      <c r="B546" s="10">
        <v>705</v>
      </c>
      <c r="C546" s="5">
        <v>1</v>
      </c>
      <c r="D546" s="10">
        <v>1</v>
      </c>
      <c r="E546" s="10">
        <v>0</v>
      </c>
      <c r="F546" s="10">
        <v>2020</v>
      </c>
      <c r="G546" s="10">
        <v>2021</v>
      </c>
      <c r="H546" s="7" t="str">
        <f t="shared" si="399"/>
        <v>No</v>
      </c>
      <c r="I546" s="54" t="s">
        <v>55</v>
      </c>
      <c r="J546" s="8">
        <v>1</v>
      </c>
      <c r="K546" s="8" t="s">
        <v>63</v>
      </c>
      <c r="L546" s="8" t="s">
        <v>64</v>
      </c>
      <c r="M546" s="8" t="s">
        <v>123</v>
      </c>
      <c r="N546" s="8">
        <v>1</v>
      </c>
      <c r="O546" s="8">
        <v>1</v>
      </c>
      <c r="P546" s="8">
        <v>1</v>
      </c>
      <c r="Q546" s="8" t="s">
        <v>65</v>
      </c>
      <c r="R546" s="9">
        <v>0.1</v>
      </c>
      <c r="S546" s="8">
        <v>0</v>
      </c>
      <c r="T546" s="8">
        <v>0</v>
      </c>
      <c r="U546" s="8">
        <v>1</v>
      </c>
      <c r="V546" s="8">
        <v>1</v>
      </c>
      <c r="W546" s="8">
        <v>1</v>
      </c>
      <c r="X546" s="8">
        <v>0</v>
      </c>
      <c r="Y546" s="8">
        <v>0</v>
      </c>
      <c r="Z546" s="8">
        <v>1</v>
      </c>
      <c r="AA546" s="8" t="s">
        <v>178</v>
      </c>
      <c r="AB546" s="8">
        <v>1</v>
      </c>
      <c r="AC546" s="8">
        <v>0</v>
      </c>
      <c r="AD546" s="8">
        <v>0</v>
      </c>
      <c r="AE546" s="8">
        <v>1</v>
      </c>
      <c r="AF546" s="8">
        <v>0</v>
      </c>
      <c r="AG546" s="8">
        <v>0</v>
      </c>
      <c r="AH546" s="8">
        <v>1</v>
      </c>
      <c r="AI546" s="8">
        <v>0</v>
      </c>
      <c r="AJ546" s="8">
        <v>1</v>
      </c>
      <c r="AK546" s="8">
        <v>1</v>
      </c>
      <c r="AL546" s="8">
        <v>0</v>
      </c>
      <c r="AM546" s="8">
        <v>1</v>
      </c>
      <c r="AN546" s="8">
        <v>1</v>
      </c>
      <c r="AO546" s="8">
        <v>0</v>
      </c>
      <c r="AP546" s="8">
        <v>1</v>
      </c>
      <c r="AQ546" s="8">
        <v>0</v>
      </c>
      <c r="AR546" s="8">
        <v>1</v>
      </c>
      <c r="AS546" s="8">
        <v>0</v>
      </c>
      <c r="AT546" s="8">
        <v>1</v>
      </c>
      <c r="AU546" s="8">
        <v>1</v>
      </c>
      <c r="AV546" s="8">
        <v>1</v>
      </c>
      <c r="AW546" s="8">
        <v>1</v>
      </c>
      <c r="AX546" s="8">
        <v>0</v>
      </c>
      <c r="AY546" s="8">
        <v>1</v>
      </c>
      <c r="AZ546" s="8">
        <v>1</v>
      </c>
      <c r="BA546" s="8">
        <v>1</v>
      </c>
      <c r="BB546" s="8">
        <v>0</v>
      </c>
      <c r="BC546" s="8">
        <v>0</v>
      </c>
      <c r="BD546" s="8">
        <v>0</v>
      </c>
      <c r="BE546" s="8">
        <v>1</v>
      </c>
      <c r="BF546" s="8">
        <v>0</v>
      </c>
      <c r="BG546" s="8">
        <v>0</v>
      </c>
      <c r="BH546" s="8">
        <v>0</v>
      </c>
      <c r="BI546" s="8">
        <v>0</v>
      </c>
      <c r="BJ546" s="8">
        <v>1</v>
      </c>
      <c r="BK546" s="8">
        <v>1</v>
      </c>
      <c r="BL546" s="8">
        <v>1</v>
      </c>
      <c r="BM546" s="8">
        <v>0</v>
      </c>
      <c r="BN546" s="8">
        <v>1</v>
      </c>
      <c r="BO546" s="8">
        <v>0</v>
      </c>
      <c r="BP546" s="8">
        <v>0</v>
      </c>
      <c r="BQ546" s="8">
        <v>0</v>
      </c>
      <c r="BR546" s="8">
        <v>1</v>
      </c>
      <c r="BS546" s="8">
        <f t="shared" si="526"/>
        <v>19</v>
      </c>
      <c r="BT546" s="8"/>
      <c r="BU546" s="2">
        <f t="shared" si="437"/>
        <v>1</v>
      </c>
      <c r="BV546" s="2">
        <f t="shared" si="403"/>
        <v>5</v>
      </c>
      <c r="BW546" s="2">
        <f t="shared" si="404"/>
        <v>1</v>
      </c>
      <c r="BX546" s="2">
        <f t="shared" si="407"/>
        <v>9</v>
      </c>
      <c r="BY546" s="2">
        <f t="shared" si="405"/>
        <v>1</v>
      </c>
      <c r="BZ546" s="2">
        <f t="shared" ref="BZ546:CA546" si="749">SUM(AQ546)</f>
        <v>0</v>
      </c>
      <c r="CA546" s="2">
        <f t="shared" si="749"/>
        <v>1</v>
      </c>
      <c r="CB546" s="2">
        <f t="shared" si="431"/>
        <v>1</v>
      </c>
    </row>
    <row r="547" spans="1:80" ht="16" x14ac:dyDescent="0.2">
      <c r="A547" s="3" t="s">
        <v>177</v>
      </c>
      <c r="B547" s="10">
        <v>705</v>
      </c>
      <c r="C547" s="5">
        <v>1</v>
      </c>
      <c r="D547" s="10">
        <v>1</v>
      </c>
      <c r="E547" s="10">
        <v>0</v>
      </c>
      <c r="F547" s="10">
        <v>2020</v>
      </c>
      <c r="G547" s="10">
        <v>2022</v>
      </c>
      <c r="H547" s="7" t="str">
        <f t="shared" si="399"/>
        <v>No</v>
      </c>
      <c r="I547" s="54" t="s">
        <v>55</v>
      </c>
      <c r="J547" s="8">
        <v>1</v>
      </c>
      <c r="K547" s="8" t="s">
        <v>63</v>
      </c>
      <c r="L547" s="8" t="s">
        <v>64</v>
      </c>
      <c r="M547" s="8" t="s">
        <v>123</v>
      </c>
      <c r="N547" s="8">
        <v>1</v>
      </c>
      <c r="O547" s="8">
        <v>1</v>
      </c>
      <c r="P547" s="8">
        <v>1</v>
      </c>
      <c r="Q547" s="8" t="s">
        <v>65</v>
      </c>
      <c r="R547" s="9">
        <v>0.1</v>
      </c>
      <c r="S547" s="8">
        <v>0</v>
      </c>
      <c r="T547" s="8">
        <v>0</v>
      </c>
      <c r="U547" s="8">
        <v>1</v>
      </c>
      <c r="V547" s="8">
        <v>1</v>
      </c>
      <c r="W547" s="8">
        <v>1</v>
      </c>
      <c r="X547" s="8">
        <v>0</v>
      </c>
      <c r="Y547" s="8">
        <v>0</v>
      </c>
      <c r="Z547" s="8">
        <v>1</v>
      </c>
      <c r="AA547" s="8" t="s">
        <v>178</v>
      </c>
      <c r="AB547" s="8">
        <v>1</v>
      </c>
      <c r="AC547" s="8">
        <v>0</v>
      </c>
      <c r="AD547" s="8">
        <v>0</v>
      </c>
      <c r="AE547" s="8">
        <v>1</v>
      </c>
      <c r="AF547" s="8">
        <v>0</v>
      </c>
      <c r="AG547" s="8">
        <v>0</v>
      </c>
      <c r="AH547" s="8">
        <v>1</v>
      </c>
      <c r="AI547" s="8">
        <v>0</v>
      </c>
      <c r="AJ547" s="8">
        <v>1</v>
      </c>
      <c r="AK547" s="8">
        <v>1</v>
      </c>
      <c r="AL547" s="8">
        <v>0</v>
      </c>
      <c r="AM547" s="8">
        <v>1</v>
      </c>
      <c r="AN547" s="8">
        <v>1</v>
      </c>
      <c r="AO547" s="8">
        <v>0</v>
      </c>
      <c r="AP547" s="8">
        <v>1</v>
      </c>
      <c r="AQ547" s="8">
        <v>0</v>
      </c>
      <c r="AR547" s="8">
        <v>1</v>
      </c>
      <c r="AS547" s="8">
        <v>0</v>
      </c>
      <c r="AT547" s="8">
        <v>1</v>
      </c>
      <c r="AU547" s="8">
        <v>1</v>
      </c>
      <c r="AV547" s="8">
        <v>1</v>
      </c>
      <c r="AW547" s="8">
        <v>1</v>
      </c>
      <c r="AX547" s="8">
        <v>0</v>
      </c>
      <c r="AY547" s="8">
        <v>1</v>
      </c>
      <c r="AZ547" s="8">
        <v>1</v>
      </c>
      <c r="BA547" s="8">
        <v>1</v>
      </c>
      <c r="BB547" s="8">
        <v>0</v>
      </c>
      <c r="BC547" s="8">
        <v>0</v>
      </c>
      <c r="BD547" s="8">
        <v>0</v>
      </c>
      <c r="BE547" s="8">
        <v>1</v>
      </c>
      <c r="BF547" s="8">
        <v>0</v>
      </c>
      <c r="BG547" s="8">
        <v>0</v>
      </c>
      <c r="BH547" s="8">
        <v>0</v>
      </c>
      <c r="BI547" s="8">
        <v>0</v>
      </c>
      <c r="BJ547" s="8">
        <v>1</v>
      </c>
      <c r="BK547" s="8">
        <v>1</v>
      </c>
      <c r="BL547" s="8">
        <v>1</v>
      </c>
      <c r="BM547" s="8">
        <v>0</v>
      </c>
      <c r="BN547" s="8">
        <v>1</v>
      </c>
      <c r="BO547" s="8">
        <v>0</v>
      </c>
      <c r="BP547" s="8">
        <v>0</v>
      </c>
      <c r="BQ547" s="8">
        <v>0</v>
      </c>
      <c r="BR547" s="8">
        <v>1</v>
      </c>
      <c r="BS547" s="8">
        <f t="shared" si="526"/>
        <v>19</v>
      </c>
      <c r="BT547" s="8"/>
      <c r="BU547" s="2">
        <f t="shared" si="437"/>
        <v>1</v>
      </c>
      <c r="BV547" s="2">
        <f t="shared" si="403"/>
        <v>5</v>
      </c>
      <c r="BW547" s="2">
        <f t="shared" si="404"/>
        <v>1</v>
      </c>
      <c r="BX547" s="2">
        <f t="shared" si="407"/>
        <v>9</v>
      </c>
      <c r="BY547" s="2">
        <f t="shared" si="405"/>
        <v>1</v>
      </c>
      <c r="BZ547" s="2">
        <f t="shared" ref="BZ547:CA547" si="750">SUM(AQ547)</f>
        <v>0</v>
      </c>
      <c r="CA547" s="2">
        <f t="shared" si="750"/>
        <v>1</v>
      </c>
      <c r="CB547" s="2">
        <f t="shared" si="431"/>
        <v>1</v>
      </c>
    </row>
    <row r="548" spans="1:80" ht="16" x14ac:dyDescent="0.2">
      <c r="A548" s="49" t="s">
        <v>177</v>
      </c>
      <c r="B548" s="49">
        <v>705</v>
      </c>
      <c r="C548" s="50">
        <v>1</v>
      </c>
      <c r="D548" s="49">
        <v>1</v>
      </c>
      <c r="E548" s="49">
        <v>0</v>
      </c>
      <c r="F548" s="49">
        <v>2020</v>
      </c>
      <c r="G548" s="49">
        <v>2023</v>
      </c>
      <c r="H548" s="49" t="s">
        <v>82</v>
      </c>
      <c r="I548" s="60">
        <v>1</v>
      </c>
      <c r="J548" s="49">
        <v>1</v>
      </c>
      <c r="K548" s="49" t="s">
        <v>63</v>
      </c>
      <c r="L548" s="49" t="s">
        <v>64</v>
      </c>
      <c r="M548" s="49" t="s">
        <v>52</v>
      </c>
      <c r="N548" s="49">
        <v>1</v>
      </c>
      <c r="O548" s="49">
        <v>1</v>
      </c>
      <c r="P548" s="49">
        <v>1</v>
      </c>
      <c r="Q548" s="49" t="s">
        <v>179</v>
      </c>
      <c r="R548" s="51">
        <v>0.1</v>
      </c>
      <c r="S548" s="49">
        <v>1</v>
      </c>
      <c r="T548" s="49">
        <v>0</v>
      </c>
      <c r="U548" s="49">
        <v>1</v>
      </c>
      <c r="V548" s="49">
        <v>1</v>
      </c>
      <c r="W548" s="49">
        <v>1</v>
      </c>
      <c r="X548" s="49">
        <v>0</v>
      </c>
      <c r="Y548" s="49">
        <v>0</v>
      </c>
      <c r="Z548" s="49">
        <v>1</v>
      </c>
      <c r="AA548" s="49" t="s">
        <v>180</v>
      </c>
      <c r="AB548" s="49">
        <v>1</v>
      </c>
      <c r="AC548" s="49">
        <v>0</v>
      </c>
      <c r="AD548" s="49">
        <v>0</v>
      </c>
      <c r="AE548" s="49">
        <v>0</v>
      </c>
      <c r="AF548" s="49">
        <v>1</v>
      </c>
      <c r="AG548" s="49">
        <v>0</v>
      </c>
      <c r="AH548" s="49">
        <v>0</v>
      </c>
      <c r="AI548" s="49">
        <v>0</v>
      </c>
      <c r="AJ548" s="49">
        <v>1</v>
      </c>
      <c r="AK548" s="49">
        <v>1</v>
      </c>
      <c r="AL548" s="49">
        <v>1</v>
      </c>
      <c r="AM548" s="49">
        <v>1</v>
      </c>
      <c r="AN548" s="49">
        <v>1</v>
      </c>
      <c r="AO548" s="49">
        <v>0</v>
      </c>
      <c r="AP548" s="49">
        <v>1</v>
      </c>
      <c r="AQ548" s="49">
        <v>0</v>
      </c>
      <c r="AR548" s="49">
        <v>1</v>
      </c>
      <c r="AS548" s="49">
        <v>0</v>
      </c>
      <c r="AT548" s="49">
        <v>1</v>
      </c>
      <c r="AU548" s="49">
        <v>1</v>
      </c>
      <c r="AV548" s="49">
        <v>1</v>
      </c>
      <c r="AW548" s="49">
        <v>1</v>
      </c>
      <c r="AX548" s="49">
        <v>0</v>
      </c>
      <c r="AY548" s="49">
        <v>1</v>
      </c>
      <c r="AZ548" s="49">
        <v>1</v>
      </c>
      <c r="BA548" s="49">
        <v>1</v>
      </c>
      <c r="BB548" s="49">
        <v>0</v>
      </c>
      <c r="BC548" s="49">
        <v>0</v>
      </c>
      <c r="BD548" s="49">
        <v>0</v>
      </c>
      <c r="BE548" s="49">
        <v>1</v>
      </c>
      <c r="BF548" s="49">
        <v>0</v>
      </c>
      <c r="BG548" s="49">
        <v>0</v>
      </c>
      <c r="BH548" s="49">
        <v>0</v>
      </c>
      <c r="BI548" s="49">
        <v>0</v>
      </c>
      <c r="BJ548" s="49">
        <v>1</v>
      </c>
      <c r="BK548" s="49">
        <v>1</v>
      </c>
      <c r="BL548" s="49">
        <v>1</v>
      </c>
      <c r="BM548" s="49">
        <v>0</v>
      </c>
      <c r="BN548" s="49">
        <v>1</v>
      </c>
      <c r="BO548" s="49">
        <v>0</v>
      </c>
      <c r="BP548" s="49">
        <v>0</v>
      </c>
      <c r="BQ548" s="49">
        <v>1</v>
      </c>
      <c r="BR548" s="49">
        <v>1</v>
      </c>
      <c r="BS548" s="49">
        <v>21</v>
      </c>
      <c r="BT548" s="49"/>
      <c r="BU548" s="49">
        <v>1</v>
      </c>
      <c r="BV548" s="49">
        <v>6</v>
      </c>
      <c r="BW548" s="49">
        <v>1</v>
      </c>
      <c r="BX548" s="49">
        <v>10</v>
      </c>
      <c r="BY548" s="49">
        <v>1</v>
      </c>
      <c r="BZ548" s="49">
        <v>0</v>
      </c>
      <c r="CA548" s="49">
        <v>1</v>
      </c>
      <c r="CB548" s="49">
        <v>1</v>
      </c>
    </row>
    <row r="549" spans="1:80" ht="16" x14ac:dyDescent="0.2">
      <c r="A549" s="3" t="s">
        <v>181</v>
      </c>
      <c r="B549" s="10">
        <v>724</v>
      </c>
      <c r="C549" s="5">
        <v>1</v>
      </c>
      <c r="D549" s="10">
        <v>1</v>
      </c>
      <c r="E549" s="10">
        <v>0</v>
      </c>
      <c r="F549" s="10">
        <v>1975</v>
      </c>
      <c r="G549" s="10" t="s">
        <v>86</v>
      </c>
      <c r="H549" s="7" t="str">
        <f t="shared" ref="H549:H651" si="751">IF($I549="1", "Yes", "No")</f>
        <v>No</v>
      </c>
      <c r="I549" s="54" t="s">
        <v>55</v>
      </c>
      <c r="J549" s="8">
        <v>4</v>
      </c>
      <c r="K549" s="8" t="s">
        <v>59</v>
      </c>
      <c r="L549" s="8" t="s">
        <v>52</v>
      </c>
      <c r="M549" s="8" t="s">
        <v>52</v>
      </c>
      <c r="N549" s="8">
        <v>0</v>
      </c>
      <c r="O549" s="8">
        <v>1</v>
      </c>
      <c r="P549" s="8">
        <v>1</v>
      </c>
      <c r="Q549" s="6" t="s">
        <v>60</v>
      </c>
      <c r="R549" s="9">
        <v>0.5</v>
      </c>
      <c r="S549" s="8">
        <v>0</v>
      </c>
      <c r="T549" s="8">
        <v>0</v>
      </c>
      <c r="U549" s="8">
        <v>0</v>
      </c>
      <c r="V549" s="8">
        <v>0</v>
      </c>
      <c r="W549" s="8">
        <v>1</v>
      </c>
      <c r="X549" s="8">
        <v>0</v>
      </c>
      <c r="Y549" s="8">
        <v>0</v>
      </c>
      <c r="Z549" s="8">
        <v>1</v>
      </c>
      <c r="AA549" s="8" t="s">
        <v>182</v>
      </c>
      <c r="AB549" s="8">
        <v>0</v>
      </c>
      <c r="AC549" s="8">
        <v>0</v>
      </c>
      <c r="AD549" s="8">
        <v>1</v>
      </c>
      <c r="AE549" s="8">
        <v>1</v>
      </c>
      <c r="AF549" s="8">
        <v>0</v>
      </c>
      <c r="AG549" s="8">
        <v>0</v>
      </c>
      <c r="AH549" s="8">
        <v>0</v>
      </c>
      <c r="AI549" s="8">
        <v>1</v>
      </c>
      <c r="AJ549" s="8">
        <v>0</v>
      </c>
      <c r="AK549" s="8">
        <v>0</v>
      </c>
      <c r="AL549" s="8">
        <v>1</v>
      </c>
      <c r="AM549" s="8">
        <v>1</v>
      </c>
      <c r="AN549" s="8">
        <v>0</v>
      </c>
      <c r="AO549" s="8">
        <v>0</v>
      </c>
      <c r="AP549" s="8">
        <v>1</v>
      </c>
      <c r="AQ549" s="8">
        <v>0</v>
      </c>
      <c r="AR549" s="8">
        <v>1</v>
      </c>
      <c r="AS549" s="8">
        <v>0</v>
      </c>
      <c r="AT549" s="8">
        <v>0</v>
      </c>
      <c r="AU549" s="8">
        <v>1</v>
      </c>
      <c r="AV549" s="8">
        <v>0</v>
      </c>
      <c r="AW549" s="8">
        <v>0</v>
      </c>
      <c r="AX549" s="8">
        <v>0</v>
      </c>
      <c r="AY549" s="8">
        <v>0</v>
      </c>
      <c r="AZ549" s="8">
        <v>0</v>
      </c>
      <c r="BA549" s="8">
        <v>0</v>
      </c>
      <c r="BB549" s="8">
        <v>0</v>
      </c>
      <c r="BC549" s="8">
        <v>0</v>
      </c>
      <c r="BD549" s="8">
        <v>0</v>
      </c>
      <c r="BE549" s="8">
        <v>0</v>
      </c>
      <c r="BF549" s="8">
        <v>0</v>
      </c>
      <c r="BG549" s="8">
        <v>0</v>
      </c>
      <c r="BH549" s="8">
        <v>0</v>
      </c>
      <c r="BI549" s="8">
        <v>0</v>
      </c>
      <c r="BJ549" s="8">
        <v>0</v>
      </c>
      <c r="BK549" s="8">
        <v>0</v>
      </c>
      <c r="BL549" s="8">
        <v>0</v>
      </c>
      <c r="BM549" s="8">
        <v>0</v>
      </c>
      <c r="BN549" s="8">
        <v>0</v>
      </c>
      <c r="BO549" s="8">
        <v>1</v>
      </c>
      <c r="BP549" s="8">
        <v>0</v>
      </c>
      <c r="BQ549" s="8">
        <v>0</v>
      </c>
      <c r="BR549" s="8">
        <v>0</v>
      </c>
      <c r="BS549" s="8">
        <f t="shared" si="526"/>
        <v>7</v>
      </c>
      <c r="BT549" s="8"/>
      <c r="BU549" s="2">
        <f t="shared" ref="BU549:BU650" si="752">SUM(AI549,BK549)</f>
        <v>1</v>
      </c>
      <c r="BV549" s="2">
        <f t="shared" ref="BV549:BV650" si="753">SUM(AK549, AL549, AM549,AJ549,BL549,BO549, AP549)</f>
        <v>4</v>
      </c>
      <c r="BW549" s="2">
        <f t="shared" ref="BW549:BW650" si="754">SUM(AN549, AO549, AS549)</f>
        <v>0</v>
      </c>
      <c r="BX549" s="2">
        <f t="shared" ref="BX549:BX650" si="755">SUM(AU549,AV549,AW549,AX549,AY549,AZ549,BA549,BB549,BC549,BD549,BE549,BF549,BG549,BH549,BI549,BJ549,BQ549,BR549,BM549)</f>
        <v>1</v>
      </c>
      <c r="BY549" s="2">
        <f t="shared" ref="BY549:BY650" si="756">SUM(BP549, BN549)</f>
        <v>0</v>
      </c>
      <c r="BZ549" s="2">
        <f t="shared" ref="BZ549:CA549" si="757">SUM(AQ549)</f>
        <v>0</v>
      </c>
      <c r="CA549" s="2">
        <f t="shared" si="757"/>
        <v>1</v>
      </c>
      <c r="CB549" s="2">
        <f t="shared" ref="CB549:CB650" si="758">SUM(AT549)</f>
        <v>0</v>
      </c>
    </row>
    <row r="550" spans="1:80" ht="16" x14ac:dyDescent="0.2">
      <c r="A550" s="3" t="s">
        <v>181</v>
      </c>
      <c r="B550" s="10">
        <v>724</v>
      </c>
      <c r="C550" s="5">
        <v>1</v>
      </c>
      <c r="D550" s="10">
        <v>1</v>
      </c>
      <c r="E550" s="10">
        <v>0</v>
      </c>
      <c r="F550" s="10">
        <v>1975</v>
      </c>
      <c r="G550" s="10" t="s">
        <v>90</v>
      </c>
      <c r="H550" s="7" t="str">
        <f t="shared" si="751"/>
        <v>No</v>
      </c>
      <c r="I550" s="54" t="s">
        <v>55</v>
      </c>
      <c r="J550" s="8">
        <v>4</v>
      </c>
      <c r="K550" s="8" t="s">
        <v>59</v>
      </c>
      <c r="L550" s="8" t="s">
        <v>52</v>
      </c>
      <c r="M550" s="8" t="s">
        <v>52</v>
      </c>
      <c r="N550" s="8">
        <v>0</v>
      </c>
      <c r="O550" s="8">
        <v>1</v>
      </c>
      <c r="P550" s="8">
        <v>1</v>
      </c>
      <c r="Q550" s="6" t="s">
        <v>60</v>
      </c>
      <c r="R550" s="9">
        <v>0.5</v>
      </c>
      <c r="S550" s="8">
        <v>0</v>
      </c>
      <c r="T550" s="8">
        <v>0</v>
      </c>
      <c r="U550" s="8">
        <v>0</v>
      </c>
      <c r="V550" s="8">
        <v>0</v>
      </c>
      <c r="W550" s="8">
        <v>1</v>
      </c>
      <c r="X550" s="8">
        <v>0</v>
      </c>
      <c r="Y550" s="8">
        <v>0</v>
      </c>
      <c r="Z550" s="8">
        <v>1</v>
      </c>
      <c r="AA550" s="8" t="s">
        <v>182</v>
      </c>
      <c r="AB550" s="8">
        <v>0</v>
      </c>
      <c r="AC550" s="8">
        <v>0</v>
      </c>
      <c r="AD550" s="8">
        <v>1</v>
      </c>
      <c r="AE550" s="8">
        <v>1</v>
      </c>
      <c r="AF550" s="8">
        <v>0</v>
      </c>
      <c r="AG550" s="8">
        <v>0</v>
      </c>
      <c r="AH550" s="8">
        <v>0</v>
      </c>
      <c r="AI550" s="8">
        <v>1</v>
      </c>
      <c r="AJ550" s="8">
        <v>0</v>
      </c>
      <c r="AK550" s="8">
        <v>0</v>
      </c>
      <c r="AL550" s="8">
        <v>1</v>
      </c>
      <c r="AM550" s="8">
        <v>1</v>
      </c>
      <c r="AN550" s="8">
        <v>0</v>
      </c>
      <c r="AO550" s="8">
        <v>0</v>
      </c>
      <c r="AP550" s="8">
        <v>1</v>
      </c>
      <c r="AQ550" s="8">
        <v>0</v>
      </c>
      <c r="AR550" s="8">
        <v>1</v>
      </c>
      <c r="AS550" s="8">
        <v>0</v>
      </c>
      <c r="AT550" s="8">
        <v>0</v>
      </c>
      <c r="AU550" s="8">
        <v>1</v>
      </c>
      <c r="AV550" s="8">
        <v>0</v>
      </c>
      <c r="AW550" s="8">
        <v>0</v>
      </c>
      <c r="AX550" s="8">
        <v>0</v>
      </c>
      <c r="AY550" s="8">
        <v>0</v>
      </c>
      <c r="AZ550" s="8">
        <v>0</v>
      </c>
      <c r="BA550" s="8">
        <v>0</v>
      </c>
      <c r="BB550" s="8">
        <v>0</v>
      </c>
      <c r="BC550" s="8">
        <v>0</v>
      </c>
      <c r="BD550" s="8">
        <v>0</v>
      </c>
      <c r="BE550" s="8">
        <v>0</v>
      </c>
      <c r="BF550" s="8">
        <v>0</v>
      </c>
      <c r="BG550" s="8">
        <v>0</v>
      </c>
      <c r="BH550" s="8">
        <v>0</v>
      </c>
      <c r="BI550" s="8">
        <v>0</v>
      </c>
      <c r="BJ550" s="8">
        <v>0</v>
      </c>
      <c r="BK550" s="8">
        <v>0</v>
      </c>
      <c r="BL550" s="8">
        <v>0</v>
      </c>
      <c r="BM550" s="8">
        <v>0</v>
      </c>
      <c r="BN550" s="8">
        <v>0</v>
      </c>
      <c r="BO550" s="8">
        <v>1</v>
      </c>
      <c r="BP550" s="8">
        <v>0</v>
      </c>
      <c r="BQ550" s="8">
        <v>0</v>
      </c>
      <c r="BR550" s="8">
        <v>0</v>
      </c>
      <c r="BS550" s="8">
        <f t="shared" si="526"/>
        <v>7</v>
      </c>
      <c r="BT550" s="8"/>
      <c r="BU550" s="2">
        <f t="shared" si="752"/>
        <v>1</v>
      </c>
      <c r="BV550" s="2">
        <f t="shared" si="753"/>
        <v>4</v>
      </c>
      <c r="BW550" s="2">
        <f t="shared" si="754"/>
        <v>0</v>
      </c>
      <c r="BX550" s="2">
        <f t="shared" si="755"/>
        <v>1</v>
      </c>
      <c r="BY550" s="2">
        <f t="shared" si="756"/>
        <v>0</v>
      </c>
      <c r="BZ550" s="2">
        <f t="shared" ref="BZ550:CA550" si="759">SUM(AQ550)</f>
        <v>0</v>
      </c>
      <c r="CA550" s="2">
        <f t="shared" si="759"/>
        <v>1</v>
      </c>
      <c r="CB550" s="2">
        <f t="shared" si="758"/>
        <v>0</v>
      </c>
    </row>
    <row r="551" spans="1:80" ht="16" x14ac:dyDescent="0.2">
      <c r="A551" s="3" t="s">
        <v>181</v>
      </c>
      <c r="B551" s="10">
        <v>724</v>
      </c>
      <c r="C551" s="5">
        <v>1</v>
      </c>
      <c r="D551" s="10">
        <v>1</v>
      </c>
      <c r="E551" s="10">
        <v>0</v>
      </c>
      <c r="F551" s="10">
        <v>1975</v>
      </c>
      <c r="G551" s="10" t="s">
        <v>91</v>
      </c>
      <c r="H551" s="7" t="str">
        <f t="shared" si="751"/>
        <v>No</v>
      </c>
      <c r="I551" s="54" t="s">
        <v>55</v>
      </c>
      <c r="J551" s="8">
        <v>4</v>
      </c>
      <c r="K551" s="8" t="s">
        <v>59</v>
      </c>
      <c r="L551" s="8" t="s">
        <v>52</v>
      </c>
      <c r="M551" s="8" t="s">
        <v>52</v>
      </c>
      <c r="N551" s="8">
        <v>0</v>
      </c>
      <c r="O551" s="8">
        <v>1</v>
      </c>
      <c r="P551" s="8">
        <v>1</v>
      </c>
      <c r="Q551" s="6" t="s">
        <v>60</v>
      </c>
      <c r="R551" s="9">
        <v>0.5</v>
      </c>
      <c r="S551" s="8">
        <v>0</v>
      </c>
      <c r="T551" s="8">
        <v>0</v>
      </c>
      <c r="U551" s="8">
        <v>0</v>
      </c>
      <c r="V551" s="8">
        <v>0</v>
      </c>
      <c r="W551" s="8">
        <v>1</v>
      </c>
      <c r="X551" s="8">
        <v>0</v>
      </c>
      <c r="Y551" s="8">
        <v>0</v>
      </c>
      <c r="Z551" s="8">
        <v>1</v>
      </c>
      <c r="AA551" s="8" t="s">
        <v>182</v>
      </c>
      <c r="AB551" s="8">
        <v>0</v>
      </c>
      <c r="AC551" s="8">
        <v>0</v>
      </c>
      <c r="AD551" s="8">
        <v>1</v>
      </c>
      <c r="AE551" s="8">
        <v>1</v>
      </c>
      <c r="AF551" s="8">
        <v>0</v>
      </c>
      <c r="AG551" s="8">
        <v>0</v>
      </c>
      <c r="AH551" s="8">
        <v>0</v>
      </c>
      <c r="AI551" s="8">
        <v>1</v>
      </c>
      <c r="AJ551" s="8">
        <v>0</v>
      </c>
      <c r="AK551" s="8">
        <v>0</v>
      </c>
      <c r="AL551" s="8">
        <v>1</v>
      </c>
      <c r="AM551" s="8">
        <v>1</v>
      </c>
      <c r="AN551" s="8">
        <v>0</v>
      </c>
      <c r="AO551" s="8">
        <v>0</v>
      </c>
      <c r="AP551" s="8">
        <v>1</v>
      </c>
      <c r="AQ551" s="8">
        <v>0</v>
      </c>
      <c r="AR551" s="8">
        <v>1</v>
      </c>
      <c r="AS551" s="8">
        <v>0</v>
      </c>
      <c r="AT551" s="8">
        <v>0</v>
      </c>
      <c r="AU551" s="8">
        <v>1</v>
      </c>
      <c r="AV551" s="8">
        <v>0</v>
      </c>
      <c r="AW551" s="8">
        <v>0</v>
      </c>
      <c r="AX551" s="8">
        <v>0</v>
      </c>
      <c r="AY551" s="8">
        <v>0</v>
      </c>
      <c r="AZ551" s="8">
        <v>0</v>
      </c>
      <c r="BA551" s="8">
        <v>0</v>
      </c>
      <c r="BB551" s="8">
        <v>0</v>
      </c>
      <c r="BC551" s="8">
        <v>0</v>
      </c>
      <c r="BD551" s="8">
        <v>0</v>
      </c>
      <c r="BE551" s="8">
        <v>0</v>
      </c>
      <c r="BF551" s="8">
        <v>0</v>
      </c>
      <c r="BG551" s="8">
        <v>0</v>
      </c>
      <c r="BH551" s="8">
        <v>0</v>
      </c>
      <c r="BI551" s="8">
        <v>0</v>
      </c>
      <c r="BJ551" s="8">
        <v>0</v>
      </c>
      <c r="BK551" s="8">
        <v>0</v>
      </c>
      <c r="BL551" s="8">
        <v>0</v>
      </c>
      <c r="BM551" s="8">
        <v>0</v>
      </c>
      <c r="BN551" s="8">
        <v>0</v>
      </c>
      <c r="BO551" s="8">
        <v>1</v>
      </c>
      <c r="BP551" s="8">
        <v>0</v>
      </c>
      <c r="BQ551" s="8">
        <v>0</v>
      </c>
      <c r="BR551" s="8">
        <v>0</v>
      </c>
      <c r="BS551" s="8">
        <f t="shared" si="526"/>
        <v>7</v>
      </c>
      <c r="BT551" s="8"/>
      <c r="BU551" s="2">
        <f t="shared" si="752"/>
        <v>1</v>
      </c>
      <c r="BV551" s="2">
        <f t="shared" si="753"/>
        <v>4</v>
      </c>
      <c r="BW551" s="2">
        <f t="shared" si="754"/>
        <v>0</v>
      </c>
      <c r="BX551" s="2">
        <f t="shared" si="755"/>
        <v>1</v>
      </c>
      <c r="BY551" s="2">
        <f t="shared" si="756"/>
        <v>0</v>
      </c>
      <c r="BZ551" s="2">
        <f t="shared" ref="BZ551:CA551" si="760">SUM(AQ551)</f>
        <v>0</v>
      </c>
      <c r="CA551" s="2">
        <f t="shared" si="760"/>
        <v>1</v>
      </c>
      <c r="CB551" s="2">
        <f t="shared" si="758"/>
        <v>0</v>
      </c>
    </row>
    <row r="552" spans="1:80" ht="16" x14ac:dyDescent="0.2">
      <c r="A552" s="3" t="s">
        <v>181</v>
      </c>
      <c r="B552" s="10">
        <v>724</v>
      </c>
      <c r="C552" s="5">
        <v>1</v>
      </c>
      <c r="D552" s="10">
        <v>1</v>
      </c>
      <c r="E552" s="10">
        <v>0</v>
      </c>
      <c r="F552" s="10">
        <v>1975</v>
      </c>
      <c r="G552" s="10" t="s">
        <v>93</v>
      </c>
      <c r="H552" s="7" t="str">
        <f t="shared" si="751"/>
        <v>No</v>
      </c>
      <c r="I552" s="54" t="s">
        <v>55</v>
      </c>
      <c r="J552" s="8">
        <v>4</v>
      </c>
      <c r="K552" s="8" t="s">
        <v>59</v>
      </c>
      <c r="L552" s="8" t="s">
        <v>52</v>
      </c>
      <c r="M552" s="8" t="s">
        <v>52</v>
      </c>
      <c r="N552" s="8">
        <v>0</v>
      </c>
      <c r="O552" s="8">
        <v>1</v>
      </c>
      <c r="P552" s="8">
        <v>1</v>
      </c>
      <c r="Q552" s="6" t="s">
        <v>60</v>
      </c>
      <c r="R552" s="9">
        <v>0.5</v>
      </c>
      <c r="S552" s="8">
        <v>0</v>
      </c>
      <c r="T552" s="8">
        <v>0</v>
      </c>
      <c r="U552" s="8">
        <v>0</v>
      </c>
      <c r="V552" s="8">
        <v>0</v>
      </c>
      <c r="W552" s="8">
        <v>1</v>
      </c>
      <c r="X552" s="8">
        <v>0</v>
      </c>
      <c r="Y552" s="8">
        <v>0</v>
      </c>
      <c r="Z552" s="8">
        <v>1</v>
      </c>
      <c r="AA552" s="8" t="s">
        <v>182</v>
      </c>
      <c r="AB552" s="8">
        <v>0</v>
      </c>
      <c r="AC552" s="8">
        <v>0</v>
      </c>
      <c r="AD552" s="8">
        <v>1</v>
      </c>
      <c r="AE552" s="8">
        <v>1</v>
      </c>
      <c r="AF552" s="8">
        <v>0</v>
      </c>
      <c r="AG552" s="8">
        <v>0</v>
      </c>
      <c r="AH552" s="8">
        <v>0</v>
      </c>
      <c r="AI552" s="8">
        <v>1</v>
      </c>
      <c r="AJ552" s="8">
        <v>0</v>
      </c>
      <c r="AK552" s="8">
        <v>0</v>
      </c>
      <c r="AL552" s="8">
        <v>1</v>
      </c>
      <c r="AM552" s="8">
        <v>1</v>
      </c>
      <c r="AN552" s="8">
        <v>0</v>
      </c>
      <c r="AO552" s="8">
        <v>0</v>
      </c>
      <c r="AP552" s="8">
        <v>1</v>
      </c>
      <c r="AQ552" s="8">
        <v>0</v>
      </c>
      <c r="AR552" s="8">
        <v>1</v>
      </c>
      <c r="AS552" s="8">
        <v>0</v>
      </c>
      <c r="AT552" s="8">
        <v>0</v>
      </c>
      <c r="AU552" s="8">
        <v>1</v>
      </c>
      <c r="AV552" s="8">
        <v>0</v>
      </c>
      <c r="AW552" s="8">
        <v>0</v>
      </c>
      <c r="AX552" s="8">
        <v>0</v>
      </c>
      <c r="AY552" s="8">
        <v>0</v>
      </c>
      <c r="AZ552" s="8">
        <v>0</v>
      </c>
      <c r="BA552" s="8">
        <v>0</v>
      </c>
      <c r="BB552" s="8">
        <v>0</v>
      </c>
      <c r="BC552" s="8">
        <v>0</v>
      </c>
      <c r="BD552" s="8">
        <v>0</v>
      </c>
      <c r="BE552" s="8">
        <v>0</v>
      </c>
      <c r="BF552" s="8">
        <v>0</v>
      </c>
      <c r="BG552" s="8">
        <v>0</v>
      </c>
      <c r="BH552" s="8">
        <v>0</v>
      </c>
      <c r="BI552" s="8">
        <v>0</v>
      </c>
      <c r="BJ552" s="8">
        <v>0</v>
      </c>
      <c r="BK552" s="8">
        <v>0</v>
      </c>
      <c r="BL552" s="8">
        <v>0</v>
      </c>
      <c r="BM552" s="8">
        <v>0</v>
      </c>
      <c r="BN552" s="8">
        <v>0</v>
      </c>
      <c r="BO552" s="8">
        <v>1</v>
      </c>
      <c r="BP552" s="8">
        <v>0</v>
      </c>
      <c r="BQ552" s="8">
        <v>0</v>
      </c>
      <c r="BR552" s="8">
        <v>0</v>
      </c>
      <c r="BS552" s="8">
        <f t="shared" si="526"/>
        <v>7</v>
      </c>
      <c r="BT552" s="8"/>
      <c r="BU552" s="2">
        <f t="shared" si="752"/>
        <v>1</v>
      </c>
      <c r="BV552" s="2">
        <f t="shared" si="753"/>
        <v>4</v>
      </c>
      <c r="BW552" s="2">
        <f t="shared" si="754"/>
        <v>0</v>
      </c>
      <c r="BX552" s="2">
        <f t="shared" si="755"/>
        <v>1</v>
      </c>
      <c r="BY552" s="2">
        <f t="shared" si="756"/>
        <v>0</v>
      </c>
      <c r="BZ552" s="2">
        <f t="shared" ref="BZ552:CA552" si="761">SUM(AQ552)</f>
        <v>0</v>
      </c>
      <c r="CA552" s="2">
        <f t="shared" si="761"/>
        <v>1</v>
      </c>
      <c r="CB552" s="2">
        <f t="shared" si="758"/>
        <v>0</v>
      </c>
    </row>
    <row r="553" spans="1:80" ht="16" x14ac:dyDescent="0.2">
      <c r="A553" s="3" t="s">
        <v>181</v>
      </c>
      <c r="B553" s="10">
        <v>724</v>
      </c>
      <c r="C553" s="5">
        <v>1</v>
      </c>
      <c r="D553" s="10">
        <v>1</v>
      </c>
      <c r="E553" s="10">
        <v>0</v>
      </c>
      <c r="F553" s="10">
        <v>1975</v>
      </c>
      <c r="G553" s="10" t="s">
        <v>70</v>
      </c>
      <c r="H553" s="7" t="str">
        <f t="shared" si="751"/>
        <v>No</v>
      </c>
      <c r="I553" s="54" t="s">
        <v>55</v>
      </c>
      <c r="J553" s="8">
        <v>4</v>
      </c>
      <c r="K553" s="8" t="s">
        <v>59</v>
      </c>
      <c r="L553" s="8" t="s">
        <v>52</v>
      </c>
      <c r="M553" s="8" t="s">
        <v>52</v>
      </c>
      <c r="N553" s="8">
        <v>0</v>
      </c>
      <c r="O553" s="8">
        <v>1</v>
      </c>
      <c r="P553" s="8">
        <v>1</v>
      </c>
      <c r="Q553" s="6" t="s">
        <v>60</v>
      </c>
      <c r="R553" s="9">
        <v>0.5</v>
      </c>
      <c r="S553" s="8">
        <v>0</v>
      </c>
      <c r="T553" s="8">
        <v>0</v>
      </c>
      <c r="U553" s="8">
        <v>0</v>
      </c>
      <c r="V553" s="8">
        <v>0</v>
      </c>
      <c r="W553" s="8">
        <v>1</v>
      </c>
      <c r="X553" s="8">
        <v>0</v>
      </c>
      <c r="Y553" s="8">
        <v>0</v>
      </c>
      <c r="Z553" s="8">
        <v>1</v>
      </c>
      <c r="AA553" s="8" t="s">
        <v>182</v>
      </c>
      <c r="AB553" s="8">
        <v>0</v>
      </c>
      <c r="AC553" s="8">
        <v>0</v>
      </c>
      <c r="AD553" s="8">
        <v>1</v>
      </c>
      <c r="AE553" s="8">
        <v>1</v>
      </c>
      <c r="AF553" s="8">
        <v>0</v>
      </c>
      <c r="AG553" s="8">
        <v>0</v>
      </c>
      <c r="AH553" s="8">
        <v>0</v>
      </c>
      <c r="AI553" s="8">
        <v>1</v>
      </c>
      <c r="AJ553" s="8">
        <v>0</v>
      </c>
      <c r="AK553" s="8">
        <v>0</v>
      </c>
      <c r="AL553" s="8">
        <v>1</v>
      </c>
      <c r="AM553" s="8">
        <v>1</v>
      </c>
      <c r="AN553" s="8">
        <v>0</v>
      </c>
      <c r="AO553" s="8">
        <v>0</v>
      </c>
      <c r="AP553" s="8">
        <v>1</v>
      </c>
      <c r="AQ553" s="8">
        <v>0</v>
      </c>
      <c r="AR553" s="8">
        <v>1</v>
      </c>
      <c r="AS553" s="8">
        <v>0</v>
      </c>
      <c r="AT553" s="8">
        <v>0</v>
      </c>
      <c r="AU553" s="8">
        <v>1</v>
      </c>
      <c r="AV553" s="8">
        <v>0</v>
      </c>
      <c r="AW553" s="8">
        <v>0</v>
      </c>
      <c r="AX553" s="8">
        <v>0</v>
      </c>
      <c r="AY553" s="8">
        <v>0</v>
      </c>
      <c r="AZ553" s="8">
        <v>0</v>
      </c>
      <c r="BA553" s="8">
        <v>0</v>
      </c>
      <c r="BB553" s="8">
        <v>0</v>
      </c>
      <c r="BC553" s="8">
        <v>0</v>
      </c>
      <c r="BD553" s="8">
        <v>0</v>
      </c>
      <c r="BE553" s="8">
        <v>0</v>
      </c>
      <c r="BF553" s="8">
        <v>0</v>
      </c>
      <c r="BG553" s="8">
        <v>0</v>
      </c>
      <c r="BH553" s="8">
        <v>0</v>
      </c>
      <c r="BI553" s="8">
        <v>0</v>
      </c>
      <c r="BJ553" s="8">
        <v>0</v>
      </c>
      <c r="BK553" s="8">
        <v>0</v>
      </c>
      <c r="BL553" s="8">
        <v>0</v>
      </c>
      <c r="BM553" s="8">
        <v>0</v>
      </c>
      <c r="BN553" s="8">
        <v>0</v>
      </c>
      <c r="BO553" s="8">
        <v>1</v>
      </c>
      <c r="BP553" s="8">
        <v>0</v>
      </c>
      <c r="BQ553" s="8">
        <v>0</v>
      </c>
      <c r="BR553" s="8">
        <v>0</v>
      </c>
      <c r="BS553" s="8">
        <f t="shared" si="526"/>
        <v>7</v>
      </c>
      <c r="BT553" s="8"/>
      <c r="BU553" s="2">
        <f t="shared" si="752"/>
        <v>1</v>
      </c>
      <c r="BV553" s="2">
        <f t="shared" si="753"/>
        <v>4</v>
      </c>
      <c r="BW553" s="2">
        <f t="shared" si="754"/>
        <v>0</v>
      </c>
      <c r="BX553" s="2">
        <f t="shared" si="755"/>
        <v>1</v>
      </c>
      <c r="BY553" s="2">
        <f t="shared" si="756"/>
        <v>0</v>
      </c>
      <c r="BZ553" s="2">
        <f t="shared" ref="BZ553:CA553" si="762">SUM(AQ553)</f>
        <v>0</v>
      </c>
      <c r="CA553" s="2">
        <f t="shared" si="762"/>
        <v>1</v>
      </c>
      <c r="CB553" s="2">
        <f t="shared" si="758"/>
        <v>0</v>
      </c>
    </row>
    <row r="554" spans="1:80" ht="16" x14ac:dyDescent="0.2">
      <c r="A554" s="3" t="s">
        <v>181</v>
      </c>
      <c r="B554" s="10">
        <v>724</v>
      </c>
      <c r="C554" s="5">
        <v>1</v>
      </c>
      <c r="D554" s="10">
        <v>1</v>
      </c>
      <c r="E554" s="10">
        <v>0</v>
      </c>
      <c r="F554" s="10">
        <v>1975</v>
      </c>
      <c r="G554" s="10" t="s">
        <v>71</v>
      </c>
      <c r="H554" s="7" t="str">
        <f t="shared" si="751"/>
        <v>No</v>
      </c>
      <c r="I554" s="54" t="s">
        <v>55</v>
      </c>
      <c r="J554" s="8">
        <v>4</v>
      </c>
      <c r="K554" s="8" t="s">
        <v>59</v>
      </c>
      <c r="L554" s="8" t="s">
        <v>52</v>
      </c>
      <c r="M554" s="8" t="s">
        <v>52</v>
      </c>
      <c r="N554" s="8">
        <v>0</v>
      </c>
      <c r="O554" s="8">
        <v>1</v>
      </c>
      <c r="P554" s="8">
        <v>1</v>
      </c>
      <c r="Q554" s="6" t="s">
        <v>60</v>
      </c>
      <c r="R554" s="9">
        <v>0.5</v>
      </c>
      <c r="S554" s="8">
        <v>0</v>
      </c>
      <c r="T554" s="8">
        <v>0</v>
      </c>
      <c r="U554" s="8">
        <v>0</v>
      </c>
      <c r="V554" s="8">
        <v>0</v>
      </c>
      <c r="W554" s="8">
        <v>1</v>
      </c>
      <c r="X554" s="8">
        <v>0</v>
      </c>
      <c r="Y554" s="8">
        <v>0</v>
      </c>
      <c r="Z554" s="8">
        <v>1</v>
      </c>
      <c r="AA554" s="8" t="s">
        <v>182</v>
      </c>
      <c r="AB554" s="8">
        <v>0</v>
      </c>
      <c r="AC554" s="8">
        <v>0</v>
      </c>
      <c r="AD554" s="8">
        <v>1</v>
      </c>
      <c r="AE554" s="8">
        <v>1</v>
      </c>
      <c r="AF554" s="8">
        <v>0</v>
      </c>
      <c r="AG554" s="8">
        <v>0</v>
      </c>
      <c r="AH554" s="8">
        <v>0</v>
      </c>
      <c r="AI554" s="8">
        <v>1</v>
      </c>
      <c r="AJ554" s="8">
        <v>0</v>
      </c>
      <c r="AK554" s="8">
        <v>0</v>
      </c>
      <c r="AL554" s="8">
        <v>1</v>
      </c>
      <c r="AM554" s="8">
        <v>1</v>
      </c>
      <c r="AN554" s="8">
        <v>0</v>
      </c>
      <c r="AO554" s="8">
        <v>0</v>
      </c>
      <c r="AP554" s="8">
        <v>1</v>
      </c>
      <c r="AQ554" s="8">
        <v>0</v>
      </c>
      <c r="AR554" s="8">
        <v>1</v>
      </c>
      <c r="AS554" s="8">
        <v>0</v>
      </c>
      <c r="AT554" s="8">
        <v>0</v>
      </c>
      <c r="AU554" s="8">
        <v>1</v>
      </c>
      <c r="AV554" s="8">
        <v>0</v>
      </c>
      <c r="AW554" s="8">
        <v>0</v>
      </c>
      <c r="AX554" s="8">
        <v>0</v>
      </c>
      <c r="AY554" s="8">
        <v>0</v>
      </c>
      <c r="AZ554" s="8">
        <v>0</v>
      </c>
      <c r="BA554" s="8">
        <v>0</v>
      </c>
      <c r="BB554" s="8">
        <v>0</v>
      </c>
      <c r="BC554" s="8">
        <v>0</v>
      </c>
      <c r="BD554" s="8">
        <v>0</v>
      </c>
      <c r="BE554" s="8">
        <v>0</v>
      </c>
      <c r="BF554" s="8">
        <v>0</v>
      </c>
      <c r="BG554" s="8">
        <v>0</v>
      </c>
      <c r="BH554" s="8">
        <v>0</v>
      </c>
      <c r="BI554" s="8">
        <v>0</v>
      </c>
      <c r="BJ554" s="8">
        <v>0</v>
      </c>
      <c r="BK554" s="8">
        <v>0</v>
      </c>
      <c r="BL554" s="8">
        <v>0</v>
      </c>
      <c r="BM554" s="8">
        <v>0</v>
      </c>
      <c r="BN554" s="8">
        <v>0</v>
      </c>
      <c r="BO554" s="8">
        <v>1</v>
      </c>
      <c r="BP554" s="8">
        <v>0</v>
      </c>
      <c r="BQ554" s="8">
        <v>0</v>
      </c>
      <c r="BR554" s="8">
        <v>0</v>
      </c>
      <c r="BS554" s="8">
        <f t="shared" si="526"/>
        <v>7</v>
      </c>
      <c r="BT554" s="8"/>
      <c r="BU554" s="2">
        <f t="shared" si="752"/>
        <v>1</v>
      </c>
      <c r="BV554" s="2">
        <f t="shared" si="753"/>
        <v>4</v>
      </c>
      <c r="BW554" s="2">
        <f t="shared" si="754"/>
        <v>0</v>
      </c>
      <c r="BX554" s="2">
        <f t="shared" si="755"/>
        <v>1</v>
      </c>
      <c r="BY554" s="2">
        <f t="shared" si="756"/>
        <v>0</v>
      </c>
      <c r="BZ554" s="2">
        <f t="shared" ref="BZ554:CA554" si="763">SUM(AQ554)</f>
        <v>0</v>
      </c>
      <c r="CA554" s="2">
        <f t="shared" si="763"/>
        <v>1</v>
      </c>
      <c r="CB554" s="2">
        <f t="shared" si="758"/>
        <v>0</v>
      </c>
    </row>
    <row r="555" spans="1:80" ht="16" x14ac:dyDescent="0.2">
      <c r="A555" s="3" t="s">
        <v>181</v>
      </c>
      <c r="B555" s="10">
        <v>724</v>
      </c>
      <c r="C555" s="5">
        <v>1</v>
      </c>
      <c r="D555" s="10">
        <v>1</v>
      </c>
      <c r="E555" s="10">
        <v>0</v>
      </c>
      <c r="F555" s="10">
        <v>1975</v>
      </c>
      <c r="G555" s="10" t="s">
        <v>72</v>
      </c>
      <c r="H555" s="7" t="str">
        <f t="shared" si="751"/>
        <v>Yes</v>
      </c>
      <c r="I555" s="54" t="s">
        <v>56</v>
      </c>
      <c r="J555" s="8">
        <v>5</v>
      </c>
      <c r="K555" s="8" t="s">
        <v>59</v>
      </c>
      <c r="L555" s="8" t="s">
        <v>52</v>
      </c>
      <c r="M555" s="8" t="s">
        <v>52</v>
      </c>
      <c r="N555" s="8">
        <v>0</v>
      </c>
      <c r="O555" s="8">
        <v>1</v>
      </c>
      <c r="P555" s="8">
        <v>1</v>
      </c>
      <c r="Q555" s="6" t="s">
        <v>60</v>
      </c>
      <c r="R555" s="9">
        <v>0.5</v>
      </c>
      <c r="S555" s="8">
        <v>0</v>
      </c>
      <c r="T555" s="8">
        <v>0</v>
      </c>
      <c r="U555" s="8">
        <v>0</v>
      </c>
      <c r="V555" s="8">
        <v>0</v>
      </c>
      <c r="W555" s="8">
        <v>1</v>
      </c>
      <c r="X555" s="8">
        <v>0</v>
      </c>
      <c r="Y555" s="8">
        <v>0</v>
      </c>
      <c r="Z555" s="8">
        <v>1</v>
      </c>
      <c r="AA555" s="8" t="s">
        <v>182</v>
      </c>
      <c r="AB555" s="8">
        <v>0</v>
      </c>
      <c r="AC555" s="8">
        <v>0</v>
      </c>
      <c r="AD555" s="8">
        <v>1</v>
      </c>
      <c r="AE555" s="8">
        <v>1</v>
      </c>
      <c r="AF555" s="8">
        <v>0</v>
      </c>
      <c r="AG555" s="8">
        <v>0</v>
      </c>
      <c r="AH555" s="8">
        <v>0</v>
      </c>
      <c r="AI555" s="8">
        <v>1</v>
      </c>
      <c r="AJ555" s="8">
        <v>1</v>
      </c>
      <c r="AK555" s="8">
        <v>0</v>
      </c>
      <c r="AL555" s="8">
        <v>1</v>
      </c>
      <c r="AM555" s="8">
        <v>1</v>
      </c>
      <c r="AN555" s="8">
        <v>0</v>
      </c>
      <c r="AO555" s="8">
        <v>0</v>
      </c>
      <c r="AP555" s="8">
        <v>1</v>
      </c>
      <c r="AQ555" s="8">
        <v>0</v>
      </c>
      <c r="AR555" s="8">
        <v>1</v>
      </c>
      <c r="AS555" s="8">
        <v>0</v>
      </c>
      <c r="AT555" s="8">
        <v>0</v>
      </c>
      <c r="AU555" s="8">
        <v>1</v>
      </c>
      <c r="AV555" s="8">
        <v>0</v>
      </c>
      <c r="AW555" s="8">
        <v>0</v>
      </c>
      <c r="AX555" s="8">
        <v>0</v>
      </c>
      <c r="AY555" s="8">
        <v>0</v>
      </c>
      <c r="AZ555" s="8">
        <v>0</v>
      </c>
      <c r="BA555" s="8">
        <v>0</v>
      </c>
      <c r="BB555" s="8">
        <v>0</v>
      </c>
      <c r="BC555" s="8">
        <v>0</v>
      </c>
      <c r="BD555" s="8">
        <v>0</v>
      </c>
      <c r="BE555" s="8">
        <v>0</v>
      </c>
      <c r="BF555" s="8">
        <v>0</v>
      </c>
      <c r="BG555" s="8">
        <v>0</v>
      </c>
      <c r="BH555" s="8">
        <v>0</v>
      </c>
      <c r="BI555" s="8">
        <v>0</v>
      </c>
      <c r="BJ555" s="8">
        <v>0</v>
      </c>
      <c r="BK555" s="8">
        <v>0</v>
      </c>
      <c r="BL555" s="8">
        <v>1</v>
      </c>
      <c r="BM555" s="8">
        <v>0</v>
      </c>
      <c r="BN555" s="8">
        <v>0</v>
      </c>
      <c r="BO555" s="8">
        <v>1</v>
      </c>
      <c r="BP555" s="8">
        <v>0</v>
      </c>
      <c r="BQ555" s="8">
        <v>0</v>
      </c>
      <c r="BR555" s="8">
        <v>0</v>
      </c>
      <c r="BS555" s="8">
        <f t="shared" si="526"/>
        <v>9</v>
      </c>
      <c r="BT555" s="8"/>
      <c r="BU555" s="2">
        <f t="shared" si="752"/>
        <v>1</v>
      </c>
      <c r="BV555" s="2">
        <f t="shared" si="753"/>
        <v>6</v>
      </c>
      <c r="BW555" s="2">
        <f t="shared" si="754"/>
        <v>0</v>
      </c>
      <c r="BX555" s="2">
        <f t="shared" si="755"/>
        <v>1</v>
      </c>
      <c r="BY555" s="2">
        <f t="shared" si="756"/>
        <v>0</v>
      </c>
      <c r="BZ555" s="2">
        <f t="shared" ref="BZ555:CA555" si="764">SUM(AQ555)</f>
        <v>0</v>
      </c>
      <c r="CA555" s="2">
        <f t="shared" si="764"/>
        <v>1</v>
      </c>
      <c r="CB555" s="2">
        <f t="shared" si="758"/>
        <v>0</v>
      </c>
    </row>
    <row r="556" spans="1:80" ht="16" x14ac:dyDescent="0.2">
      <c r="A556" s="3" t="s">
        <v>181</v>
      </c>
      <c r="B556" s="10">
        <v>724</v>
      </c>
      <c r="C556" s="5">
        <v>1</v>
      </c>
      <c r="D556" s="10">
        <v>1</v>
      </c>
      <c r="E556" s="10">
        <v>0</v>
      </c>
      <c r="F556" s="10">
        <v>1975</v>
      </c>
      <c r="G556" s="10" t="s">
        <v>73</v>
      </c>
      <c r="H556" s="7" t="str">
        <f t="shared" si="751"/>
        <v>No</v>
      </c>
      <c r="I556" s="54" t="s">
        <v>55</v>
      </c>
      <c r="J556" s="8">
        <v>5</v>
      </c>
      <c r="K556" s="8" t="s">
        <v>59</v>
      </c>
      <c r="L556" s="8" t="s">
        <v>52</v>
      </c>
      <c r="M556" s="8" t="s">
        <v>52</v>
      </c>
      <c r="N556" s="8">
        <v>0</v>
      </c>
      <c r="O556" s="8">
        <v>1</v>
      </c>
      <c r="P556" s="8">
        <v>1</v>
      </c>
      <c r="Q556" s="6" t="s">
        <v>60</v>
      </c>
      <c r="R556" s="9">
        <v>0.5</v>
      </c>
      <c r="S556" s="8">
        <v>0</v>
      </c>
      <c r="T556" s="8">
        <v>0</v>
      </c>
      <c r="U556" s="8">
        <v>0</v>
      </c>
      <c r="V556" s="8">
        <v>0</v>
      </c>
      <c r="W556" s="8">
        <v>1</v>
      </c>
      <c r="X556" s="8">
        <v>0</v>
      </c>
      <c r="Y556" s="8">
        <v>0</v>
      </c>
      <c r="Z556" s="8">
        <v>1</v>
      </c>
      <c r="AA556" s="8" t="s">
        <v>182</v>
      </c>
      <c r="AB556" s="8">
        <v>0</v>
      </c>
      <c r="AC556" s="8">
        <v>0</v>
      </c>
      <c r="AD556" s="8">
        <v>1</v>
      </c>
      <c r="AE556" s="8">
        <v>1</v>
      </c>
      <c r="AF556" s="8">
        <v>0</v>
      </c>
      <c r="AG556" s="8">
        <v>0</v>
      </c>
      <c r="AH556" s="8">
        <v>0</v>
      </c>
      <c r="AI556" s="8">
        <v>1</v>
      </c>
      <c r="AJ556" s="8">
        <v>1</v>
      </c>
      <c r="AK556" s="8">
        <v>0</v>
      </c>
      <c r="AL556" s="8">
        <v>1</v>
      </c>
      <c r="AM556" s="8">
        <v>1</v>
      </c>
      <c r="AN556" s="8">
        <v>0</v>
      </c>
      <c r="AO556" s="8">
        <v>0</v>
      </c>
      <c r="AP556" s="8">
        <v>1</v>
      </c>
      <c r="AQ556" s="8">
        <v>0</v>
      </c>
      <c r="AR556" s="8">
        <v>1</v>
      </c>
      <c r="AS556" s="8">
        <v>0</v>
      </c>
      <c r="AT556" s="8">
        <v>0</v>
      </c>
      <c r="AU556" s="8">
        <v>1</v>
      </c>
      <c r="AV556" s="8">
        <v>0</v>
      </c>
      <c r="AW556" s="8">
        <v>0</v>
      </c>
      <c r="AX556" s="8">
        <v>0</v>
      </c>
      <c r="AY556" s="8">
        <v>0</v>
      </c>
      <c r="AZ556" s="8">
        <v>0</v>
      </c>
      <c r="BA556" s="8">
        <v>0</v>
      </c>
      <c r="BB556" s="8">
        <v>0</v>
      </c>
      <c r="BC556" s="8">
        <v>0</v>
      </c>
      <c r="BD556" s="8">
        <v>0</v>
      </c>
      <c r="BE556" s="8">
        <v>0</v>
      </c>
      <c r="BF556" s="8">
        <v>0</v>
      </c>
      <c r="BG556" s="8">
        <v>0</v>
      </c>
      <c r="BH556" s="8">
        <v>0</v>
      </c>
      <c r="BI556" s="8">
        <v>0</v>
      </c>
      <c r="BJ556" s="8">
        <v>0</v>
      </c>
      <c r="BK556" s="8">
        <v>0</v>
      </c>
      <c r="BL556" s="8">
        <v>1</v>
      </c>
      <c r="BM556" s="8">
        <v>0</v>
      </c>
      <c r="BN556" s="8">
        <v>0</v>
      </c>
      <c r="BO556" s="8">
        <v>1</v>
      </c>
      <c r="BP556" s="8">
        <v>0</v>
      </c>
      <c r="BQ556" s="8">
        <v>0</v>
      </c>
      <c r="BR556" s="8">
        <v>0</v>
      </c>
      <c r="BS556" s="8">
        <f t="shared" si="526"/>
        <v>9</v>
      </c>
      <c r="BT556" s="8"/>
      <c r="BU556" s="2">
        <f t="shared" si="752"/>
        <v>1</v>
      </c>
      <c r="BV556" s="2">
        <f t="shared" si="753"/>
        <v>6</v>
      </c>
      <c r="BW556" s="2">
        <f t="shared" si="754"/>
        <v>0</v>
      </c>
      <c r="BX556" s="2">
        <f t="shared" si="755"/>
        <v>1</v>
      </c>
      <c r="BY556" s="2">
        <f t="shared" si="756"/>
        <v>0</v>
      </c>
      <c r="BZ556" s="2">
        <f t="shared" ref="BZ556:CA556" si="765">SUM(AQ556)</f>
        <v>0</v>
      </c>
      <c r="CA556" s="2">
        <f t="shared" si="765"/>
        <v>1</v>
      </c>
      <c r="CB556" s="2">
        <f t="shared" si="758"/>
        <v>0</v>
      </c>
    </row>
    <row r="557" spans="1:80" ht="16" x14ac:dyDescent="0.2">
      <c r="A557" s="3" t="s">
        <v>181</v>
      </c>
      <c r="B557" s="10">
        <v>724</v>
      </c>
      <c r="C557" s="5">
        <v>1</v>
      </c>
      <c r="D557" s="10">
        <v>1</v>
      </c>
      <c r="E557" s="10">
        <v>0</v>
      </c>
      <c r="F557" s="10">
        <v>1975</v>
      </c>
      <c r="G557" s="10" t="s">
        <v>74</v>
      </c>
      <c r="H557" s="7" t="str">
        <f t="shared" si="751"/>
        <v>No</v>
      </c>
      <c r="I557" s="54" t="s">
        <v>55</v>
      </c>
      <c r="J557" s="8">
        <v>5</v>
      </c>
      <c r="K557" s="8" t="s">
        <v>59</v>
      </c>
      <c r="L557" s="8" t="s">
        <v>52</v>
      </c>
      <c r="M557" s="8" t="s">
        <v>52</v>
      </c>
      <c r="N557" s="8">
        <v>0</v>
      </c>
      <c r="O557" s="8">
        <v>1</v>
      </c>
      <c r="P557" s="8">
        <v>1</v>
      </c>
      <c r="Q557" s="6" t="s">
        <v>60</v>
      </c>
      <c r="R557" s="9">
        <v>0.5</v>
      </c>
      <c r="S557" s="8">
        <v>0</v>
      </c>
      <c r="T557" s="8">
        <v>0</v>
      </c>
      <c r="U557" s="8">
        <v>0</v>
      </c>
      <c r="V557" s="8">
        <v>0</v>
      </c>
      <c r="W557" s="8">
        <v>1</v>
      </c>
      <c r="X557" s="8">
        <v>0</v>
      </c>
      <c r="Y557" s="8">
        <v>0</v>
      </c>
      <c r="Z557" s="8">
        <v>1</v>
      </c>
      <c r="AA557" s="8" t="s">
        <v>182</v>
      </c>
      <c r="AB557" s="8">
        <v>0</v>
      </c>
      <c r="AC557" s="8">
        <v>0</v>
      </c>
      <c r="AD557" s="8">
        <v>1</v>
      </c>
      <c r="AE557" s="8">
        <v>1</v>
      </c>
      <c r="AF557" s="8">
        <v>0</v>
      </c>
      <c r="AG557" s="8">
        <v>0</v>
      </c>
      <c r="AH557" s="8">
        <v>0</v>
      </c>
      <c r="AI557" s="8">
        <v>1</v>
      </c>
      <c r="AJ557" s="8">
        <v>1</v>
      </c>
      <c r="AK557" s="8">
        <v>0</v>
      </c>
      <c r="AL557" s="8">
        <v>1</v>
      </c>
      <c r="AM557" s="8">
        <v>1</v>
      </c>
      <c r="AN557" s="8">
        <v>0</v>
      </c>
      <c r="AO557" s="8">
        <v>0</v>
      </c>
      <c r="AP557" s="8">
        <v>1</v>
      </c>
      <c r="AQ557" s="8">
        <v>0</v>
      </c>
      <c r="AR557" s="8">
        <v>1</v>
      </c>
      <c r="AS557" s="8">
        <v>0</v>
      </c>
      <c r="AT557" s="8">
        <v>0</v>
      </c>
      <c r="AU557" s="8">
        <v>1</v>
      </c>
      <c r="AV557" s="8">
        <v>0</v>
      </c>
      <c r="AW557" s="8">
        <v>0</v>
      </c>
      <c r="AX557" s="8">
        <v>0</v>
      </c>
      <c r="AY557" s="8">
        <v>0</v>
      </c>
      <c r="AZ557" s="8">
        <v>0</v>
      </c>
      <c r="BA557" s="8">
        <v>0</v>
      </c>
      <c r="BB557" s="8">
        <v>0</v>
      </c>
      <c r="BC557" s="8">
        <v>0</v>
      </c>
      <c r="BD557" s="8">
        <v>0</v>
      </c>
      <c r="BE557" s="8">
        <v>0</v>
      </c>
      <c r="BF557" s="8">
        <v>0</v>
      </c>
      <c r="BG557" s="8">
        <v>0</v>
      </c>
      <c r="BH557" s="8">
        <v>0</v>
      </c>
      <c r="BI557" s="8">
        <v>0</v>
      </c>
      <c r="BJ557" s="8">
        <v>0</v>
      </c>
      <c r="BK557" s="8">
        <v>0</v>
      </c>
      <c r="BL557" s="8">
        <v>1</v>
      </c>
      <c r="BM557" s="8">
        <v>0</v>
      </c>
      <c r="BN557" s="8">
        <v>0</v>
      </c>
      <c r="BO557" s="8">
        <v>1</v>
      </c>
      <c r="BP557" s="8">
        <v>0</v>
      </c>
      <c r="BQ557" s="8">
        <v>0</v>
      </c>
      <c r="BR557" s="8">
        <v>0</v>
      </c>
      <c r="BS557" s="8">
        <f t="shared" si="526"/>
        <v>9</v>
      </c>
      <c r="BT557" s="8"/>
      <c r="BU557" s="2">
        <f t="shared" si="752"/>
        <v>1</v>
      </c>
      <c r="BV557" s="2">
        <f t="shared" si="753"/>
        <v>6</v>
      </c>
      <c r="BW557" s="2">
        <f t="shared" si="754"/>
        <v>0</v>
      </c>
      <c r="BX557" s="2">
        <f t="shared" si="755"/>
        <v>1</v>
      </c>
      <c r="BY557" s="2">
        <f t="shared" si="756"/>
        <v>0</v>
      </c>
      <c r="BZ557" s="2">
        <f t="shared" ref="BZ557:CA557" si="766">SUM(AQ557)</f>
        <v>0</v>
      </c>
      <c r="CA557" s="2">
        <f t="shared" si="766"/>
        <v>1</v>
      </c>
      <c r="CB557" s="2">
        <f t="shared" si="758"/>
        <v>0</v>
      </c>
    </row>
    <row r="558" spans="1:80" ht="16" x14ac:dyDescent="0.2">
      <c r="A558" s="3" t="s">
        <v>181</v>
      </c>
      <c r="B558" s="10">
        <v>724</v>
      </c>
      <c r="C558" s="5">
        <v>1</v>
      </c>
      <c r="D558" s="10">
        <v>1</v>
      </c>
      <c r="E558" s="10">
        <v>0</v>
      </c>
      <c r="F558" s="10">
        <v>1975</v>
      </c>
      <c r="G558" s="10" t="s">
        <v>75</v>
      </c>
      <c r="H558" s="7" t="str">
        <f t="shared" si="751"/>
        <v>No</v>
      </c>
      <c r="I558" s="54" t="s">
        <v>55</v>
      </c>
      <c r="J558" s="8">
        <v>5</v>
      </c>
      <c r="K558" s="8" t="s">
        <v>59</v>
      </c>
      <c r="L558" s="8" t="s">
        <v>52</v>
      </c>
      <c r="M558" s="8" t="s">
        <v>52</v>
      </c>
      <c r="N558" s="8">
        <v>0</v>
      </c>
      <c r="O558" s="8">
        <v>1</v>
      </c>
      <c r="P558" s="8">
        <v>1</v>
      </c>
      <c r="Q558" s="6" t="s">
        <v>60</v>
      </c>
      <c r="R558" s="9">
        <v>0.5</v>
      </c>
      <c r="S558" s="8">
        <v>0</v>
      </c>
      <c r="T558" s="8">
        <v>0</v>
      </c>
      <c r="U558" s="8">
        <v>0</v>
      </c>
      <c r="V558" s="8">
        <v>0</v>
      </c>
      <c r="W558" s="8">
        <v>1</v>
      </c>
      <c r="X558" s="8">
        <v>0</v>
      </c>
      <c r="Y558" s="8">
        <v>0</v>
      </c>
      <c r="Z558" s="8">
        <v>1</v>
      </c>
      <c r="AA558" s="8" t="s">
        <v>182</v>
      </c>
      <c r="AB558" s="8">
        <v>0</v>
      </c>
      <c r="AC558" s="8">
        <v>0</v>
      </c>
      <c r="AD558" s="8">
        <v>1</v>
      </c>
      <c r="AE558" s="8">
        <v>1</v>
      </c>
      <c r="AF558" s="8">
        <v>0</v>
      </c>
      <c r="AG558" s="8">
        <v>0</v>
      </c>
      <c r="AH558" s="8">
        <v>0</v>
      </c>
      <c r="AI558" s="8">
        <v>1</v>
      </c>
      <c r="AJ558" s="8">
        <v>1</v>
      </c>
      <c r="AK558" s="8">
        <v>0</v>
      </c>
      <c r="AL558" s="8">
        <v>1</v>
      </c>
      <c r="AM558" s="8">
        <v>1</v>
      </c>
      <c r="AN558" s="8">
        <v>0</v>
      </c>
      <c r="AO558" s="8">
        <v>0</v>
      </c>
      <c r="AP558" s="8">
        <v>1</v>
      </c>
      <c r="AQ558" s="8">
        <v>0</v>
      </c>
      <c r="AR558" s="8">
        <v>1</v>
      </c>
      <c r="AS558" s="8">
        <v>0</v>
      </c>
      <c r="AT558" s="8">
        <v>0</v>
      </c>
      <c r="AU558" s="8">
        <v>1</v>
      </c>
      <c r="AV558" s="8">
        <v>0</v>
      </c>
      <c r="AW558" s="8">
        <v>0</v>
      </c>
      <c r="AX558" s="8">
        <v>0</v>
      </c>
      <c r="AY558" s="8">
        <v>0</v>
      </c>
      <c r="AZ558" s="8">
        <v>0</v>
      </c>
      <c r="BA558" s="8">
        <v>0</v>
      </c>
      <c r="BB558" s="8">
        <v>0</v>
      </c>
      <c r="BC558" s="8">
        <v>0</v>
      </c>
      <c r="BD558" s="8">
        <v>0</v>
      </c>
      <c r="BE558" s="8">
        <v>0</v>
      </c>
      <c r="BF558" s="8">
        <v>0</v>
      </c>
      <c r="BG558" s="8">
        <v>0</v>
      </c>
      <c r="BH558" s="8">
        <v>0</v>
      </c>
      <c r="BI558" s="8">
        <v>0</v>
      </c>
      <c r="BJ558" s="8">
        <v>0</v>
      </c>
      <c r="BK558" s="8">
        <v>0</v>
      </c>
      <c r="BL558" s="8">
        <v>1</v>
      </c>
      <c r="BM558" s="8">
        <v>0</v>
      </c>
      <c r="BN558" s="8">
        <v>0</v>
      </c>
      <c r="BO558" s="8">
        <v>1</v>
      </c>
      <c r="BP558" s="8">
        <v>0</v>
      </c>
      <c r="BQ558" s="8">
        <v>0</v>
      </c>
      <c r="BR558" s="8">
        <v>0</v>
      </c>
      <c r="BS558" s="8">
        <f t="shared" si="526"/>
        <v>9</v>
      </c>
      <c r="BT558" s="8"/>
      <c r="BU558" s="2">
        <f t="shared" si="752"/>
        <v>1</v>
      </c>
      <c r="BV558" s="2">
        <f t="shared" si="753"/>
        <v>6</v>
      </c>
      <c r="BW558" s="2">
        <f t="shared" si="754"/>
        <v>0</v>
      </c>
      <c r="BX558" s="2">
        <f t="shared" si="755"/>
        <v>1</v>
      </c>
      <c r="BY558" s="2">
        <f t="shared" si="756"/>
        <v>0</v>
      </c>
      <c r="BZ558" s="2">
        <f t="shared" ref="BZ558:CA558" si="767">SUM(AQ558)</f>
        <v>0</v>
      </c>
      <c r="CA558" s="2">
        <f t="shared" si="767"/>
        <v>1</v>
      </c>
      <c r="CB558" s="2">
        <f t="shared" si="758"/>
        <v>0</v>
      </c>
    </row>
    <row r="559" spans="1:80" ht="16" x14ac:dyDescent="0.2">
      <c r="A559" s="3" t="s">
        <v>181</v>
      </c>
      <c r="B559" s="10">
        <v>724</v>
      </c>
      <c r="C559" s="5">
        <v>1</v>
      </c>
      <c r="D559" s="10">
        <v>1</v>
      </c>
      <c r="E559" s="10">
        <v>0</v>
      </c>
      <c r="F559" s="10">
        <v>1975</v>
      </c>
      <c r="G559" s="10" t="s">
        <v>76</v>
      </c>
      <c r="H559" s="7" t="str">
        <f t="shared" si="751"/>
        <v>No</v>
      </c>
      <c r="I559" s="54" t="s">
        <v>55</v>
      </c>
      <c r="J559" s="8">
        <v>5</v>
      </c>
      <c r="K559" s="8" t="s">
        <v>59</v>
      </c>
      <c r="L559" s="8" t="s">
        <v>52</v>
      </c>
      <c r="M559" s="8" t="s">
        <v>52</v>
      </c>
      <c r="N559" s="8">
        <v>0</v>
      </c>
      <c r="O559" s="8">
        <v>1</v>
      </c>
      <c r="P559" s="8">
        <v>1</v>
      </c>
      <c r="Q559" s="6" t="s">
        <v>60</v>
      </c>
      <c r="R559" s="9">
        <v>0.5</v>
      </c>
      <c r="S559" s="8">
        <v>0</v>
      </c>
      <c r="T559" s="8">
        <v>0</v>
      </c>
      <c r="U559" s="8">
        <v>0</v>
      </c>
      <c r="V559" s="8">
        <v>0</v>
      </c>
      <c r="W559" s="8">
        <v>1</v>
      </c>
      <c r="X559" s="8">
        <v>0</v>
      </c>
      <c r="Y559" s="8">
        <v>0</v>
      </c>
      <c r="Z559" s="8">
        <v>1</v>
      </c>
      <c r="AA559" s="8" t="s">
        <v>182</v>
      </c>
      <c r="AB559" s="8">
        <v>0</v>
      </c>
      <c r="AC559" s="8">
        <v>0</v>
      </c>
      <c r="AD559" s="8">
        <v>1</v>
      </c>
      <c r="AE559" s="8">
        <v>1</v>
      </c>
      <c r="AF559" s="8">
        <v>0</v>
      </c>
      <c r="AG559" s="8">
        <v>0</v>
      </c>
      <c r="AH559" s="8">
        <v>0</v>
      </c>
      <c r="AI559" s="8">
        <v>1</v>
      </c>
      <c r="AJ559" s="8">
        <v>1</v>
      </c>
      <c r="AK559" s="8">
        <v>0</v>
      </c>
      <c r="AL559" s="8">
        <v>1</v>
      </c>
      <c r="AM559" s="8">
        <v>1</v>
      </c>
      <c r="AN559" s="8">
        <v>0</v>
      </c>
      <c r="AO559" s="8">
        <v>0</v>
      </c>
      <c r="AP559" s="8">
        <v>1</v>
      </c>
      <c r="AQ559" s="8">
        <v>0</v>
      </c>
      <c r="AR559" s="8">
        <v>1</v>
      </c>
      <c r="AS559" s="8">
        <v>0</v>
      </c>
      <c r="AT559" s="8">
        <v>0</v>
      </c>
      <c r="AU559" s="8">
        <v>1</v>
      </c>
      <c r="AV559" s="8">
        <v>0</v>
      </c>
      <c r="AW559" s="8">
        <v>0</v>
      </c>
      <c r="AX559" s="8">
        <v>0</v>
      </c>
      <c r="AY559" s="8">
        <v>0</v>
      </c>
      <c r="AZ559" s="8">
        <v>0</v>
      </c>
      <c r="BA559" s="8">
        <v>0</v>
      </c>
      <c r="BB559" s="8">
        <v>0</v>
      </c>
      <c r="BC559" s="8">
        <v>0</v>
      </c>
      <c r="BD559" s="8">
        <v>0</v>
      </c>
      <c r="BE559" s="8">
        <v>0</v>
      </c>
      <c r="BF559" s="8">
        <v>0</v>
      </c>
      <c r="BG559" s="8">
        <v>0</v>
      </c>
      <c r="BH559" s="8">
        <v>0</v>
      </c>
      <c r="BI559" s="8">
        <v>0</v>
      </c>
      <c r="BJ559" s="8">
        <v>0</v>
      </c>
      <c r="BK559" s="8">
        <v>0</v>
      </c>
      <c r="BL559" s="8">
        <v>1</v>
      </c>
      <c r="BM559" s="8">
        <v>0</v>
      </c>
      <c r="BN559" s="8">
        <v>0</v>
      </c>
      <c r="BO559" s="8">
        <v>1</v>
      </c>
      <c r="BP559" s="8">
        <v>0</v>
      </c>
      <c r="BQ559" s="8">
        <v>0</v>
      </c>
      <c r="BR559" s="8">
        <v>0</v>
      </c>
      <c r="BS559" s="8">
        <f t="shared" si="526"/>
        <v>9</v>
      </c>
      <c r="BT559" s="8"/>
      <c r="BU559" s="2">
        <f t="shared" si="752"/>
        <v>1</v>
      </c>
      <c r="BV559" s="2">
        <f t="shared" si="753"/>
        <v>6</v>
      </c>
      <c r="BW559" s="2">
        <f t="shared" si="754"/>
        <v>0</v>
      </c>
      <c r="BX559" s="2">
        <f t="shared" si="755"/>
        <v>1</v>
      </c>
      <c r="BY559" s="2">
        <f t="shared" si="756"/>
        <v>0</v>
      </c>
      <c r="BZ559" s="2">
        <f t="shared" ref="BZ559:CA559" si="768">SUM(AQ559)</f>
        <v>0</v>
      </c>
      <c r="CA559" s="2">
        <f t="shared" si="768"/>
        <v>1</v>
      </c>
      <c r="CB559" s="2">
        <f t="shared" si="758"/>
        <v>0</v>
      </c>
    </row>
    <row r="560" spans="1:80" ht="16" x14ac:dyDescent="0.2">
      <c r="A560" s="3" t="s">
        <v>181</v>
      </c>
      <c r="B560" s="10">
        <v>724</v>
      </c>
      <c r="C560" s="5">
        <v>1</v>
      </c>
      <c r="D560" s="10">
        <v>1</v>
      </c>
      <c r="E560" s="10">
        <v>0</v>
      </c>
      <c r="F560" s="10">
        <v>1975</v>
      </c>
      <c r="G560" s="10" t="s">
        <v>77</v>
      </c>
      <c r="H560" s="7" t="str">
        <f t="shared" si="751"/>
        <v>No</v>
      </c>
      <c r="I560" s="54" t="s">
        <v>55</v>
      </c>
      <c r="J560" s="8">
        <v>5</v>
      </c>
      <c r="K560" s="8" t="s">
        <v>59</v>
      </c>
      <c r="L560" s="8" t="s">
        <v>52</v>
      </c>
      <c r="M560" s="8" t="s">
        <v>52</v>
      </c>
      <c r="N560" s="8">
        <v>0</v>
      </c>
      <c r="O560" s="8">
        <v>1</v>
      </c>
      <c r="P560" s="8">
        <v>1</v>
      </c>
      <c r="Q560" s="6" t="s">
        <v>60</v>
      </c>
      <c r="R560" s="9">
        <v>0.5</v>
      </c>
      <c r="S560" s="8">
        <v>0</v>
      </c>
      <c r="T560" s="8">
        <v>0</v>
      </c>
      <c r="U560" s="8">
        <v>0</v>
      </c>
      <c r="V560" s="8">
        <v>0</v>
      </c>
      <c r="W560" s="8">
        <v>1</v>
      </c>
      <c r="X560" s="8">
        <v>0</v>
      </c>
      <c r="Y560" s="8">
        <v>0</v>
      </c>
      <c r="Z560" s="8">
        <v>1</v>
      </c>
      <c r="AA560" s="8" t="s">
        <v>182</v>
      </c>
      <c r="AB560" s="8">
        <v>0</v>
      </c>
      <c r="AC560" s="8">
        <v>0</v>
      </c>
      <c r="AD560" s="8">
        <v>1</v>
      </c>
      <c r="AE560" s="8">
        <v>1</v>
      </c>
      <c r="AF560" s="8">
        <v>0</v>
      </c>
      <c r="AG560" s="8">
        <v>0</v>
      </c>
      <c r="AH560" s="8">
        <v>0</v>
      </c>
      <c r="AI560" s="8">
        <v>1</v>
      </c>
      <c r="AJ560" s="8">
        <v>1</v>
      </c>
      <c r="AK560" s="8">
        <v>0</v>
      </c>
      <c r="AL560" s="8">
        <v>1</v>
      </c>
      <c r="AM560" s="8">
        <v>1</v>
      </c>
      <c r="AN560" s="8">
        <v>0</v>
      </c>
      <c r="AO560" s="8">
        <v>0</v>
      </c>
      <c r="AP560" s="8">
        <v>1</v>
      </c>
      <c r="AQ560" s="8">
        <v>0</v>
      </c>
      <c r="AR560" s="8">
        <v>1</v>
      </c>
      <c r="AS560" s="8">
        <v>0</v>
      </c>
      <c r="AT560" s="8">
        <v>0</v>
      </c>
      <c r="AU560" s="8">
        <v>1</v>
      </c>
      <c r="AV560" s="8">
        <v>0</v>
      </c>
      <c r="AW560" s="8">
        <v>0</v>
      </c>
      <c r="AX560" s="8">
        <v>0</v>
      </c>
      <c r="AY560" s="8">
        <v>0</v>
      </c>
      <c r="AZ560" s="8">
        <v>0</v>
      </c>
      <c r="BA560" s="8">
        <v>0</v>
      </c>
      <c r="BB560" s="8">
        <v>0</v>
      </c>
      <c r="BC560" s="8">
        <v>0</v>
      </c>
      <c r="BD560" s="8">
        <v>0</v>
      </c>
      <c r="BE560" s="8">
        <v>0</v>
      </c>
      <c r="BF560" s="8">
        <v>0</v>
      </c>
      <c r="BG560" s="8">
        <v>0</v>
      </c>
      <c r="BH560" s="8">
        <v>0</v>
      </c>
      <c r="BI560" s="8">
        <v>0</v>
      </c>
      <c r="BJ560" s="8">
        <v>0</v>
      </c>
      <c r="BK560" s="8">
        <v>0</v>
      </c>
      <c r="BL560" s="8">
        <v>1</v>
      </c>
      <c r="BM560" s="8">
        <v>0</v>
      </c>
      <c r="BN560" s="8">
        <v>0</v>
      </c>
      <c r="BO560" s="8">
        <v>1</v>
      </c>
      <c r="BP560" s="8">
        <v>0</v>
      </c>
      <c r="BQ560" s="8">
        <v>0</v>
      </c>
      <c r="BR560" s="8">
        <v>0</v>
      </c>
      <c r="BS560" s="8">
        <f t="shared" si="526"/>
        <v>9</v>
      </c>
      <c r="BT560" s="8"/>
      <c r="BU560" s="2">
        <f t="shared" si="752"/>
        <v>1</v>
      </c>
      <c r="BV560" s="2">
        <f t="shared" si="753"/>
        <v>6</v>
      </c>
      <c r="BW560" s="2">
        <f t="shared" si="754"/>
        <v>0</v>
      </c>
      <c r="BX560" s="2">
        <f t="shared" si="755"/>
        <v>1</v>
      </c>
      <c r="BY560" s="2">
        <f t="shared" si="756"/>
        <v>0</v>
      </c>
      <c r="BZ560" s="2">
        <f t="shared" ref="BZ560:CA560" si="769">SUM(AQ560)</f>
        <v>0</v>
      </c>
      <c r="CA560" s="2">
        <f t="shared" si="769"/>
        <v>1</v>
      </c>
      <c r="CB560" s="2">
        <f t="shared" si="758"/>
        <v>0</v>
      </c>
    </row>
    <row r="561" spans="1:80" ht="16" x14ac:dyDescent="0.2">
      <c r="A561" s="3" t="s">
        <v>181</v>
      </c>
      <c r="B561" s="10">
        <v>724</v>
      </c>
      <c r="C561" s="5">
        <v>1</v>
      </c>
      <c r="D561" s="10">
        <v>1</v>
      </c>
      <c r="E561" s="10">
        <v>0</v>
      </c>
      <c r="F561" s="10">
        <v>1975</v>
      </c>
      <c r="G561" s="10" t="s">
        <v>78</v>
      </c>
      <c r="H561" s="7" t="str">
        <f t="shared" si="751"/>
        <v>No</v>
      </c>
      <c r="I561" s="54" t="s">
        <v>55</v>
      </c>
      <c r="J561" s="8">
        <v>5</v>
      </c>
      <c r="K561" s="8" t="s">
        <v>59</v>
      </c>
      <c r="L561" s="8" t="s">
        <v>52</v>
      </c>
      <c r="M561" s="8" t="s">
        <v>52</v>
      </c>
      <c r="N561" s="8">
        <v>0</v>
      </c>
      <c r="O561" s="8">
        <v>1</v>
      </c>
      <c r="P561" s="8">
        <v>1</v>
      </c>
      <c r="Q561" s="6" t="s">
        <v>60</v>
      </c>
      <c r="R561" s="9">
        <v>0.5</v>
      </c>
      <c r="S561" s="8">
        <v>0</v>
      </c>
      <c r="T561" s="8">
        <v>0</v>
      </c>
      <c r="U561" s="8">
        <v>0</v>
      </c>
      <c r="V561" s="8">
        <v>0</v>
      </c>
      <c r="W561" s="8">
        <v>1</v>
      </c>
      <c r="X561" s="8">
        <v>0</v>
      </c>
      <c r="Y561" s="8">
        <v>0</v>
      </c>
      <c r="Z561" s="8">
        <v>1</v>
      </c>
      <c r="AA561" s="8" t="s">
        <v>182</v>
      </c>
      <c r="AB561" s="8">
        <v>0</v>
      </c>
      <c r="AC561" s="8">
        <v>0</v>
      </c>
      <c r="AD561" s="8">
        <v>1</v>
      </c>
      <c r="AE561" s="8">
        <v>1</v>
      </c>
      <c r="AF561" s="8">
        <v>0</v>
      </c>
      <c r="AG561" s="8">
        <v>0</v>
      </c>
      <c r="AH561" s="8">
        <v>0</v>
      </c>
      <c r="AI561" s="8">
        <v>1</v>
      </c>
      <c r="AJ561" s="8">
        <v>1</v>
      </c>
      <c r="AK561" s="8">
        <v>0</v>
      </c>
      <c r="AL561" s="8">
        <v>1</v>
      </c>
      <c r="AM561" s="8">
        <v>1</v>
      </c>
      <c r="AN561" s="8">
        <v>0</v>
      </c>
      <c r="AO561" s="8">
        <v>0</v>
      </c>
      <c r="AP561" s="8">
        <v>1</v>
      </c>
      <c r="AQ561" s="8">
        <v>0</v>
      </c>
      <c r="AR561" s="8">
        <v>1</v>
      </c>
      <c r="AS561" s="8">
        <v>0</v>
      </c>
      <c r="AT561" s="8">
        <v>0</v>
      </c>
      <c r="AU561" s="8">
        <v>1</v>
      </c>
      <c r="AV561" s="8">
        <v>0</v>
      </c>
      <c r="AW561" s="8">
        <v>0</v>
      </c>
      <c r="AX561" s="8">
        <v>0</v>
      </c>
      <c r="AY561" s="8">
        <v>0</v>
      </c>
      <c r="AZ561" s="8">
        <v>0</v>
      </c>
      <c r="BA561" s="8">
        <v>0</v>
      </c>
      <c r="BB561" s="8">
        <v>0</v>
      </c>
      <c r="BC561" s="8">
        <v>0</v>
      </c>
      <c r="BD561" s="8">
        <v>0</v>
      </c>
      <c r="BE561" s="8">
        <v>0</v>
      </c>
      <c r="BF561" s="8">
        <v>0</v>
      </c>
      <c r="BG561" s="8">
        <v>0</v>
      </c>
      <c r="BH561" s="8">
        <v>0</v>
      </c>
      <c r="BI561" s="8">
        <v>0</v>
      </c>
      <c r="BJ561" s="8">
        <v>0</v>
      </c>
      <c r="BK561" s="8">
        <v>0</v>
      </c>
      <c r="BL561" s="8">
        <v>1</v>
      </c>
      <c r="BM561" s="8">
        <v>0</v>
      </c>
      <c r="BN561" s="8">
        <v>0</v>
      </c>
      <c r="BO561" s="8">
        <v>1</v>
      </c>
      <c r="BP561" s="8">
        <v>0</v>
      </c>
      <c r="BQ561" s="8">
        <v>0</v>
      </c>
      <c r="BR561" s="8">
        <v>0</v>
      </c>
      <c r="BS561" s="8">
        <f t="shared" si="526"/>
        <v>9</v>
      </c>
      <c r="BT561" s="8"/>
      <c r="BU561" s="2">
        <f t="shared" si="752"/>
        <v>1</v>
      </c>
      <c r="BV561" s="2">
        <f t="shared" si="753"/>
        <v>6</v>
      </c>
      <c r="BW561" s="2">
        <f t="shared" si="754"/>
        <v>0</v>
      </c>
      <c r="BX561" s="2">
        <f t="shared" si="755"/>
        <v>1</v>
      </c>
      <c r="BY561" s="2">
        <f t="shared" si="756"/>
        <v>0</v>
      </c>
      <c r="BZ561" s="2">
        <f t="shared" ref="BZ561:CA561" si="770">SUM(AQ561)</f>
        <v>0</v>
      </c>
      <c r="CA561" s="2">
        <f t="shared" si="770"/>
        <v>1</v>
      </c>
      <c r="CB561" s="2">
        <f t="shared" si="758"/>
        <v>0</v>
      </c>
    </row>
    <row r="562" spans="1:80" ht="15" customHeight="1" x14ac:dyDescent="0.2">
      <c r="A562" s="3" t="s">
        <v>181</v>
      </c>
      <c r="B562" s="10">
        <v>724</v>
      </c>
      <c r="C562" s="5">
        <v>1</v>
      </c>
      <c r="D562" s="10">
        <v>1</v>
      </c>
      <c r="E562" s="10">
        <v>0</v>
      </c>
      <c r="F562" s="10">
        <v>1975</v>
      </c>
      <c r="G562" s="10" t="s">
        <v>79</v>
      </c>
      <c r="H562" s="7" t="s">
        <v>82</v>
      </c>
      <c r="I562" s="54" t="s">
        <v>183</v>
      </c>
      <c r="J562" s="8">
        <v>6</v>
      </c>
      <c r="K562" s="8" t="s">
        <v>59</v>
      </c>
      <c r="L562" s="8" t="s">
        <v>64</v>
      </c>
      <c r="M562" s="8" t="s">
        <v>52</v>
      </c>
      <c r="N562" s="8">
        <v>0</v>
      </c>
      <c r="O562" s="8">
        <v>0</v>
      </c>
      <c r="P562" s="8">
        <v>1</v>
      </c>
      <c r="Q562" s="6" t="s">
        <v>60</v>
      </c>
      <c r="R562" s="14" t="s">
        <v>184</v>
      </c>
      <c r="S562" s="8">
        <v>0</v>
      </c>
      <c r="T562" s="8">
        <v>0</v>
      </c>
      <c r="U562" s="8">
        <v>0</v>
      </c>
      <c r="V562" s="8">
        <v>1</v>
      </c>
      <c r="W562" s="8">
        <v>1</v>
      </c>
      <c r="X562" s="8">
        <v>0</v>
      </c>
      <c r="Y562" s="8">
        <v>0</v>
      </c>
      <c r="Z562" s="8">
        <v>1</v>
      </c>
      <c r="AA562" s="8" t="s">
        <v>143</v>
      </c>
      <c r="AB562" s="8">
        <v>1</v>
      </c>
      <c r="AC562" s="8">
        <v>0</v>
      </c>
      <c r="AD562" s="8">
        <v>1</v>
      </c>
      <c r="AE562" s="8">
        <v>1</v>
      </c>
      <c r="AF562" s="8">
        <v>1</v>
      </c>
      <c r="AG562" s="8">
        <v>0.5</v>
      </c>
      <c r="AH562" s="8">
        <v>1</v>
      </c>
      <c r="AI562" s="8">
        <v>1</v>
      </c>
      <c r="AJ562" s="8">
        <v>1</v>
      </c>
      <c r="AK562" s="8">
        <v>1</v>
      </c>
      <c r="AL562" s="8">
        <v>1</v>
      </c>
      <c r="AM562" s="8">
        <v>1</v>
      </c>
      <c r="AN562" s="8">
        <v>1</v>
      </c>
      <c r="AO562" s="8">
        <v>0</v>
      </c>
      <c r="AP562" s="8">
        <v>1</v>
      </c>
      <c r="AQ562" s="8">
        <v>1</v>
      </c>
      <c r="AR562" s="8">
        <v>1</v>
      </c>
      <c r="AS562" s="8">
        <v>0</v>
      </c>
      <c r="AT562" s="8">
        <v>1</v>
      </c>
      <c r="AU562" s="8">
        <v>1</v>
      </c>
      <c r="AV562" s="8">
        <v>1</v>
      </c>
      <c r="AW562" s="8">
        <v>1</v>
      </c>
      <c r="AX562" s="8">
        <v>0</v>
      </c>
      <c r="AY562" s="8">
        <v>1</v>
      </c>
      <c r="AZ562" s="8">
        <v>0</v>
      </c>
      <c r="BA562" s="8">
        <v>1</v>
      </c>
      <c r="BB562" s="8">
        <v>1</v>
      </c>
      <c r="BC562" s="8">
        <v>0</v>
      </c>
      <c r="BD562" s="8">
        <v>0</v>
      </c>
      <c r="BE562" s="8">
        <v>1</v>
      </c>
      <c r="BF562" s="8">
        <v>0</v>
      </c>
      <c r="BG562" s="8">
        <v>0</v>
      </c>
      <c r="BH562" s="8">
        <v>0</v>
      </c>
      <c r="BI562" s="8">
        <v>0</v>
      </c>
      <c r="BJ562" s="8">
        <v>0</v>
      </c>
      <c r="BK562" s="8">
        <v>1</v>
      </c>
      <c r="BL562" s="8">
        <v>1</v>
      </c>
      <c r="BM562" s="8">
        <v>1</v>
      </c>
      <c r="BN562" s="8">
        <v>0</v>
      </c>
      <c r="BO562" s="8">
        <v>0</v>
      </c>
      <c r="BP562" s="8">
        <v>0</v>
      </c>
      <c r="BQ562" s="8">
        <v>0</v>
      </c>
      <c r="BR562" s="8">
        <v>1</v>
      </c>
      <c r="BS562" s="8">
        <f t="shared" si="526"/>
        <v>21</v>
      </c>
      <c r="BT562" s="8"/>
      <c r="BU562" s="2">
        <f t="shared" si="752"/>
        <v>2</v>
      </c>
      <c r="BV562" s="2">
        <f t="shared" si="753"/>
        <v>6</v>
      </c>
      <c r="BW562" s="2">
        <f t="shared" si="754"/>
        <v>1</v>
      </c>
      <c r="BX562" s="2">
        <f t="shared" si="755"/>
        <v>9</v>
      </c>
      <c r="BY562" s="2">
        <f t="shared" si="756"/>
        <v>0</v>
      </c>
      <c r="BZ562" s="2">
        <f t="shared" ref="BZ562:CA562" si="771">SUM(AQ562)</f>
        <v>1</v>
      </c>
      <c r="CA562" s="2">
        <f t="shared" si="771"/>
        <v>1</v>
      </c>
      <c r="CB562" s="2">
        <f t="shared" si="758"/>
        <v>1</v>
      </c>
    </row>
    <row r="563" spans="1:80" ht="15" customHeight="1" x14ac:dyDescent="0.2">
      <c r="A563" s="3" t="s">
        <v>181</v>
      </c>
      <c r="B563" s="10">
        <v>724</v>
      </c>
      <c r="C563" s="5">
        <v>1</v>
      </c>
      <c r="D563" s="10">
        <v>1</v>
      </c>
      <c r="E563" s="10">
        <v>0</v>
      </c>
      <c r="F563" s="10">
        <v>1975</v>
      </c>
      <c r="G563" s="10" t="s">
        <v>80</v>
      </c>
      <c r="H563" s="7" t="str">
        <f t="shared" si="751"/>
        <v>No</v>
      </c>
      <c r="I563" s="54" t="s">
        <v>55</v>
      </c>
      <c r="J563" s="8">
        <v>6</v>
      </c>
      <c r="K563" s="8" t="s">
        <v>59</v>
      </c>
      <c r="L563" s="8" t="s">
        <v>64</v>
      </c>
      <c r="M563" s="8" t="s">
        <v>52</v>
      </c>
      <c r="N563" s="8">
        <v>0</v>
      </c>
      <c r="O563" s="8">
        <v>0</v>
      </c>
      <c r="P563" s="8">
        <v>1</v>
      </c>
      <c r="Q563" s="6" t="s">
        <v>60</v>
      </c>
      <c r="R563" s="14" t="s">
        <v>184</v>
      </c>
      <c r="S563" s="8">
        <v>0</v>
      </c>
      <c r="T563" s="8">
        <v>0</v>
      </c>
      <c r="U563" s="8">
        <v>0</v>
      </c>
      <c r="V563" s="8">
        <v>1</v>
      </c>
      <c r="W563" s="8">
        <v>1</v>
      </c>
      <c r="X563" s="8">
        <v>0</v>
      </c>
      <c r="Y563" s="8">
        <v>0</v>
      </c>
      <c r="Z563" s="8">
        <v>1</v>
      </c>
      <c r="AA563" s="8" t="s">
        <v>143</v>
      </c>
      <c r="AB563" s="8">
        <v>1</v>
      </c>
      <c r="AC563" s="8">
        <v>0</v>
      </c>
      <c r="AD563" s="8">
        <v>1</v>
      </c>
      <c r="AE563" s="8">
        <v>1</v>
      </c>
      <c r="AF563" s="8">
        <v>1</v>
      </c>
      <c r="AG563" s="8">
        <v>0.5</v>
      </c>
      <c r="AH563" s="8">
        <v>1</v>
      </c>
      <c r="AI563" s="8">
        <v>1</v>
      </c>
      <c r="AJ563" s="8">
        <v>1</v>
      </c>
      <c r="AK563" s="8">
        <v>1</v>
      </c>
      <c r="AL563" s="8">
        <v>1</v>
      </c>
      <c r="AM563" s="8">
        <v>1</v>
      </c>
      <c r="AN563" s="8">
        <v>1</v>
      </c>
      <c r="AO563" s="8">
        <v>0</v>
      </c>
      <c r="AP563" s="8">
        <v>1</v>
      </c>
      <c r="AQ563" s="8">
        <v>1</v>
      </c>
      <c r="AR563" s="8">
        <v>1</v>
      </c>
      <c r="AS563" s="8">
        <v>0</v>
      </c>
      <c r="AT563" s="8">
        <v>1</v>
      </c>
      <c r="AU563" s="8">
        <v>1</v>
      </c>
      <c r="AV563" s="8">
        <v>1</v>
      </c>
      <c r="AW563" s="8">
        <v>1</v>
      </c>
      <c r="AX563" s="8">
        <v>0</v>
      </c>
      <c r="AY563" s="8">
        <v>1</v>
      </c>
      <c r="AZ563" s="8">
        <v>0</v>
      </c>
      <c r="BA563" s="8">
        <v>1</v>
      </c>
      <c r="BB563" s="8">
        <v>1</v>
      </c>
      <c r="BC563" s="8">
        <v>0</v>
      </c>
      <c r="BD563" s="8">
        <v>0</v>
      </c>
      <c r="BE563" s="8">
        <v>1</v>
      </c>
      <c r="BF563" s="8">
        <v>0</v>
      </c>
      <c r="BG563" s="8">
        <v>0</v>
      </c>
      <c r="BH563" s="8">
        <v>0</v>
      </c>
      <c r="BI563" s="8">
        <v>0</v>
      </c>
      <c r="BJ563" s="8">
        <v>0</v>
      </c>
      <c r="BK563" s="8">
        <v>1</v>
      </c>
      <c r="BL563" s="8">
        <v>1</v>
      </c>
      <c r="BM563" s="8">
        <v>1</v>
      </c>
      <c r="BN563" s="8">
        <v>0</v>
      </c>
      <c r="BO563" s="8">
        <v>0</v>
      </c>
      <c r="BP563" s="8">
        <v>0</v>
      </c>
      <c r="BQ563" s="8">
        <v>0</v>
      </c>
      <c r="BR563" s="8">
        <v>1</v>
      </c>
      <c r="BS563" s="8">
        <f t="shared" si="526"/>
        <v>21</v>
      </c>
      <c r="BT563" s="8"/>
      <c r="BU563" s="2">
        <f t="shared" si="752"/>
        <v>2</v>
      </c>
      <c r="BV563" s="2">
        <f t="shared" si="753"/>
        <v>6</v>
      </c>
      <c r="BW563" s="2">
        <f t="shared" si="754"/>
        <v>1</v>
      </c>
      <c r="BX563" s="2">
        <f t="shared" si="755"/>
        <v>9</v>
      </c>
      <c r="BY563" s="2">
        <f t="shared" si="756"/>
        <v>0</v>
      </c>
      <c r="BZ563" s="2">
        <f t="shared" ref="BZ563:CA563" si="772">SUM(AQ563)</f>
        <v>1</v>
      </c>
      <c r="CA563" s="2">
        <f t="shared" si="772"/>
        <v>1</v>
      </c>
      <c r="CB563" s="2">
        <f t="shared" si="758"/>
        <v>1</v>
      </c>
    </row>
    <row r="564" spans="1:80" ht="15" customHeight="1" x14ac:dyDescent="0.2">
      <c r="A564" s="3" t="s">
        <v>181</v>
      </c>
      <c r="B564" s="10">
        <v>724</v>
      </c>
      <c r="C564" s="5">
        <v>1</v>
      </c>
      <c r="D564" s="10">
        <v>1</v>
      </c>
      <c r="E564" s="10">
        <v>0</v>
      </c>
      <c r="F564" s="10">
        <v>1975</v>
      </c>
      <c r="G564" s="10">
        <v>2022</v>
      </c>
      <c r="H564" s="7" t="s">
        <v>82</v>
      </c>
      <c r="I564" s="54" t="s">
        <v>56</v>
      </c>
      <c r="J564" s="8">
        <v>6</v>
      </c>
      <c r="K564" s="8" t="s">
        <v>59</v>
      </c>
      <c r="L564" s="8" t="s">
        <v>64</v>
      </c>
      <c r="M564" s="8" t="s">
        <v>52</v>
      </c>
      <c r="N564" s="8">
        <v>0</v>
      </c>
      <c r="O564" s="8">
        <v>0</v>
      </c>
      <c r="P564" s="8">
        <v>1</v>
      </c>
      <c r="Q564" s="6" t="s">
        <v>60</v>
      </c>
      <c r="R564" s="14" t="s">
        <v>184</v>
      </c>
      <c r="S564" s="8">
        <v>0</v>
      </c>
      <c r="T564" s="8">
        <v>0</v>
      </c>
      <c r="U564" s="8">
        <v>0</v>
      </c>
      <c r="V564" s="8">
        <v>1</v>
      </c>
      <c r="W564" s="8">
        <v>1</v>
      </c>
      <c r="X564" s="8">
        <v>0</v>
      </c>
      <c r="Y564" s="8">
        <v>0</v>
      </c>
      <c r="Z564" s="8">
        <v>1</v>
      </c>
      <c r="AA564" s="8" t="s">
        <v>143</v>
      </c>
      <c r="AB564" s="8">
        <v>1</v>
      </c>
      <c r="AC564" s="8">
        <v>0</v>
      </c>
      <c r="AD564" s="8">
        <v>1</v>
      </c>
      <c r="AE564" s="8">
        <v>1</v>
      </c>
      <c r="AF564" s="8">
        <v>1</v>
      </c>
      <c r="AG564" s="8">
        <v>0.5</v>
      </c>
      <c r="AH564" s="8">
        <v>1</v>
      </c>
      <c r="AI564" s="8">
        <v>1</v>
      </c>
      <c r="AJ564" s="8">
        <v>1</v>
      </c>
      <c r="AK564" s="8">
        <v>1</v>
      </c>
      <c r="AL564" s="8">
        <v>1</v>
      </c>
      <c r="AM564" s="8">
        <v>1</v>
      </c>
      <c r="AN564" s="8">
        <v>1</v>
      </c>
      <c r="AO564" s="8">
        <v>0</v>
      </c>
      <c r="AP564" s="8">
        <v>1</v>
      </c>
      <c r="AQ564" s="8">
        <v>1</v>
      </c>
      <c r="AR564" s="8">
        <v>1</v>
      </c>
      <c r="AS564" s="8">
        <v>0</v>
      </c>
      <c r="AT564" s="8">
        <v>1</v>
      </c>
      <c r="AU564" s="8">
        <v>1</v>
      </c>
      <c r="AV564" s="8">
        <v>1</v>
      </c>
      <c r="AW564" s="8">
        <v>1</v>
      </c>
      <c r="AX564" s="8">
        <v>0</v>
      </c>
      <c r="AY564" s="8">
        <v>1</v>
      </c>
      <c r="AZ564" s="8">
        <v>0</v>
      </c>
      <c r="BA564" s="8">
        <v>1</v>
      </c>
      <c r="BB564" s="8">
        <v>1</v>
      </c>
      <c r="BC564" s="8">
        <v>0</v>
      </c>
      <c r="BD564" s="8">
        <v>0</v>
      </c>
      <c r="BE564" s="8">
        <v>1</v>
      </c>
      <c r="BF564" s="8">
        <v>0</v>
      </c>
      <c r="BG564" s="8">
        <v>0</v>
      </c>
      <c r="BH564" s="8">
        <v>0</v>
      </c>
      <c r="BI564" s="8">
        <v>0</v>
      </c>
      <c r="BJ564" s="8">
        <v>0</v>
      </c>
      <c r="BK564" s="8">
        <v>1</v>
      </c>
      <c r="BL564" s="8">
        <v>1</v>
      </c>
      <c r="BM564" s="8">
        <v>1</v>
      </c>
      <c r="BN564" s="8">
        <v>0</v>
      </c>
      <c r="BO564" s="8">
        <v>0</v>
      </c>
      <c r="BP564" s="8">
        <v>0</v>
      </c>
      <c r="BQ564" s="8">
        <v>0</v>
      </c>
      <c r="BR564" s="8">
        <v>1</v>
      </c>
      <c r="BS564" s="8">
        <f t="shared" ref="BS564:BS565" si="773">SUM(AI564:BR564)</f>
        <v>21</v>
      </c>
      <c r="BT564" s="8"/>
      <c r="BU564" s="2">
        <f t="shared" ref="BU564:BU565" si="774">SUM(AI564,BK564)</f>
        <v>2</v>
      </c>
      <c r="BV564" s="2">
        <f t="shared" ref="BV564:BV565" si="775">SUM(AK564, AL564, AM564,AJ564,BL564,BO564, AP564)</f>
        <v>6</v>
      </c>
      <c r="BW564" s="2">
        <f t="shared" ref="BW564:BW565" si="776">SUM(AN564, AO564, AS564)</f>
        <v>1</v>
      </c>
      <c r="BX564" s="2">
        <f t="shared" ref="BX564:BX565" si="777">SUM(AU564,AV564,AW564,AX564,AY564,AZ564,BA564,BB564,BC564,BD564,BE564,BF564,BG564,BH564,BI564,BJ564,BQ564,BR564,BM564)</f>
        <v>9</v>
      </c>
      <c r="BY564" s="2">
        <f t="shared" ref="BY564:BY565" si="778">SUM(BP564, BN564)</f>
        <v>0</v>
      </c>
      <c r="BZ564" s="2">
        <f t="shared" ref="BZ564:BZ565" si="779">SUM(AQ564)</f>
        <v>1</v>
      </c>
      <c r="CA564" s="2">
        <f t="shared" ref="CA564:CA565" si="780">SUM(AR564)</f>
        <v>1</v>
      </c>
      <c r="CB564" s="2">
        <f t="shared" ref="CB564:CB565" si="781">SUM(AT564)</f>
        <v>1</v>
      </c>
    </row>
    <row r="565" spans="1:80" s="33" customFormat="1" ht="15" customHeight="1" x14ac:dyDescent="0.2">
      <c r="A565" s="21" t="s">
        <v>181</v>
      </c>
      <c r="B565" s="30">
        <v>724</v>
      </c>
      <c r="C565" s="31">
        <v>1</v>
      </c>
      <c r="D565" s="30">
        <v>1</v>
      </c>
      <c r="E565" s="30">
        <v>0</v>
      </c>
      <c r="F565" s="30">
        <v>1975</v>
      </c>
      <c r="G565" s="30">
        <v>2023</v>
      </c>
      <c r="H565" s="22" t="s">
        <v>82</v>
      </c>
      <c r="I565" s="55" t="s">
        <v>56</v>
      </c>
      <c r="J565" s="23">
        <v>6</v>
      </c>
      <c r="K565" s="23" t="s">
        <v>59</v>
      </c>
      <c r="L565" s="23" t="s">
        <v>64</v>
      </c>
      <c r="M565" s="23" t="s">
        <v>52</v>
      </c>
      <c r="N565" s="23">
        <v>0</v>
      </c>
      <c r="O565" s="23">
        <v>0</v>
      </c>
      <c r="P565" s="23"/>
      <c r="Q565" s="24" t="s">
        <v>67</v>
      </c>
      <c r="R565" s="26" t="s">
        <v>184</v>
      </c>
      <c r="S565" s="23">
        <v>1</v>
      </c>
      <c r="T565" s="23">
        <v>0</v>
      </c>
      <c r="U565" s="23">
        <v>1</v>
      </c>
      <c r="V565" s="23">
        <v>1</v>
      </c>
      <c r="W565" s="23">
        <v>1</v>
      </c>
      <c r="X565" s="23">
        <v>0</v>
      </c>
      <c r="Y565" s="23">
        <v>0</v>
      </c>
      <c r="Z565" s="23">
        <v>1</v>
      </c>
      <c r="AA565" s="23" t="s">
        <v>143</v>
      </c>
      <c r="AB565" s="23">
        <v>1</v>
      </c>
      <c r="AC565" s="23">
        <v>0</v>
      </c>
      <c r="AD565" s="23">
        <v>1</v>
      </c>
      <c r="AE565" s="23">
        <v>1</v>
      </c>
      <c r="AF565" s="23">
        <v>1</v>
      </c>
      <c r="AG565" s="23">
        <v>0.5</v>
      </c>
      <c r="AH565" s="23">
        <v>1</v>
      </c>
      <c r="AI565" s="23">
        <v>1</v>
      </c>
      <c r="AJ565" s="23">
        <v>1</v>
      </c>
      <c r="AK565" s="23">
        <v>1</v>
      </c>
      <c r="AL565" s="23">
        <v>1</v>
      </c>
      <c r="AM565" s="23">
        <v>1</v>
      </c>
      <c r="AN565" s="23">
        <v>1</v>
      </c>
      <c r="AO565" s="23">
        <v>0</v>
      </c>
      <c r="AP565" s="23">
        <v>1</v>
      </c>
      <c r="AQ565" s="23">
        <v>1</v>
      </c>
      <c r="AR565" s="23">
        <v>1</v>
      </c>
      <c r="AS565" s="23">
        <v>0</v>
      </c>
      <c r="AT565" s="23">
        <v>1</v>
      </c>
      <c r="AU565" s="23">
        <v>1</v>
      </c>
      <c r="AV565" s="23">
        <v>1</v>
      </c>
      <c r="AW565" s="23">
        <v>1</v>
      </c>
      <c r="AX565" s="23">
        <v>0</v>
      </c>
      <c r="AY565" s="23">
        <v>1</v>
      </c>
      <c r="AZ565" s="23">
        <v>0</v>
      </c>
      <c r="BA565" s="23">
        <v>1</v>
      </c>
      <c r="BB565" s="23">
        <v>1</v>
      </c>
      <c r="BC565" s="23">
        <v>0</v>
      </c>
      <c r="BD565" s="23">
        <v>0</v>
      </c>
      <c r="BE565" s="23">
        <v>1</v>
      </c>
      <c r="BF565" s="23">
        <v>0</v>
      </c>
      <c r="BG565" s="23">
        <v>0</v>
      </c>
      <c r="BH565" s="23">
        <v>0</v>
      </c>
      <c r="BI565" s="23">
        <v>0</v>
      </c>
      <c r="BJ565" s="23">
        <v>0</v>
      </c>
      <c r="BK565" s="23">
        <v>1</v>
      </c>
      <c r="BL565" s="23">
        <v>1</v>
      </c>
      <c r="BM565" s="23">
        <v>1</v>
      </c>
      <c r="BN565" s="23">
        <v>0</v>
      </c>
      <c r="BO565" s="23">
        <v>0</v>
      </c>
      <c r="BP565" s="23">
        <v>0</v>
      </c>
      <c r="BQ565" s="23">
        <v>0</v>
      </c>
      <c r="BR565" s="23">
        <v>1</v>
      </c>
      <c r="BS565" s="23">
        <f t="shared" si="773"/>
        <v>21</v>
      </c>
      <c r="BT565" s="23"/>
      <c r="BU565" s="32">
        <f t="shared" si="774"/>
        <v>2</v>
      </c>
      <c r="BV565" s="32">
        <f t="shared" si="775"/>
        <v>6</v>
      </c>
      <c r="BW565" s="32">
        <f t="shared" si="776"/>
        <v>1</v>
      </c>
      <c r="BX565" s="32">
        <f t="shared" si="777"/>
        <v>9</v>
      </c>
      <c r="BY565" s="32">
        <f t="shared" si="778"/>
        <v>0</v>
      </c>
      <c r="BZ565" s="32">
        <f t="shared" si="779"/>
        <v>1</v>
      </c>
      <c r="CA565" s="32">
        <f t="shared" si="780"/>
        <v>1</v>
      </c>
      <c r="CB565" s="32">
        <f t="shared" si="781"/>
        <v>1</v>
      </c>
    </row>
    <row r="566" spans="1:80" ht="16" x14ac:dyDescent="0.2">
      <c r="A566" s="3" t="s">
        <v>185</v>
      </c>
      <c r="B566" s="10">
        <v>752</v>
      </c>
      <c r="C566" s="5">
        <v>1</v>
      </c>
      <c r="D566" s="10">
        <v>1</v>
      </c>
      <c r="E566" s="10">
        <v>0</v>
      </c>
      <c r="F566" s="10"/>
      <c r="G566" s="10" t="s">
        <v>86</v>
      </c>
      <c r="H566" s="7" t="str">
        <f t="shared" si="751"/>
        <v>No</v>
      </c>
      <c r="I566" s="54" t="s">
        <v>55</v>
      </c>
      <c r="J566" s="8">
        <v>0</v>
      </c>
      <c r="K566" s="8"/>
      <c r="L566" s="8"/>
      <c r="M566" s="8"/>
      <c r="N566" s="8"/>
      <c r="O566" s="8"/>
      <c r="P566" s="8"/>
      <c r="Q566" s="8"/>
      <c r="R566" s="6"/>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f t="shared" si="526"/>
        <v>0</v>
      </c>
      <c r="BT566" s="8"/>
      <c r="BU566" s="2">
        <f t="shared" si="752"/>
        <v>0</v>
      </c>
      <c r="BV566" s="2">
        <f t="shared" si="753"/>
        <v>0</v>
      </c>
      <c r="BW566" s="2">
        <f t="shared" si="754"/>
        <v>0</v>
      </c>
      <c r="BX566" s="2">
        <f t="shared" si="755"/>
        <v>0</v>
      </c>
      <c r="BY566" s="2">
        <f t="shared" si="756"/>
        <v>0</v>
      </c>
      <c r="BZ566" s="2">
        <f t="shared" ref="BZ566:CA566" si="782">SUM(AQ566)</f>
        <v>0</v>
      </c>
      <c r="CA566" s="2">
        <f t="shared" si="782"/>
        <v>0</v>
      </c>
      <c r="CB566" s="2">
        <f t="shared" si="758"/>
        <v>0</v>
      </c>
    </row>
    <row r="567" spans="1:80" ht="16" x14ac:dyDescent="0.2">
      <c r="A567" s="3" t="s">
        <v>185</v>
      </c>
      <c r="B567" s="10">
        <v>752</v>
      </c>
      <c r="C567" s="5">
        <v>1</v>
      </c>
      <c r="D567" s="10">
        <v>1</v>
      </c>
      <c r="E567" s="10">
        <v>0</v>
      </c>
      <c r="F567" s="10"/>
      <c r="G567" s="10" t="s">
        <v>90</v>
      </c>
      <c r="H567" s="7" t="str">
        <f t="shared" si="751"/>
        <v>No</v>
      </c>
      <c r="I567" s="54" t="s">
        <v>55</v>
      </c>
      <c r="J567" s="8">
        <v>0</v>
      </c>
      <c r="K567" s="8"/>
      <c r="L567" s="8"/>
      <c r="M567" s="8"/>
      <c r="N567" s="8"/>
      <c r="O567" s="8"/>
      <c r="P567" s="8"/>
      <c r="Q567" s="8"/>
      <c r="R567" s="6"/>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f t="shared" si="526"/>
        <v>0</v>
      </c>
      <c r="BT567" s="8"/>
      <c r="BU567" s="2">
        <f t="shared" si="752"/>
        <v>0</v>
      </c>
      <c r="BV567" s="2">
        <f t="shared" si="753"/>
        <v>0</v>
      </c>
      <c r="BW567" s="2">
        <f t="shared" si="754"/>
        <v>0</v>
      </c>
      <c r="BX567" s="2">
        <f t="shared" si="755"/>
        <v>0</v>
      </c>
      <c r="BY567" s="2">
        <f t="shared" si="756"/>
        <v>0</v>
      </c>
      <c r="BZ567" s="2">
        <f t="shared" ref="BZ567:CA567" si="783">SUM(AQ567)</f>
        <v>0</v>
      </c>
      <c r="CA567" s="2">
        <f t="shared" si="783"/>
        <v>0</v>
      </c>
      <c r="CB567" s="2">
        <f t="shared" si="758"/>
        <v>0</v>
      </c>
    </row>
    <row r="568" spans="1:80" ht="16" x14ac:dyDescent="0.2">
      <c r="A568" s="3" t="s">
        <v>185</v>
      </c>
      <c r="B568" s="10">
        <v>752</v>
      </c>
      <c r="C568" s="5">
        <v>1</v>
      </c>
      <c r="D568" s="10">
        <v>1</v>
      </c>
      <c r="E568" s="10">
        <v>0</v>
      </c>
      <c r="F568" s="10"/>
      <c r="G568" s="10" t="s">
        <v>91</v>
      </c>
      <c r="H568" s="7" t="str">
        <f t="shared" si="751"/>
        <v>No</v>
      </c>
      <c r="I568" s="54" t="s">
        <v>55</v>
      </c>
      <c r="J568" s="8">
        <v>0</v>
      </c>
      <c r="K568" s="8"/>
      <c r="L568" s="8"/>
      <c r="M568" s="8"/>
      <c r="N568" s="8"/>
      <c r="O568" s="8"/>
      <c r="P568" s="8"/>
      <c r="Q568" s="8"/>
      <c r="R568" s="6"/>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f t="shared" si="526"/>
        <v>0</v>
      </c>
      <c r="BT568" s="8"/>
      <c r="BU568" s="2">
        <f t="shared" si="752"/>
        <v>0</v>
      </c>
      <c r="BV568" s="2">
        <f t="shared" si="753"/>
        <v>0</v>
      </c>
      <c r="BW568" s="2">
        <f t="shared" si="754"/>
        <v>0</v>
      </c>
      <c r="BX568" s="2">
        <f t="shared" si="755"/>
        <v>0</v>
      </c>
      <c r="BY568" s="2">
        <f t="shared" si="756"/>
        <v>0</v>
      </c>
      <c r="BZ568" s="2">
        <f t="shared" ref="BZ568:CA568" si="784">SUM(AQ568)</f>
        <v>0</v>
      </c>
      <c r="CA568" s="2">
        <f t="shared" si="784"/>
        <v>0</v>
      </c>
      <c r="CB568" s="2">
        <f t="shared" si="758"/>
        <v>0</v>
      </c>
    </row>
    <row r="569" spans="1:80" ht="16" x14ac:dyDescent="0.2">
      <c r="A569" s="3" t="s">
        <v>185</v>
      </c>
      <c r="B569" s="10">
        <v>752</v>
      </c>
      <c r="C569" s="5">
        <v>1</v>
      </c>
      <c r="D569" s="10">
        <v>1</v>
      </c>
      <c r="E569" s="10">
        <v>0</v>
      </c>
      <c r="F569" s="10"/>
      <c r="G569" s="10" t="s">
        <v>93</v>
      </c>
      <c r="H569" s="7" t="str">
        <f t="shared" si="751"/>
        <v>No</v>
      </c>
      <c r="I569" s="54" t="s">
        <v>55</v>
      </c>
      <c r="J569" s="8">
        <v>0</v>
      </c>
      <c r="K569" s="8"/>
      <c r="L569" s="8"/>
      <c r="M569" s="8"/>
      <c r="N569" s="8"/>
      <c r="O569" s="8"/>
      <c r="P569" s="8"/>
      <c r="Q569" s="8"/>
      <c r="R569" s="6"/>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f t="shared" si="526"/>
        <v>0</v>
      </c>
      <c r="BT569" s="8"/>
      <c r="BU569" s="2">
        <f t="shared" si="752"/>
        <v>0</v>
      </c>
      <c r="BV569" s="2">
        <f t="shared" si="753"/>
        <v>0</v>
      </c>
      <c r="BW569" s="2">
        <f t="shared" si="754"/>
        <v>0</v>
      </c>
      <c r="BX569" s="2">
        <f t="shared" si="755"/>
        <v>0</v>
      </c>
      <c r="BY569" s="2">
        <f t="shared" si="756"/>
        <v>0</v>
      </c>
      <c r="BZ569" s="2">
        <f t="shared" ref="BZ569:CA569" si="785">SUM(AQ569)</f>
        <v>0</v>
      </c>
      <c r="CA569" s="2">
        <f t="shared" si="785"/>
        <v>0</v>
      </c>
      <c r="CB569" s="2">
        <f t="shared" si="758"/>
        <v>0</v>
      </c>
    </row>
    <row r="570" spans="1:80" ht="16" x14ac:dyDescent="0.2">
      <c r="A570" s="3" t="s">
        <v>185</v>
      </c>
      <c r="B570" s="10">
        <v>752</v>
      </c>
      <c r="C570" s="5">
        <v>1</v>
      </c>
      <c r="D570" s="10">
        <v>1</v>
      </c>
      <c r="E570" s="10">
        <v>0</v>
      </c>
      <c r="F570" s="10"/>
      <c r="G570" s="10" t="s">
        <v>70</v>
      </c>
      <c r="H570" s="7" t="str">
        <f t="shared" si="751"/>
        <v>No</v>
      </c>
      <c r="I570" s="54" t="s">
        <v>55</v>
      </c>
      <c r="J570" s="8">
        <v>0</v>
      </c>
      <c r="K570" s="8"/>
      <c r="L570" s="8"/>
      <c r="M570" s="8"/>
      <c r="N570" s="8"/>
      <c r="O570" s="8"/>
      <c r="P570" s="8"/>
      <c r="Q570" s="8"/>
      <c r="R570" s="6"/>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f t="shared" si="526"/>
        <v>0</v>
      </c>
      <c r="BT570" s="8"/>
      <c r="BU570" s="2">
        <f t="shared" si="752"/>
        <v>0</v>
      </c>
      <c r="BV570" s="2">
        <f t="shared" si="753"/>
        <v>0</v>
      </c>
      <c r="BW570" s="2">
        <f t="shared" si="754"/>
        <v>0</v>
      </c>
      <c r="BX570" s="2">
        <f t="shared" si="755"/>
        <v>0</v>
      </c>
      <c r="BY570" s="2">
        <f t="shared" si="756"/>
        <v>0</v>
      </c>
      <c r="BZ570" s="2">
        <f t="shared" ref="BZ570:CA570" si="786">SUM(AQ570)</f>
        <v>0</v>
      </c>
      <c r="CA570" s="2">
        <f t="shared" si="786"/>
        <v>0</v>
      </c>
      <c r="CB570" s="2">
        <f t="shared" si="758"/>
        <v>0</v>
      </c>
    </row>
    <row r="571" spans="1:80" ht="16" x14ac:dyDescent="0.2">
      <c r="A571" s="3" t="s">
        <v>185</v>
      </c>
      <c r="B571" s="10">
        <v>752</v>
      </c>
      <c r="C571" s="5">
        <v>1</v>
      </c>
      <c r="D571" s="10">
        <v>1</v>
      </c>
      <c r="E571" s="10">
        <v>0</v>
      </c>
      <c r="F571" s="10"/>
      <c r="G571" s="10" t="s">
        <v>71</v>
      </c>
      <c r="H571" s="7" t="str">
        <f t="shared" si="751"/>
        <v>No</v>
      </c>
      <c r="I571" s="54" t="s">
        <v>55</v>
      </c>
      <c r="J571" s="8">
        <v>0</v>
      </c>
      <c r="K571" s="8"/>
      <c r="L571" s="8"/>
      <c r="M571" s="8"/>
      <c r="N571" s="8"/>
      <c r="O571" s="8"/>
      <c r="P571" s="8"/>
      <c r="Q571" s="8"/>
      <c r="R571" s="6"/>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f t="shared" si="526"/>
        <v>0</v>
      </c>
      <c r="BT571" s="8"/>
      <c r="BU571" s="2">
        <f t="shared" si="752"/>
        <v>0</v>
      </c>
      <c r="BV571" s="2">
        <f t="shared" si="753"/>
        <v>0</v>
      </c>
      <c r="BW571" s="2">
        <f t="shared" si="754"/>
        <v>0</v>
      </c>
      <c r="BX571" s="2">
        <f t="shared" si="755"/>
        <v>0</v>
      </c>
      <c r="BY571" s="2">
        <f t="shared" si="756"/>
        <v>0</v>
      </c>
      <c r="BZ571" s="2">
        <f t="shared" ref="BZ571:CA571" si="787">SUM(AQ571)</f>
        <v>0</v>
      </c>
      <c r="CA571" s="2">
        <f t="shared" si="787"/>
        <v>0</v>
      </c>
      <c r="CB571" s="2">
        <f t="shared" si="758"/>
        <v>0</v>
      </c>
    </row>
    <row r="572" spans="1:80" ht="16" x14ac:dyDescent="0.2">
      <c r="A572" s="3" t="s">
        <v>185</v>
      </c>
      <c r="B572" s="10">
        <v>752</v>
      </c>
      <c r="C572" s="5">
        <v>1</v>
      </c>
      <c r="D572" s="10">
        <v>1</v>
      </c>
      <c r="E572" s="10">
        <v>0</v>
      </c>
      <c r="F572" s="10"/>
      <c r="G572" s="10" t="s">
        <v>72</v>
      </c>
      <c r="H572" s="7" t="str">
        <f t="shared" si="751"/>
        <v>No</v>
      </c>
      <c r="I572" s="54" t="s">
        <v>55</v>
      </c>
      <c r="J572" s="8">
        <v>0</v>
      </c>
      <c r="K572" s="8"/>
      <c r="L572" s="8"/>
      <c r="M572" s="8"/>
      <c r="N572" s="8"/>
      <c r="O572" s="8"/>
      <c r="P572" s="8"/>
      <c r="Q572" s="8"/>
      <c r="R572" s="6"/>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f t="shared" si="526"/>
        <v>0</v>
      </c>
      <c r="BT572" s="8"/>
      <c r="BU572" s="2">
        <f t="shared" si="752"/>
        <v>0</v>
      </c>
      <c r="BV572" s="2">
        <f t="shared" si="753"/>
        <v>0</v>
      </c>
      <c r="BW572" s="2">
        <f t="shared" si="754"/>
        <v>0</v>
      </c>
      <c r="BX572" s="2">
        <f t="shared" si="755"/>
        <v>0</v>
      </c>
      <c r="BY572" s="2">
        <f t="shared" si="756"/>
        <v>0</v>
      </c>
      <c r="BZ572" s="2">
        <f t="shared" ref="BZ572:CA572" si="788">SUM(AQ572)</f>
        <v>0</v>
      </c>
      <c r="CA572" s="2">
        <f t="shared" si="788"/>
        <v>0</v>
      </c>
      <c r="CB572" s="2">
        <f t="shared" si="758"/>
        <v>0</v>
      </c>
    </row>
    <row r="573" spans="1:80" ht="16" x14ac:dyDescent="0.2">
      <c r="A573" s="3" t="s">
        <v>185</v>
      </c>
      <c r="B573" s="10">
        <v>752</v>
      </c>
      <c r="C573" s="5">
        <v>1</v>
      </c>
      <c r="D573" s="10">
        <v>1</v>
      </c>
      <c r="E573" s="10">
        <v>0</v>
      </c>
      <c r="F573" s="10"/>
      <c r="G573" s="10" t="s">
        <v>73</v>
      </c>
      <c r="H573" s="7" t="str">
        <f t="shared" si="751"/>
        <v>No</v>
      </c>
      <c r="I573" s="54" t="s">
        <v>55</v>
      </c>
      <c r="J573" s="8">
        <v>0</v>
      </c>
      <c r="K573" s="8"/>
      <c r="L573" s="8"/>
      <c r="M573" s="8"/>
      <c r="N573" s="8"/>
      <c r="O573" s="8"/>
      <c r="P573" s="8"/>
      <c r="Q573" s="8"/>
      <c r="R573" s="6"/>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f t="shared" si="526"/>
        <v>0</v>
      </c>
      <c r="BT573" s="8"/>
      <c r="BU573" s="2">
        <f t="shared" si="752"/>
        <v>0</v>
      </c>
      <c r="BV573" s="2">
        <f t="shared" si="753"/>
        <v>0</v>
      </c>
      <c r="BW573" s="2">
        <f t="shared" si="754"/>
        <v>0</v>
      </c>
      <c r="BX573" s="2">
        <f t="shared" si="755"/>
        <v>0</v>
      </c>
      <c r="BY573" s="2">
        <f t="shared" si="756"/>
        <v>0</v>
      </c>
      <c r="BZ573" s="2">
        <f t="shared" ref="BZ573:CA573" si="789">SUM(AQ573)</f>
        <v>0</v>
      </c>
      <c r="CA573" s="2">
        <f t="shared" si="789"/>
        <v>0</v>
      </c>
      <c r="CB573" s="2">
        <f t="shared" si="758"/>
        <v>0</v>
      </c>
    </row>
    <row r="574" spans="1:80" ht="16" x14ac:dyDescent="0.2">
      <c r="A574" s="3" t="s">
        <v>185</v>
      </c>
      <c r="B574" s="10">
        <v>752</v>
      </c>
      <c r="C574" s="5">
        <v>1</v>
      </c>
      <c r="D574" s="10">
        <v>1</v>
      </c>
      <c r="E574" s="10">
        <v>0</v>
      </c>
      <c r="F574" s="10"/>
      <c r="G574" s="10" t="s">
        <v>74</v>
      </c>
      <c r="H574" s="7" t="str">
        <f t="shared" si="751"/>
        <v>No</v>
      </c>
      <c r="I574" s="54" t="s">
        <v>55</v>
      </c>
      <c r="J574" s="8">
        <v>0</v>
      </c>
      <c r="K574" s="8"/>
      <c r="L574" s="8"/>
      <c r="M574" s="8"/>
      <c r="N574" s="8"/>
      <c r="O574" s="8"/>
      <c r="P574" s="8"/>
      <c r="Q574" s="8"/>
      <c r="R574" s="6"/>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f t="shared" si="526"/>
        <v>0</v>
      </c>
      <c r="BT574" s="8"/>
      <c r="BU574" s="2">
        <f t="shared" si="752"/>
        <v>0</v>
      </c>
      <c r="BV574" s="2">
        <f t="shared" si="753"/>
        <v>0</v>
      </c>
      <c r="BW574" s="2">
        <f t="shared" si="754"/>
        <v>0</v>
      </c>
      <c r="BX574" s="2">
        <f t="shared" si="755"/>
        <v>0</v>
      </c>
      <c r="BY574" s="2">
        <f t="shared" si="756"/>
        <v>0</v>
      </c>
      <c r="BZ574" s="2">
        <f t="shared" ref="BZ574:CA574" si="790">SUM(AQ574)</f>
        <v>0</v>
      </c>
      <c r="CA574" s="2">
        <f t="shared" si="790"/>
        <v>0</v>
      </c>
      <c r="CB574" s="2">
        <f t="shared" si="758"/>
        <v>0</v>
      </c>
    </row>
    <row r="575" spans="1:80" ht="16" x14ac:dyDescent="0.2">
      <c r="A575" s="3" t="s">
        <v>185</v>
      </c>
      <c r="B575" s="10">
        <v>752</v>
      </c>
      <c r="C575" s="5">
        <v>1</v>
      </c>
      <c r="D575" s="10">
        <v>1</v>
      </c>
      <c r="E575" s="10">
        <v>0</v>
      </c>
      <c r="F575" s="10"/>
      <c r="G575" s="10" t="s">
        <v>75</v>
      </c>
      <c r="H575" s="7" t="str">
        <f t="shared" si="751"/>
        <v>No</v>
      </c>
      <c r="I575" s="54" t="s">
        <v>55</v>
      </c>
      <c r="J575" s="8">
        <v>0</v>
      </c>
      <c r="K575" s="8"/>
      <c r="L575" s="8"/>
      <c r="M575" s="8"/>
      <c r="N575" s="8"/>
      <c r="O575" s="8"/>
      <c r="P575" s="8"/>
      <c r="Q575" s="8"/>
      <c r="R575" s="6"/>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f t="shared" si="526"/>
        <v>0</v>
      </c>
      <c r="BT575" s="8"/>
      <c r="BU575" s="2">
        <f t="shared" si="752"/>
        <v>0</v>
      </c>
      <c r="BV575" s="2">
        <f t="shared" si="753"/>
        <v>0</v>
      </c>
      <c r="BW575" s="2">
        <f t="shared" si="754"/>
        <v>0</v>
      </c>
      <c r="BX575" s="2">
        <f t="shared" si="755"/>
        <v>0</v>
      </c>
      <c r="BY575" s="2">
        <f t="shared" si="756"/>
        <v>0</v>
      </c>
      <c r="BZ575" s="2">
        <f t="shared" ref="BZ575:CA575" si="791">SUM(AQ575)</f>
        <v>0</v>
      </c>
      <c r="CA575" s="2">
        <f t="shared" si="791"/>
        <v>0</v>
      </c>
      <c r="CB575" s="2">
        <f t="shared" si="758"/>
        <v>0</v>
      </c>
    </row>
    <row r="576" spans="1:80" ht="16" x14ac:dyDescent="0.2">
      <c r="A576" s="3" t="s">
        <v>185</v>
      </c>
      <c r="B576" s="10">
        <v>752</v>
      </c>
      <c r="C576" s="5">
        <v>1</v>
      </c>
      <c r="D576" s="10">
        <v>1</v>
      </c>
      <c r="E576" s="10">
        <v>0</v>
      </c>
      <c r="F576" s="10"/>
      <c r="G576" s="10" t="s">
        <v>76</v>
      </c>
      <c r="H576" s="7" t="str">
        <f t="shared" si="751"/>
        <v>No</v>
      </c>
      <c r="I576" s="54" t="s">
        <v>55</v>
      </c>
      <c r="J576" s="8">
        <v>0</v>
      </c>
      <c r="K576" s="8"/>
      <c r="L576" s="8"/>
      <c r="M576" s="8"/>
      <c r="N576" s="8"/>
      <c r="O576" s="8"/>
      <c r="P576" s="8"/>
      <c r="Q576" s="8"/>
      <c r="R576" s="6"/>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f t="shared" si="526"/>
        <v>0</v>
      </c>
      <c r="BT576" s="8"/>
      <c r="BU576" s="2">
        <f t="shared" si="752"/>
        <v>0</v>
      </c>
      <c r="BV576" s="2">
        <f t="shared" si="753"/>
        <v>0</v>
      </c>
      <c r="BW576" s="2">
        <f t="shared" si="754"/>
        <v>0</v>
      </c>
      <c r="BX576" s="2">
        <f t="shared" si="755"/>
        <v>0</v>
      </c>
      <c r="BY576" s="2">
        <f t="shared" si="756"/>
        <v>0</v>
      </c>
      <c r="BZ576" s="2">
        <f t="shared" ref="BZ576:CA576" si="792">SUM(AQ576)</f>
        <v>0</v>
      </c>
      <c r="CA576" s="2">
        <f t="shared" si="792"/>
        <v>0</v>
      </c>
      <c r="CB576" s="2">
        <f t="shared" si="758"/>
        <v>0</v>
      </c>
    </row>
    <row r="577" spans="1:80" ht="16" x14ac:dyDescent="0.2">
      <c r="A577" s="3" t="s">
        <v>185</v>
      </c>
      <c r="B577" s="10">
        <v>752</v>
      </c>
      <c r="C577" s="5">
        <v>1</v>
      </c>
      <c r="D577" s="10">
        <v>1</v>
      </c>
      <c r="E577" s="10">
        <v>0</v>
      </c>
      <c r="F577" s="10"/>
      <c r="G577" s="10" t="s">
        <v>77</v>
      </c>
      <c r="H577" s="7" t="str">
        <f t="shared" si="751"/>
        <v>No</v>
      </c>
      <c r="I577" s="54" t="s">
        <v>55</v>
      </c>
      <c r="J577" s="8">
        <v>0</v>
      </c>
      <c r="K577" s="8"/>
      <c r="L577" s="8"/>
      <c r="M577" s="8"/>
      <c r="N577" s="8"/>
      <c r="O577" s="8"/>
      <c r="P577" s="8"/>
      <c r="Q577" s="8"/>
      <c r="R577" s="6"/>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f t="shared" si="526"/>
        <v>0</v>
      </c>
      <c r="BT577" s="8"/>
      <c r="BU577" s="2">
        <f t="shared" si="752"/>
        <v>0</v>
      </c>
      <c r="BV577" s="2">
        <f t="shared" si="753"/>
        <v>0</v>
      </c>
      <c r="BW577" s="2">
        <f t="shared" si="754"/>
        <v>0</v>
      </c>
      <c r="BX577" s="2">
        <f t="shared" si="755"/>
        <v>0</v>
      </c>
      <c r="BY577" s="2">
        <f t="shared" si="756"/>
        <v>0</v>
      </c>
      <c r="BZ577" s="2">
        <f t="shared" ref="BZ577:CA577" si="793">SUM(AQ577)</f>
        <v>0</v>
      </c>
      <c r="CA577" s="2">
        <f t="shared" si="793"/>
        <v>0</v>
      </c>
      <c r="CB577" s="2">
        <f t="shared" si="758"/>
        <v>0</v>
      </c>
    </row>
    <row r="578" spans="1:80" ht="16" x14ac:dyDescent="0.2">
      <c r="A578" s="3" t="s">
        <v>185</v>
      </c>
      <c r="B578" s="10">
        <v>752</v>
      </c>
      <c r="C578" s="5">
        <v>1</v>
      </c>
      <c r="D578" s="10">
        <v>1</v>
      </c>
      <c r="E578" s="10">
        <v>0</v>
      </c>
      <c r="F578" s="10"/>
      <c r="G578" s="10" t="s">
        <v>78</v>
      </c>
      <c r="H578" s="7" t="str">
        <f t="shared" si="751"/>
        <v>No</v>
      </c>
      <c r="I578" s="54" t="s">
        <v>55</v>
      </c>
      <c r="J578" s="8">
        <v>0</v>
      </c>
      <c r="K578" s="8"/>
      <c r="L578" s="8"/>
      <c r="M578" s="8"/>
      <c r="N578" s="8"/>
      <c r="O578" s="8"/>
      <c r="P578" s="8"/>
      <c r="Q578" s="8"/>
      <c r="R578" s="6"/>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f t="shared" si="526"/>
        <v>0</v>
      </c>
      <c r="BT578" s="8"/>
      <c r="BU578" s="2">
        <f t="shared" si="752"/>
        <v>0</v>
      </c>
      <c r="BV578" s="2">
        <f t="shared" si="753"/>
        <v>0</v>
      </c>
      <c r="BW578" s="2">
        <f t="shared" si="754"/>
        <v>0</v>
      </c>
      <c r="BX578" s="2">
        <f t="shared" si="755"/>
        <v>0</v>
      </c>
      <c r="BY578" s="2">
        <f t="shared" si="756"/>
        <v>0</v>
      </c>
      <c r="BZ578" s="2">
        <f t="shared" ref="BZ578:CA578" si="794">SUM(AQ578)</f>
        <v>0</v>
      </c>
      <c r="CA578" s="2">
        <f t="shared" si="794"/>
        <v>0</v>
      </c>
      <c r="CB578" s="2">
        <f t="shared" si="758"/>
        <v>0</v>
      </c>
    </row>
    <row r="579" spans="1:80" ht="16" x14ac:dyDescent="0.2">
      <c r="A579" s="3" t="s">
        <v>185</v>
      </c>
      <c r="B579" s="10">
        <v>752</v>
      </c>
      <c r="C579" s="5">
        <v>1</v>
      </c>
      <c r="D579" s="10">
        <v>1</v>
      </c>
      <c r="E579" s="10">
        <v>0</v>
      </c>
      <c r="F579" s="10"/>
      <c r="G579" s="10">
        <v>2020</v>
      </c>
      <c r="H579" s="7" t="str">
        <f t="shared" si="751"/>
        <v>No</v>
      </c>
      <c r="I579" s="54" t="s">
        <v>55</v>
      </c>
      <c r="J579" s="8">
        <v>0</v>
      </c>
      <c r="K579" s="8"/>
      <c r="L579" s="8"/>
      <c r="M579" s="8"/>
      <c r="N579" s="8"/>
      <c r="O579" s="8"/>
      <c r="P579" s="8"/>
      <c r="Q579" s="8"/>
      <c r="R579" s="6"/>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f t="shared" si="526"/>
        <v>0</v>
      </c>
      <c r="BT579" s="8"/>
      <c r="BU579" s="2">
        <f t="shared" si="752"/>
        <v>0</v>
      </c>
      <c r="BV579" s="2">
        <f t="shared" si="753"/>
        <v>0</v>
      </c>
      <c r="BW579" s="2">
        <f t="shared" si="754"/>
        <v>0</v>
      </c>
      <c r="BX579" s="2">
        <f t="shared" si="755"/>
        <v>0</v>
      </c>
      <c r="BY579" s="2">
        <f t="shared" si="756"/>
        <v>0</v>
      </c>
      <c r="BZ579" s="2">
        <f t="shared" ref="BZ579:CA579" si="795">SUM(AQ579)</f>
        <v>0</v>
      </c>
      <c r="CA579" s="2">
        <f t="shared" si="795"/>
        <v>0</v>
      </c>
      <c r="CB579" s="2">
        <f t="shared" si="758"/>
        <v>0</v>
      </c>
    </row>
    <row r="580" spans="1:80" ht="16" x14ac:dyDescent="0.2">
      <c r="A580" s="3" t="s">
        <v>185</v>
      </c>
      <c r="B580" s="10">
        <v>752</v>
      </c>
      <c r="C580" s="5">
        <v>1</v>
      </c>
      <c r="D580" s="10">
        <v>1</v>
      </c>
      <c r="E580" s="10">
        <v>0</v>
      </c>
      <c r="F580" s="10"/>
      <c r="G580" s="10">
        <v>2021</v>
      </c>
      <c r="H580" s="7" t="str">
        <f t="shared" si="751"/>
        <v>No</v>
      </c>
      <c r="I580" s="54" t="s">
        <v>55</v>
      </c>
      <c r="J580" s="8">
        <v>0</v>
      </c>
      <c r="K580" s="8" t="s">
        <v>81</v>
      </c>
      <c r="L580" s="8"/>
      <c r="M580" s="8"/>
      <c r="N580" s="8"/>
      <c r="O580" s="8"/>
      <c r="P580" s="8"/>
      <c r="Q580" s="8"/>
      <c r="R580" s="6"/>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f t="shared" si="526"/>
        <v>0</v>
      </c>
      <c r="BT580" s="8"/>
      <c r="BU580" s="2">
        <f t="shared" si="752"/>
        <v>0</v>
      </c>
      <c r="BV580" s="2">
        <f t="shared" si="753"/>
        <v>0</v>
      </c>
      <c r="BW580" s="2">
        <f t="shared" si="754"/>
        <v>0</v>
      </c>
      <c r="BX580" s="2">
        <f t="shared" si="755"/>
        <v>0</v>
      </c>
      <c r="BY580" s="2">
        <f t="shared" si="756"/>
        <v>0</v>
      </c>
      <c r="BZ580" s="2">
        <f t="shared" ref="BZ580:CA580" si="796">SUM(AQ580)</f>
        <v>0</v>
      </c>
      <c r="CA580" s="2">
        <f t="shared" si="796"/>
        <v>0</v>
      </c>
      <c r="CB580" s="2">
        <f t="shared" si="758"/>
        <v>0</v>
      </c>
    </row>
    <row r="581" spans="1:80" ht="16" x14ac:dyDescent="0.2">
      <c r="A581" s="3" t="s">
        <v>185</v>
      </c>
      <c r="B581" s="10">
        <v>752</v>
      </c>
      <c r="C581" s="5">
        <v>1</v>
      </c>
      <c r="D581" s="10">
        <v>1</v>
      </c>
      <c r="E581" s="10">
        <v>0</v>
      </c>
      <c r="F581" s="10"/>
      <c r="G581" s="10">
        <v>2022</v>
      </c>
      <c r="H581" s="7" t="str">
        <f t="shared" si="751"/>
        <v>No</v>
      </c>
      <c r="I581" s="54" t="s">
        <v>55</v>
      </c>
      <c r="J581" s="8">
        <v>0</v>
      </c>
      <c r="K581" s="8" t="s">
        <v>81</v>
      </c>
      <c r="L581" s="8"/>
      <c r="M581" s="8"/>
      <c r="N581" s="8"/>
      <c r="O581" s="8"/>
      <c r="P581" s="8"/>
      <c r="Q581" s="8"/>
      <c r="R581" s="6"/>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f t="shared" si="526"/>
        <v>0</v>
      </c>
      <c r="BT581" s="8"/>
      <c r="BU581" s="2">
        <f t="shared" si="752"/>
        <v>0</v>
      </c>
      <c r="BV581" s="2">
        <f t="shared" si="753"/>
        <v>0</v>
      </c>
      <c r="BW581" s="2">
        <f t="shared" si="754"/>
        <v>0</v>
      </c>
      <c r="BX581" s="2">
        <f t="shared" si="755"/>
        <v>0</v>
      </c>
      <c r="BY581" s="2">
        <f t="shared" si="756"/>
        <v>0</v>
      </c>
      <c r="BZ581" s="2">
        <f t="shared" ref="BZ581:CA581" si="797">SUM(AQ581)</f>
        <v>0</v>
      </c>
      <c r="CA581" s="2">
        <f t="shared" si="797"/>
        <v>0</v>
      </c>
      <c r="CB581" s="2">
        <f t="shared" si="758"/>
        <v>0</v>
      </c>
    </row>
    <row r="582" spans="1:80" s="33" customFormat="1" ht="16" x14ac:dyDescent="0.2">
      <c r="A582" s="21" t="s">
        <v>185</v>
      </c>
      <c r="B582" s="30">
        <v>752</v>
      </c>
      <c r="C582" s="31">
        <v>1</v>
      </c>
      <c r="D582" s="30">
        <v>1</v>
      </c>
      <c r="E582" s="30">
        <v>0</v>
      </c>
      <c r="F582" s="30"/>
      <c r="G582" s="30">
        <v>2023</v>
      </c>
      <c r="H582" s="22" t="s">
        <v>82</v>
      </c>
      <c r="I582" s="55" t="s">
        <v>56</v>
      </c>
      <c r="J582" s="23">
        <v>1</v>
      </c>
      <c r="K582" s="23" t="s">
        <v>63</v>
      </c>
      <c r="L582" s="23" t="s">
        <v>64</v>
      </c>
      <c r="M582" s="23" t="s">
        <v>64</v>
      </c>
      <c r="N582" s="23">
        <v>1</v>
      </c>
      <c r="O582" s="23">
        <v>1</v>
      </c>
      <c r="P582" s="23">
        <v>0</v>
      </c>
      <c r="Q582" s="23" t="s">
        <v>186</v>
      </c>
      <c r="R582" s="25">
        <v>0.1</v>
      </c>
      <c r="S582" s="23">
        <v>1</v>
      </c>
      <c r="T582" s="23">
        <v>0</v>
      </c>
      <c r="U582" s="23">
        <v>1</v>
      </c>
      <c r="V582" s="23">
        <v>1</v>
      </c>
      <c r="W582" s="23">
        <v>1</v>
      </c>
      <c r="X582" s="23">
        <v>0</v>
      </c>
      <c r="Y582" s="23">
        <v>0</v>
      </c>
      <c r="Z582" s="23">
        <v>0</v>
      </c>
      <c r="AA582" s="37" t="s">
        <v>187</v>
      </c>
      <c r="AB582" s="23">
        <v>0</v>
      </c>
      <c r="AC582" s="23">
        <v>0</v>
      </c>
      <c r="AD582" s="23">
        <v>1</v>
      </c>
      <c r="AE582" s="23">
        <v>0</v>
      </c>
      <c r="AF582" s="23">
        <v>1</v>
      </c>
      <c r="AG582" s="23">
        <v>0.5</v>
      </c>
      <c r="AH582" s="23">
        <v>0</v>
      </c>
      <c r="AI582" s="23">
        <v>1</v>
      </c>
      <c r="AJ582" s="23">
        <v>1</v>
      </c>
      <c r="AK582" s="23">
        <v>1</v>
      </c>
      <c r="AL582" s="23">
        <v>1</v>
      </c>
      <c r="AM582" s="23">
        <v>0</v>
      </c>
      <c r="AN582" s="23">
        <v>1</v>
      </c>
      <c r="AO582" s="23">
        <v>0</v>
      </c>
      <c r="AP582" s="23">
        <v>0</v>
      </c>
      <c r="AQ582" s="23">
        <v>0</v>
      </c>
      <c r="AR582" s="23">
        <v>0</v>
      </c>
      <c r="AS582" s="23">
        <v>0</v>
      </c>
      <c r="AT582" s="23">
        <v>1</v>
      </c>
      <c r="AU582" s="23">
        <v>1</v>
      </c>
      <c r="AV582" s="23">
        <v>0</v>
      </c>
      <c r="AW582" s="23">
        <v>0</v>
      </c>
      <c r="AX582" s="23">
        <v>0</v>
      </c>
      <c r="AY582" s="23">
        <v>0</v>
      </c>
      <c r="AZ582" s="38">
        <v>0</v>
      </c>
      <c r="BA582" s="38">
        <v>0</v>
      </c>
      <c r="BB582" s="38">
        <v>0</v>
      </c>
      <c r="BC582" s="38">
        <v>0</v>
      </c>
      <c r="BD582" s="38">
        <v>0</v>
      </c>
      <c r="BE582" s="38">
        <v>0</v>
      </c>
      <c r="BF582" s="38">
        <v>0</v>
      </c>
      <c r="BG582" s="38">
        <v>0</v>
      </c>
      <c r="BH582" s="23">
        <v>0</v>
      </c>
      <c r="BI582" s="23">
        <v>1</v>
      </c>
      <c r="BJ582" s="23">
        <v>0</v>
      </c>
      <c r="BK582" s="23">
        <v>1</v>
      </c>
      <c r="BL582" s="23">
        <v>1</v>
      </c>
      <c r="BM582" s="23">
        <v>0</v>
      </c>
      <c r="BN582" s="23">
        <v>0</v>
      </c>
      <c r="BO582" s="23">
        <v>1</v>
      </c>
      <c r="BP582" s="23">
        <v>0</v>
      </c>
      <c r="BQ582" s="23">
        <v>0</v>
      </c>
      <c r="BR582" s="23">
        <v>0</v>
      </c>
      <c r="BS582" s="23">
        <f>SUM(AI582:BR582)</f>
        <v>11</v>
      </c>
      <c r="BT582" s="23"/>
      <c r="BU582" s="32">
        <f>SUM(AI582,BK582)</f>
        <v>2</v>
      </c>
      <c r="BV582" s="32">
        <f>SUM(AK582, AL582, AM582,AJ582,BL582,BO582, AP582)</f>
        <v>5</v>
      </c>
      <c r="BW582" s="32">
        <f>SUM(AN582, AO582, AS582)</f>
        <v>1</v>
      </c>
      <c r="BX582" s="32">
        <f>SUM(AU582,AV582,AW582,AX582,AY582,AZ582,BA582,BB582,BC582,BD582,BE582,BF582,BG582,BH582,BI582,BJ582,BQ582,BR582,BM582)</f>
        <v>2</v>
      </c>
      <c r="BY582" s="32">
        <f>SUM(BP582, BN582)</f>
        <v>0</v>
      </c>
      <c r="BZ582" s="32">
        <f>SUM(AQ582)</f>
        <v>0</v>
      </c>
      <c r="CA582" s="32">
        <f>SUM(AR582)</f>
        <v>0</v>
      </c>
      <c r="CB582" s="32">
        <f>SUM(AT582)</f>
        <v>1</v>
      </c>
    </row>
    <row r="583" spans="1:80" ht="16" x14ac:dyDescent="0.2">
      <c r="A583" s="3" t="s">
        <v>185</v>
      </c>
      <c r="B583" s="10">
        <v>752</v>
      </c>
      <c r="C583" s="5">
        <v>1</v>
      </c>
      <c r="D583" s="10">
        <v>1</v>
      </c>
      <c r="E583" s="10">
        <v>0</v>
      </c>
      <c r="F583" s="10"/>
      <c r="G583" s="10">
        <v>2024</v>
      </c>
      <c r="H583" s="7" t="str">
        <f>IF($I583="1", "Yes", "No")</f>
        <v>No</v>
      </c>
      <c r="I583" s="54" t="s">
        <v>55</v>
      </c>
      <c r="J583" s="8">
        <v>1</v>
      </c>
      <c r="K583" s="8" t="s">
        <v>63</v>
      </c>
      <c r="L583" s="8" t="s">
        <v>64</v>
      </c>
      <c r="M583" s="8" t="s">
        <v>64</v>
      </c>
      <c r="N583" s="8">
        <v>1</v>
      </c>
      <c r="O583" s="8">
        <v>1</v>
      </c>
      <c r="P583" s="8">
        <v>0</v>
      </c>
      <c r="Q583" s="8" t="s">
        <v>186</v>
      </c>
      <c r="R583" s="9">
        <v>0.1</v>
      </c>
      <c r="S583" s="8">
        <v>1</v>
      </c>
      <c r="T583" s="8">
        <v>0</v>
      </c>
      <c r="U583" s="8">
        <v>1</v>
      </c>
      <c r="V583" s="8">
        <v>1</v>
      </c>
      <c r="W583" s="8">
        <v>1</v>
      </c>
      <c r="X583" s="8">
        <v>0</v>
      </c>
      <c r="Y583" s="8">
        <v>0</v>
      </c>
      <c r="Z583" s="8">
        <v>0</v>
      </c>
      <c r="AA583" s="37" t="s">
        <v>187</v>
      </c>
      <c r="AB583" s="8">
        <v>0</v>
      </c>
      <c r="AC583" s="8">
        <v>0</v>
      </c>
      <c r="AD583" s="8">
        <v>1</v>
      </c>
      <c r="AE583" s="8">
        <v>0</v>
      </c>
      <c r="AF583" s="8">
        <v>1</v>
      </c>
      <c r="AG583" s="8">
        <v>0.5</v>
      </c>
      <c r="AH583" s="8">
        <v>0</v>
      </c>
      <c r="AI583" s="8">
        <v>1</v>
      </c>
      <c r="AJ583" s="8">
        <v>1</v>
      </c>
      <c r="AK583" s="8">
        <v>1</v>
      </c>
      <c r="AL583" s="8">
        <v>1</v>
      </c>
      <c r="AM583" s="8">
        <v>0</v>
      </c>
      <c r="AN583" s="8">
        <v>1</v>
      </c>
      <c r="AO583" s="8">
        <v>0</v>
      </c>
      <c r="AP583" s="8">
        <v>0</v>
      </c>
      <c r="AQ583" s="8">
        <v>0</v>
      </c>
      <c r="AR583" s="8">
        <v>0</v>
      </c>
      <c r="AS583" s="8">
        <v>0</v>
      </c>
      <c r="AT583" s="8">
        <v>1</v>
      </c>
      <c r="AU583" s="8">
        <v>1</v>
      </c>
      <c r="AV583" s="8">
        <v>0</v>
      </c>
      <c r="AW583" s="8">
        <v>0</v>
      </c>
      <c r="AX583" s="8">
        <v>0</v>
      </c>
      <c r="AY583" s="8">
        <v>0</v>
      </c>
      <c r="AZ583" s="16">
        <v>0</v>
      </c>
      <c r="BA583" s="16">
        <v>0</v>
      </c>
      <c r="BB583" s="16">
        <v>0</v>
      </c>
      <c r="BC583" s="16">
        <v>0</v>
      </c>
      <c r="BD583" s="16">
        <v>0</v>
      </c>
      <c r="BE583" s="16">
        <v>0</v>
      </c>
      <c r="BF583" s="16">
        <v>0</v>
      </c>
      <c r="BG583" s="16">
        <v>0</v>
      </c>
      <c r="BH583" s="8">
        <v>0</v>
      </c>
      <c r="BI583" s="8">
        <v>1</v>
      </c>
      <c r="BJ583" s="8">
        <v>0</v>
      </c>
      <c r="BK583" s="8">
        <v>1</v>
      </c>
      <c r="BL583" s="8">
        <v>1</v>
      </c>
      <c r="BM583" s="8">
        <v>0</v>
      </c>
      <c r="BN583" s="8">
        <v>0</v>
      </c>
      <c r="BO583" s="8">
        <v>1</v>
      </c>
      <c r="BP583" s="8">
        <v>0</v>
      </c>
      <c r="BQ583" s="8">
        <v>0</v>
      </c>
      <c r="BR583" s="8">
        <v>0</v>
      </c>
      <c r="BS583" s="8">
        <f>SUM(AI583:BR583)</f>
        <v>11</v>
      </c>
      <c r="BT583" s="8"/>
      <c r="BU583" s="2">
        <f>SUM(AI583,BK583)</f>
        <v>2</v>
      </c>
      <c r="BV583" s="2">
        <f>SUM(AK583, AL583, AM583,AJ583,BL583,BO583, AP583)</f>
        <v>5</v>
      </c>
      <c r="BW583" s="2">
        <f>SUM(AN583, AO583, AS583)</f>
        <v>1</v>
      </c>
      <c r="BX583" s="2">
        <f>SUM(AU583,AV583,AW583,AX583,AY583,AZ583,BA583,BB583,BC583,BD583,BE583,BF583,BG583,BH583,BI583,BJ583,BQ583,BR583,BM583)</f>
        <v>2</v>
      </c>
      <c r="BY583" s="2">
        <f>SUM(BP583, BN583)</f>
        <v>0</v>
      </c>
      <c r="BZ583" s="2">
        <f>SUM(AQ583)</f>
        <v>0</v>
      </c>
      <c r="CA583" s="2">
        <f>SUM(AR583)</f>
        <v>0</v>
      </c>
      <c r="CB583" s="2">
        <f>SUM(AT583)</f>
        <v>1</v>
      </c>
    </row>
    <row r="584" spans="1:80" ht="16" x14ac:dyDescent="0.2">
      <c r="A584" s="3" t="s">
        <v>188</v>
      </c>
      <c r="B584" s="10">
        <v>756</v>
      </c>
      <c r="C584" s="5">
        <v>1</v>
      </c>
      <c r="D584" s="10">
        <v>1</v>
      </c>
      <c r="E584" s="10">
        <v>0</v>
      </c>
      <c r="F584" s="10"/>
      <c r="G584" s="10" t="s">
        <v>86</v>
      </c>
      <c r="H584" s="7" t="str">
        <f t="shared" si="751"/>
        <v>No</v>
      </c>
      <c r="I584" s="54" t="s">
        <v>55</v>
      </c>
      <c r="J584" s="8">
        <v>0</v>
      </c>
      <c r="K584" s="8"/>
      <c r="L584" s="8"/>
      <c r="M584" s="8"/>
      <c r="N584" s="8"/>
      <c r="O584" s="8"/>
      <c r="P584" s="8"/>
      <c r="Q584" s="8"/>
      <c r="R584" s="6"/>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f t="shared" si="526"/>
        <v>0</v>
      </c>
      <c r="BT584" s="8"/>
      <c r="BU584" s="2">
        <f t="shared" si="752"/>
        <v>0</v>
      </c>
      <c r="BV584" s="2">
        <f t="shared" si="753"/>
        <v>0</v>
      </c>
      <c r="BW584" s="2">
        <f t="shared" si="754"/>
        <v>0</v>
      </c>
      <c r="BX584" s="2">
        <f t="shared" si="755"/>
        <v>0</v>
      </c>
      <c r="BY584" s="2">
        <f t="shared" si="756"/>
        <v>0</v>
      </c>
      <c r="BZ584" s="2">
        <f t="shared" ref="BZ584:CA584" si="798">SUM(AQ584)</f>
        <v>0</v>
      </c>
      <c r="CA584" s="2">
        <f t="shared" si="798"/>
        <v>0</v>
      </c>
      <c r="CB584" s="2">
        <f t="shared" si="758"/>
        <v>0</v>
      </c>
    </row>
    <row r="585" spans="1:80" ht="16" x14ac:dyDescent="0.2">
      <c r="A585" s="3" t="s">
        <v>188</v>
      </c>
      <c r="B585" s="10">
        <v>756</v>
      </c>
      <c r="C585" s="5">
        <v>1</v>
      </c>
      <c r="D585" s="10">
        <v>1</v>
      </c>
      <c r="E585" s="10">
        <v>0</v>
      </c>
      <c r="F585" s="10"/>
      <c r="G585" s="10" t="s">
        <v>90</v>
      </c>
      <c r="H585" s="7" t="str">
        <f t="shared" si="751"/>
        <v>No</v>
      </c>
      <c r="I585" s="54" t="s">
        <v>55</v>
      </c>
      <c r="J585" s="8">
        <v>0</v>
      </c>
      <c r="K585" s="8"/>
      <c r="L585" s="8"/>
      <c r="M585" s="8"/>
      <c r="N585" s="8"/>
      <c r="O585" s="8"/>
      <c r="P585" s="8"/>
      <c r="Q585" s="8"/>
      <c r="R585" s="6"/>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f t="shared" si="526"/>
        <v>0</v>
      </c>
      <c r="BT585" s="8"/>
      <c r="BU585" s="2">
        <f t="shared" si="752"/>
        <v>0</v>
      </c>
      <c r="BV585" s="2">
        <f t="shared" si="753"/>
        <v>0</v>
      </c>
      <c r="BW585" s="2">
        <f t="shared" si="754"/>
        <v>0</v>
      </c>
      <c r="BX585" s="2">
        <f t="shared" si="755"/>
        <v>0</v>
      </c>
      <c r="BY585" s="2">
        <f t="shared" si="756"/>
        <v>0</v>
      </c>
      <c r="BZ585" s="2">
        <f t="shared" ref="BZ585:CA585" si="799">SUM(AQ585)</f>
        <v>0</v>
      </c>
      <c r="CA585" s="2">
        <f t="shared" si="799"/>
        <v>0</v>
      </c>
      <c r="CB585" s="2">
        <f t="shared" si="758"/>
        <v>0</v>
      </c>
    </row>
    <row r="586" spans="1:80" ht="16" x14ac:dyDescent="0.2">
      <c r="A586" s="3" t="s">
        <v>188</v>
      </c>
      <c r="B586" s="10">
        <v>756</v>
      </c>
      <c r="C586" s="5">
        <v>1</v>
      </c>
      <c r="D586" s="10">
        <v>1</v>
      </c>
      <c r="E586" s="10">
        <v>0</v>
      </c>
      <c r="F586" s="10"/>
      <c r="G586" s="10" t="s">
        <v>91</v>
      </c>
      <c r="H586" s="7" t="str">
        <f t="shared" si="751"/>
        <v>No</v>
      </c>
      <c r="I586" s="54" t="s">
        <v>55</v>
      </c>
      <c r="J586" s="8">
        <v>0</v>
      </c>
      <c r="K586" s="8"/>
      <c r="L586" s="8"/>
      <c r="M586" s="8"/>
      <c r="N586" s="8"/>
      <c r="O586" s="8"/>
      <c r="P586" s="8"/>
      <c r="Q586" s="8"/>
      <c r="R586" s="6"/>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f t="shared" si="526"/>
        <v>0</v>
      </c>
      <c r="BT586" s="8"/>
      <c r="BU586" s="2">
        <f t="shared" si="752"/>
        <v>0</v>
      </c>
      <c r="BV586" s="2">
        <f t="shared" si="753"/>
        <v>0</v>
      </c>
      <c r="BW586" s="2">
        <f t="shared" si="754"/>
        <v>0</v>
      </c>
      <c r="BX586" s="2">
        <f t="shared" si="755"/>
        <v>0</v>
      </c>
      <c r="BY586" s="2">
        <f t="shared" si="756"/>
        <v>0</v>
      </c>
      <c r="BZ586" s="2">
        <f t="shared" ref="BZ586:CA586" si="800">SUM(AQ586)</f>
        <v>0</v>
      </c>
      <c r="CA586" s="2">
        <f t="shared" si="800"/>
        <v>0</v>
      </c>
      <c r="CB586" s="2">
        <f t="shared" si="758"/>
        <v>0</v>
      </c>
    </row>
    <row r="587" spans="1:80" ht="16" x14ac:dyDescent="0.2">
      <c r="A587" s="3" t="s">
        <v>188</v>
      </c>
      <c r="B587" s="10">
        <v>756</v>
      </c>
      <c r="C587" s="5">
        <v>1</v>
      </c>
      <c r="D587" s="10">
        <v>1</v>
      </c>
      <c r="E587" s="10">
        <v>0</v>
      </c>
      <c r="F587" s="10"/>
      <c r="G587" s="10" t="s">
        <v>93</v>
      </c>
      <c r="H587" s="7" t="str">
        <f t="shared" si="751"/>
        <v>No</v>
      </c>
      <c r="I587" s="54" t="s">
        <v>55</v>
      </c>
      <c r="J587" s="8">
        <v>0</v>
      </c>
      <c r="K587" s="8"/>
      <c r="L587" s="8"/>
      <c r="M587" s="8"/>
      <c r="N587" s="8"/>
      <c r="O587" s="8"/>
      <c r="P587" s="8"/>
      <c r="Q587" s="8"/>
      <c r="R587" s="6"/>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f t="shared" si="526"/>
        <v>0</v>
      </c>
      <c r="BT587" s="8"/>
      <c r="BU587" s="2">
        <f t="shared" si="752"/>
        <v>0</v>
      </c>
      <c r="BV587" s="2">
        <f t="shared" si="753"/>
        <v>0</v>
      </c>
      <c r="BW587" s="2">
        <f t="shared" si="754"/>
        <v>0</v>
      </c>
      <c r="BX587" s="2">
        <f t="shared" si="755"/>
        <v>0</v>
      </c>
      <c r="BY587" s="2">
        <f t="shared" si="756"/>
        <v>0</v>
      </c>
      <c r="BZ587" s="2">
        <f t="shared" ref="BZ587:CA587" si="801">SUM(AQ587)</f>
        <v>0</v>
      </c>
      <c r="CA587" s="2">
        <f t="shared" si="801"/>
        <v>0</v>
      </c>
      <c r="CB587" s="2">
        <f t="shared" si="758"/>
        <v>0</v>
      </c>
    </row>
    <row r="588" spans="1:80" ht="16" x14ac:dyDescent="0.2">
      <c r="A588" s="3" t="s">
        <v>188</v>
      </c>
      <c r="B588" s="10">
        <v>756</v>
      </c>
      <c r="C588" s="5">
        <v>1</v>
      </c>
      <c r="D588" s="10">
        <v>1</v>
      </c>
      <c r="E588" s="10">
        <v>0</v>
      </c>
      <c r="F588" s="10"/>
      <c r="G588" s="10" t="s">
        <v>70</v>
      </c>
      <c r="H588" s="7" t="str">
        <f t="shared" si="751"/>
        <v>No</v>
      </c>
      <c r="I588" s="54" t="s">
        <v>55</v>
      </c>
      <c r="J588" s="8">
        <v>0</v>
      </c>
      <c r="K588" s="8"/>
      <c r="L588" s="8"/>
      <c r="M588" s="8"/>
      <c r="N588" s="8"/>
      <c r="O588" s="8"/>
      <c r="P588" s="8"/>
      <c r="Q588" s="8"/>
      <c r="R588" s="6"/>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f t="shared" si="526"/>
        <v>0</v>
      </c>
      <c r="BT588" s="8"/>
      <c r="BU588" s="2">
        <f t="shared" si="752"/>
        <v>0</v>
      </c>
      <c r="BV588" s="2">
        <f t="shared" si="753"/>
        <v>0</v>
      </c>
      <c r="BW588" s="2">
        <f t="shared" si="754"/>
        <v>0</v>
      </c>
      <c r="BX588" s="2">
        <f t="shared" si="755"/>
        <v>0</v>
      </c>
      <c r="BY588" s="2">
        <f t="shared" si="756"/>
        <v>0</v>
      </c>
      <c r="BZ588" s="2">
        <f t="shared" ref="BZ588:CA588" si="802">SUM(AQ588)</f>
        <v>0</v>
      </c>
      <c r="CA588" s="2">
        <f t="shared" si="802"/>
        <v>0</v>
      </c>
      <c r="CB588" s="2">
        <f t="shared" si="758"/>
        <v>0</v>
      </c>
    </row>
    <row r="589" spans="1:80" ht="16" x14ac:dyDescent="0.2">
      <c r="A589" s="3" t="s">
        <v>188</v>
      </c>
      <c r="B589" s="10">
        <v>756</v>
      </c>
      <c r="C589" s="5">
        <v>1</v>
      </c>
      <c r="D589" s="10">
        <v>1</v>
      </c>
      <c r="E589" s="10">
        <v>0</v>
      </c>
      <c r="F589" s="10"/>
      <c r="G589" s="10" t="s">
        <v>71</v>
      </c>
      <c r="H589" s="7" t="str">
        <f t="shared" si="751"/>
        <v>No</v>
      </c>
      <c r="I589" s="54" t="s">
        <v>55</v>
      </c>
      <c r="J589" s="8">
        <v>0</v>
      </c>
      <c r="K589" s="8"/>
      <c r="L589" s="8"/>
      <c r="M589" s="8"/>
      <c r="N589" s="8"/>
      <c r="O589" s="8"/>
      <c r="P589" s="8"/>
      <c r="Q589" s="8"/>
      <c r="R589" s="6"/>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f t="shared" si="526"/>
        <v>0</v>
      </c>
      <c r="BT589" s="8"/>
      <c r="BU589" s="2">
        <f t="shared" si="752"/>
        <v>0</v>
      </c>
      <c r="BV589" s="2">
        <f t="shared" si="753"/>
        <v>0</v>
      </c>
      <c r="BW589" s="2">
        <f t="shared" si="754"/>
        <v>0</v>
      </c>
      <c r="BX589" s="2">
        <f t="shared" si="755"/>
        <v>0</v>
      </c>
      <c r="BY589" s="2">
        <f t="shared" si="756"/>
        <v>0</v>
      </c>
      <c r="BZ589" s="2">
        <f t="shared" ref="BZ589:CA589" si="803">SUM(AQ589)</f>
        <v>0</v>
      </c>
      <c r="CA589" s="2">
        <f t="shared" si="803"/>
        <v>0</v>
      </c>
      <c r="CB589" s="2" t="e">
        <f>SUM(#REF!)</f>
        <v>#REF!</v>
      </c>
    </row>
    <row r="590" spans="1:80" ht="16" x14ac:dyDescent="0.2">
      <c r="A590" s="3" t="s">
        <v>188</v>
      </c>
      <c r="B590" s="10">
        <v>756</v>
      </c>
      <c r="C590" s="5">
        <v>1</v>
      </c>
      <c r="D590" s="10">
        <v>1</v>
      </c>
      <c r="E590" s="10">
        <v>0</v>
      </c>
      <c r="F590" s="10"/>
      <c r="G590" s="10" t="s">
        <v>72</v>
      </c>
      <c r="H590" s="7" t="str">
        <f t="shared" si="751"/>
        <v>No</v>
      </c>
      <c r="I590" s="54" t="s">
        <v>55</v>
      </c>
      <c r="J590" s="8">
        <v>0</v>
      </c>
      <c r="K590" s="8"/>
      <c r="L590" s="8"/>
      <c r="M590" s="8"/>
      <c r="N590" s="8"/>
      <c r="O590" s="8"/>
      <c r="P590" s="8"/>
      <c r="Q590" s="8"/>
      <c r="R590" s="6"/>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f t="shared" si="526"/>
        <v>0</v>
      </c>
      <c r="BT590" s="8"/>
      <c r="BU590" s="2">
        <f t="shared" si="752"/>
        <v>0</v>
      </c>
      <c r="BV590" s="2">
        <f t="shared" si="753"/>
        <v>0</v>
      </c>
      <c r="BW590" s="2">
        <f t="shared" si="754"/>
        <v>0</v>
      </c>
      <c r="BX590" s="2">
        <f t="shared" si="755"/>
        <v>0</v>
      </c>
      <c r="BY590" s="2">
        <f t="shared" si="756"/>
        <v>0</v>
      </c>
      <c r="BZ590" s="2">
        <f t="shared" ref="BZ590:CA590" si="804">SUM(AQ590)</f>
        <v>0</v>
      </c>
      <c r="CA590" s="2">
        <f t="shared" si="804"/>
        <v>0</v>
      </c>
      <c r="CB590" s="2">
        <f>SUM(AT589)</f>
        <v>0</v>
      </c>
    </row>
    <row r="591" spans="1:80" ht="16" x14ac:dyDescent="0.2">
      <c r="A591" s="3" t="s">
        <v>188</v>
      </c>
      <c r="B591" s="10">
        <v>756</v>
      </c>
      <c r="C591" s="5">
        <v>1</v>
      </c>
      <c r="D591" s="10">
        <v>1</v>
      </c>
      <c r="E591" s="10">
        <v>0</v>
      </c>
      <c r="F591" s="10"/>
      <c r="G591" s="10" t="s">
        <v>73</v>
      </c>
      <c r="H591" s="7" t="str">
        <f t="shared" si="751"/>
        <v>No</v>
      </c>
      <c r="I591" s="54" t="s">
        <v>55</v>
      </c>
      <c r="J591" s="8">
        <v>0</v>
      </c>
      <c r="K591" s="8"/>
      <c r="L591" s="8"/>
      <c r="M591" s="8"/>
      <c r="N591" s="8"/>
      <c r="O591" s="8"/>
      <c r="P591" s="8"/>
      <c r="Q591" s="8"/>
      <c r="R591" s="6"/>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f t="shared" si="526"/>
        <v>0</v>
      </c>
      <c r="BT591" s="8"/>
      <c r="BU591" s="2">
        <f t="shared" si="752"/>
        <v>0</v>
      </c>
      <c r="BV591" s="2">
        <f t="shared" si="753"/>
        <v>0</v>
      </c>
      <c r="BW591" s="2">
        <f t="shared" si="754"/>
        <v>0</v>
      </c>
      <c r="BX591" s="2">
        <f t="shared" si="755"/>
        <v>0</v>
      </c>
      <c r="BY591" s="2">
        <f t="shared" si="756"/>
        <v>0</v>
      </c>
      <c r="BZ591" s="2">
        <f t="shared" ref="BZ591:CA591" si="805">SUM(AQ591)</f>
        <v>0</v>
      </c>
      <c r="CA591" s="2">
        <f t="shared" si="805"/>
        <v>0</v>
      </c>
      <c r="CB591" s="2">
        <f t="shared" si="758"/>
        <v>0</v>
      </c>
    </row>
    <row r="592" spans="1:80" ht="16" x14ac:dyDescent="0.2">
      <c r="A592" s="3" t="s">
        <v>188</v>
      </c>
      <c r="B592" s="10">
        <v>756</v>
      </c>
      <c r="C592" s="5">
        <v>1</v>
      </c>
      <c r="D592" s="10">
        <v>1</v>
      </c>
      <c r="E592" s="10">
        <v>0</v>
      </c>
      <c r="F592" s="10"/>
      <c r="G592" s="10" t="s">
        <v>74</v>
      </c>
      <c r="H592" s="7" t="str">
        <f t="shared" si="751"/>
        <v>No</v>
      </c>
      <c r="I592" s="54" t="s">
        <v>55</v>
      </c>
      <c r="J592" s="8">
        <v>0</v>
      </c>
      <c r="K592" s="8"/>
      <c r="L592" s="8"/>
      <c r="M592" s="8"/>
      <c r="N592" s="8"/>
      <c r="O592" s="8"/>
      <c r="P592" s="8"/>
      <c r="Q592" s="8"/>
      <c r="R592" s="6"/>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f t="shared" si="526"/>
        <v>0</v>
      </c>
      <c r="BT592" s="8"/>
      <c r="BU592" s="2">
        <f t="shared" si="752"/>
        <v>0</v>
      </c>
      <c r="BV592" s="2">
        <f t="shared" si="753"/>
        <v>0</v>
      </c>
      <c r="BW592" s="2">
        <f t="shared" si="754"/>
        <v>0</v>
      </c>
      <c r="BX592" s="2">
        <f t="shared" si="755"/>
        <v>0</v>
      </c>
      <c r="BY592" s="2">
        <f t="shared" si="756"/>
        <v>0</v>
      </c>
      <c r="BZ592" s="2">
        <f t="shared" ref="BZ592:CA592" si="806">SUM(AQ592)</f>
        <v>0</v>
      </c>
      <c r="CA592" s="2">
        <f t="shared" si="806"/>
        <v>0</v>
      </c>
      <c r="CB592" s="2">
        <f t="shared" si="758"/>
        <v>0</v>
      </c>
    </row>
    <row r="593" spans="1:80" ht="16" x14ac:dyDescent="0.2">
      <c r="A593" s="3" t="s">
        <v>188</v>
      </c>
      <c r="B593" s="10">
        <v>756</v>
      </c>
      <c r="C593" s="5">
        <v>1</v>
      </c>
      <c r="D593" s="10">
        <v>1</v>
      </c>
      <c r="E593" s="10">
        <v>0</v>
      </c>
      <c r="F593" s="10"/>
      <c r="G593" s="10" t="s">
        <v>75</v>
      </c>
      <c r="H593" s="7" t="str">
        <f t="shared" si="751"/>
        <v>No</v>
      </c>
      <c r="I593" s="54" t="s">
        <v>55</v>
      </c>
      <c r="J593" s="8">
        <v>0</v>
      </c>
      <c r="K593" s="8"/>
      <c r="L593" s="8"/>
      <c r="M593" s="8"/>
      <c r="N593" s="8"/>
      <c r="O593" s="8"/>
      <c r="P593" s="8"/>
      <c r="Q593" s="8"/>
      <c r="R593" s="6"/>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f t="shared" si="526"/>
        <v>0</v>
      </c>
      <c r="BT593" s="8"/>
      <c r="BU593" s="2">
        <f t="shared" si="752"/>
        <v>0</v>
      </c>
      <c r="BV593" s="2">
        <f t="shared" si="753"/>
        <v>0</v>
      </c>
      <c r="BW593" s="2">
        <f t="shared" si="754"/>
        <v>0</v>
      </c>
      <c r="BX593" s="2">
        <f t="shared" si="755"/>
        <v>0</v>
      </c>
      <c r="BY593" s="2">
        <f t="shared" si="756"/>
        <v>0</v>
      </c>
      <c r="BZ593" s="2">
        <f t="shared" ref="BZ593:CA593" si="807">SUM(AQ593)</f>
        <v>0</v>
      </c>
      <c r="CA593" s="2">
        <f t="shared" si="807"/>
        <v>0</v>
      </c>
      <c r="CB593" s="2">
        <f t="shared" si="758"/>
        <v>0</v>
      </c>
    </row>
    <row r="594" spans="1:80" ht="16" x14ac:dyDescent="0.2">
      <c r="A594" s="3" t="s">
        <v>188</v>
      </c>
      <c r="B594" s="10">
        <v>756</v>
      </c>
      <c r="C594" s="5">
        <v>1</v>
      </c>
      <c r="D594" s="10">
        <v>1</v>
      </c>
      <c r="E594" s="10">
        <v>0</v>
      </c>
      <c r="F594" s="10"/>
      <c r="G594" s="10" t="s">
        <v>76</v>
      </c>
      <c r="H594" s="7" t="str">
        <f t="shared" si="751"/>
        <v>No</v>
      </c>
      <c r="I594" s="54" t="s">
        <v>55</v>
      </c>
      <c r="J594" s="8">
        <v>0</v>
      </c>
      <c r="K594" s="8"/>
      <c r="L594" s="8"/>
      <c r="M594" s="8"/>
      <c r="N594" s="8"/>
      <c r="O594" s="8"/>
      <c r="P594" s="8"/>
      <c r="Q594" s="8"/>
      <c r="R594" s="6"/>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f t="shared" si="526"/>
        <v>0</v>
      </c>
      <c r="BT594" s="8"/>
      <c r="BU594" s="2">
        <f t="shared" si="752"/>
        <v>0</v>
      </c>
      <c r="BV594" s="2">
        <f t="shared" si="753"/>
        <v>0</v>
      </c>
      <c r="BW594" s="2">
        <f t="shared" si="754"/>
        <v>0</v>
      </c>
      <c r="BX594" s="2">
        <f t="shared" si="755"/>
        <v>0</v>
      </c>
      <c r="BY594" s="2">
        <f t="shared" si="756"/>
        <v>0</v>
      </c>
      <c r="BZ594" s="2">
        <f t="shared" ref="BZ594:CA594" si="808">SUM(AQ594)</f>
        <v>0</v>
      </c>
      <c r="CA594" s="2">
        <f t="shared" si="808"/>
        <v>0</v>
      </c>
      <c r="CB594" s="2">
        <f t="shared" si="758"/>
        <v>0</v>
      </c>
    </row>
    <row r="595" spans="1:80" ht="16" x14ac:dyDescent="0.2">
      <c r="A595" s="3" t="s">
        <v>188</v>
      </c>
      <c r="B595" s="10">
        <v>756</v>
      </c>
      <c r="C595" s="5">
        <v>1</v>
      </c>
      <c r="D595" s="10">
        <v>1</v>
      </c>
      <c r="E595" s="10">
        <v>0</v>
      </c>
      <c r="F595" s="10"/>
      <c r="G595" s="10" t="s">
        <v>77</v>
      </c>
      <c r="H595" s="7" t="str">
        <f t="shared" si="751"/>
        <v>No</v>
      </c>
      <c r="I595" s="54" t="s">
        <v>55</v>
      </c>
      <c r="J595" s="8">
        <v>0</v>
      </c>
      <c r="K595" s="8"/>
      <c r="L595" s="8"/>
      <c r="M595" s="8"/>
      <c r="N595" s="8"/>
      <c r="O595" s="8"/>
      <c r="P595" s="8"/>
      <c r="Q595" s="8"/>
      <c r="R595" s="6"/>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f t="shared" si="526"/>
        <v>0</v>
      </c>
      <c r="BT595" s="8"/>
      <c r="BU595" s="2">
        <f t="shared" si="752"/>
        <v>0</v>
      </c>
      <c r="BV595" s="2">
        <f t="shared" si="753"/>
        <v>0</v>
      </c>
      <c r="BW595" s="2">
        <f t="shared" si="754"/>
        <v>0</v>
      </c>
      <c r="BX595" s="2">
        <f t="shared" si="755"/>
        <v>0</v>
      </c>
      <c r="BY595" s="2">
        <f t="shared" si="756"/>
        <v>0</v>
      </c>
      <c r="BZ595" s="2">
        <f t="shared" ref="BZ595:CA595" si="809">SUM(AQ595)</f>
        <v>0</v>
      </c>
      <c r="CA595" s="2">
        <f t="shared" si="809"/>
        <v>0</v>
      </c>
      <c r="CB595" s="2">
        <f t="shared" si="758"/>
        <v>0</v>
      </c>
    </row>
    <row r="596" spans="1:80" ht="16" x14ac:dyDescent="0.2">
      <c r="A596" s="3" t="s">
        <v>188</v>
      </c>
      <c r="B596" s="10">
        <v>756</v>
      </c>
      <c r="C596" s="5">
        <v>1</v>
      </c>
      <c r="D596" s="10">
        <v>1</v>
      </c>
      <c r="E596" s="10">
        <v>0</v>
      </c>
      <c r="F596" s="10"/>
      <c r="G596" s="10" t="s">
        <v>78</v>
      </c>
      <c r="H596" s="7" t="str">
        <f t="shared" si="751"/>
        <v>No</v>
      </c>
      <c r="I596" s="54" t="s">
        <v>55</v>
      </c>
      <c r="J596" s="8">
        <v>0</v>
      </c>
      <c r="K596" s="8"/>
      <c r="L596" s="8"/>
      <c r="M596" s="8"/>
      <c r="N596" s="8"/>
      <c r="O596" s="8"/>
      <c r="P596" s="8"/>
      <c r="Q596" s="8"/>
      <c r="R596" s="6"/>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f t="shared" si="526"/>
        <v>0</v>
      </c>
      <c r="BT596" s="8"/>
      <c r="BU596" s="2">
        <f t="shared" si="752"/>
        <v>0</v>
      </c>
      <c r="BV596" s="2">
        <f t="shared" si="753"/>
        <v>0</v>
      </c>
      <c r="BW596" s="2">
        <f t="shared" si="754"/>
        <v>0</v>
      </c>
      <c r="BX596" s="2">
        <f t="shared" si="755"/>
        <v>0</v>
      </c>
      <c r="BY596" s="2">
        <f t="shared" si="756"/>
        <v>0</v>
      </c>
      <c r="BZ596" s="2">
        <f t="shared" ref="BZ596:CA596" si="810">SUM(AQ596)</f>
        <v>0</v>
      </c>
      <c r="CA596" s="2">
        <f t="shared" si="810"/>
        <v>0</v>
      </c>
      <c r="CB596" s="2">
        <f t="shared" si="758"/>
        <v>0</v>
      </c>
    </row>
    <row r="597" spans="1:80" ht="15" customHeight="1" x14ac:dyDescent="0.2">
      <c r="A597" s="3" t="s">
        <v>188</v>
      </c>
      <c r="B597" s="10">
        <v>756</v>
      </c>
      <c r="C597" s="5">
        <v>1</v>
      </c>
      <c r="D597" s="10">
        <v>1</v>
      </c>
      <c r="E597" s="10">
        <v>0</v>
      </c>
      <c r="F597" s="10"/>
      <c r="G597" s="10" t="s">
        <v>79</v>
      </c>
      <c r="H597" s="7" t="str">
        <f t="shared" si="751"/>
        <v>No</v>
      </c>
      <c r="I597" s="54" t="s">
        <v>55</v>
      </c>
      <c r="J597" s="8">
        <v>0</v>
      </c>
      <c r="K597" s="8"/>
      <c r="L597" s="8"/>
      <c r="M597" s="8"/>
      <c r="N597" s="8"/>
      <c r="O597" s="8"/>
      <c r="P597" s="8"/>
      <c r="Q597" s="8"/>
      <c r="R597" s="6"/>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f t="shared" si="526"/>
        <v>0</v>
      </c>
      <c r="BT597" s="8"/>
      <c r="BU597" s="2">
        <f t="shared" si="752"/>
        <v>0</v>
      </c>
      <c r="BV597" s="2">
        <f t="shared" si="753"/>
        <v>0</v>
      </c>
      <c r="BW597" s="2">
        <f t="shared" si="754"/>
        <v>0</v>
      </c>
      <c r="BX597" s="2">
        <f t="shared" si="755"/>
        <v>0</v>
      </c>
      <c r="BY597" s="2">
        <f t="shared" si="756"/>
        <v>0</v>
      </c>
      <c r="BZ597" s="2">
        <f t="shared" ref="BZ597:CA597" si="811">SUM(AQ597)</f>
        <v>0</v>
      </c>
      <c r="CA597" s="2">
        <f t="shared" si="811"/>
        <v>0</v>
      </c>
      <c r="CB597" s="2">
        <f t="shared" si="758"/>
        <v>0</v>
      </c>
    </row>
    <row r="598" spans="1:80" ht="16" x14ac:dyDescent="0.2">
      <c r="A598" s="3" t="s">
        <v>188</v>
      </c>
      <c r="B598" s="10">
        <v>756</v>
      </c>
      <c r="C598" s="5">
        <v>1</v>
      </c>
      <c r="D598" s="10">
        <v>1</v>
      </c>
      <c r="E598" s="10">
        <v>0</v>
      </c>
      <c r="F598" s="10"/>
      <c r="G598" s="10" t="s">
        <v>80</v>
      </c>
      <c r="H598" s="7" t="str">
        <f t="shared" si="751"/>
        <v>No</v>
      </c>
      <c r="I598" s="54" t="s">
        <v>55</v>
      </c>
      <c r="J598" s="8">
        <v>0</v>
      </c>
      <c r="K598" s="8"/>
      <c r="L598" s="8"/>
      <c r="M598" s="8"/>
      <c r="N598" s="8"/>
      <c r="O598" s="8"/>
      <c r="P598" s="8"/>
      <c r="Q598" s="8"/>
      <c r="R598" s="6"/>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f t="shared" si="526"/>
        <v>0</v>
      </c>
      <c r="BT598" s="8"/>
      <c r="BU598" s="2">
        <f t="shared" si="752"/>
        <v>0</v>
      </c>
      <c r="BV598" s="2">
        <f t="shared" si="753"/>
        <v>0</v>
      </c>
      <c r="BW598" s="2">
        <f t="shared" si="754"/>
        <v>0</v>
      </c>
      <c r="BX598" s="2">
        <f t="shared" si="755"/>
        <v>0</v>
      </c>
      <c r="BY598" s="2">
        <f t="shared" si="756"/>
        <v>0</v>
      </c>
      <c r="BZ598" s="2">
        <f t="shared" ref="BZ598:CA598" si="812">SUM(AQ598)</f>
        <v>0</v>
      </c>
      <c r="CA598" s="2">
        <f t="shared" si="812"/>
        <v>0</v>
      </c>
      <c r="CB598" s="2">
        <f t="shared" si="758"/>
        <v>0</v>
      </c>
    </row>
    <row r="599" spans="1:80" ht="16" x14ac:dyDescent="0.2">
      <c r="A599" s="3" t="s">
        <v>188</v>
      </c>
      <c r="B599" s="10">
        <v>756</v>
      </c>
      <c r="C599" s="5">
        <v>1</v>
      </c>
      <c r="D599" s="10">
        <v>1</v>
      </c>
      <c r="E599" s="10">
        <v>0</v>
      </c>
      <c r="F599" s="10"/>
      <c r="G599" s="10">
        <v>2022</v>
      </c>
      <c r="H599" s="7" t="str">
        <f>IF($I599="1", "Yes", "No")</f>
        <v>No</v>
      </c>
      <c r="I599" s="54" t="s">
        <v>55</v>
      </c>
      <c r="J599" s="8">
        <v>0</v>
      </c>
      <c r="K599" s="8"/>
      <c r="L599" s="8"/>
      <c r="M599" s="8"/>
      <c r="N599" s="8"/>
      <c r="O599" s="8"/>
      <c r="P599" s="8"/>
      <c r="Q599" s="8"/>
      <c r="R599" s="6"/>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f>SUM(AI599:BR599)</f>
        <v>0</v>
      </c>
      <c r="BT599" s="8"/>
      <c r="BU599" s="2">
        <f>SUM(AI599,BK599)</f>
        <v>0</v>
      </c>
      <c r="BV599" s="2">
        <f>SUM(AK599, AL599, AM599,AJ599,BL599,BO599, AP599)</f>
        <v>0</v>
      </c>
      <c r="BW599" s="2">
        <f>SUM(AN599, AO599, AS599)</f>
        <v>0</v>
      </c>
      <c r="BX599" s="2">
        <f>SUM(AU599,AV599,AW599,AX599,AY599,AZ599,BA599,BB599,BC599,BD599,BE599,BF599,BG599,BH599,BI599,BJ599,BQ599,BR599,BM599)</f>
        <v>0</v>
      </c>
      <c r="BY599" s="2">
        <f>SUM(BP599, BN599)</f>
        <v>0</v>
      </c>
      <c r="BZ599" s="2">
        <f>SUM(AQ599)</f>
        <v>0</v>
      </c>
      <c r="CA599" s="2">
        <f>SUM(AR599)</f>
        <v>0</v>
      </c>
      <c r="CB599" s="2">
        <f>SUM(AT599)</f>
        <v>0</v>
      </c>
    </row>
    <row r="600" spans="1:80" ht="16" x14ac:dyDescent="0.2">
      <c r="A600" s="3" t="s">
        <v>188</v>
      </c>
      <c r="B600" s="10">
        <v>756</v>
      </c>
      <c r="C600" s="5">
        <v>1</v>
      </c>
      <c r="D600" s="10">
        <v>1</v>
      </c>
      <c r="E600" s="10">
        <v>0</v>
      </c>
      <c r="F600" s="10"/>
      <c r="G600" s="10">
        <v>2023</v>
      </c>
      <c r="H600" s="7" t="str">
        <f>IF($I600="1", "Yes", "No")</f>
        <v>No</v>
      </c>
      <c r="I600" s="54" t="s">
        <v>55</v>
      </c>
      <c r="J600" s="8">
        <v>0</v>
      </c>
      <c r="K600" s="8" t="s">
        <v>81</v>
      </c>
      <c r="L600" s="8"/>
      <c r="M600" s="8"/>
      <c r="N600" s="8"/>
      <c r="O600" s="8"/>
      <c r="P600" s="8"/>
      <c r="Q600" s="8"/>
      <c r="R600" s="6"/>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f>SUM(AI600:BR600)</f>
        <v>0</v>
      </c>
      <c r="BT600" s="8"/>
      <c r="BU600" s="2">
        <f>SUM(AI600,BK600)</f>
        <v>0</v>
      </c>
      <c r="BV600" s="2">
        <f>SUM(AK600, AL600, AM600,AJ600,BL600,BO600, AP600)</f>
        <v>0</v>
      </c>
      <c r="BW600" s="2">
        <f>SUM(AN600, AO600, AS600)</f>
        <v>0</v>
      </c>
      <c r="BX600" s="2">
        <f>SUM(AU600,AV600,AW600,AX600,AY600,AZ600,BA600,BB600,BC600,BD600,BE600,BF600,BG600,BH600,BI600,BJ600,BQ600,BR600,BM600)</f>
        <v>0</v>
      </c>
      <c r="BY600" s="2">
        <f>SUM(BP600, BN600)</f>
        <v>0</v>
      </c>
      <c r="BZ600" s="2">
        <f>SUM(AQ600)</f>
        <v>0</v>
      </c>
      <c r="CA600" s="2">
        <f>SUM(AR600)</f>
        <v>0</v>
      </c>
      <c r="CB600" s="2">
        <f>SUM(AT600)</f>
        <v>0</v>
      </c>
    </row>
    <row r="601" spans="1:80" ht="16" x14ac:dyDescent="0.2">
      <c r="A601" s="3" t="s">
        <v>189</v>
      </c>
      <c r="B601" s="10">
        <v>792</v>
      </c>
      <c r="C601" s="5">
        <v>1</v>
      </c>
      <c r="D601" s="10">
        <v>0</v>
      </c>
      <c r="E601" s="10">
        <v>0</v>
      </c>
      <c r="F601" s="10"/>
      <c r="G601" s="10">
        <v>2007</v>
      </c>
      <c r="H601" s="7" t="str">
        <f t="shared" si="751"/>
        <v>No</v>
      </c>
      <c r="I601" s="54" t="s">
        <v>55</v>
      </c>
      <c r="J601" s="8">
        <v>1</v>
      </c>
      <c r="K601" s="8" t="s">
        <v>190</v>
      </c>
      <c r="L601" s="8" t="s">
        <v>64</v>
      </c>
      <c r="M601" s="8" t="s">
        <v>64</v>
      </c>
      <c r="N601" s="8">
        <v>0</v>
      </c>
      <c r="O601" s="8">
        <v>0</v>
      </c>
      <c r="P601" s="8">
        <v>1</v>
      </c>
      <c r="Q601" s="8"/>
      <c r="R601" s="9">
        <v>0</v>
      </c>
      <c r="S601" s="8">
        <v>0</v>
      </c>
      <c r="T601" s="8">
        <v>0</v>
      </c>
      <c r="U601" s="8">
        <v>0</v>
      </c>
      <c r="V601" s="8">
        <v>0</v>
      </c>
      <c r="W601" s="8">
        <v>0</v>
      </c>
      <c r="X601" s="8">
        <v>0</v>
      </c>
      <c r="Y601" s="8">
        <v>0</v>
      </c>
      <c r="Z601" s="8">
        <v>0</v>
      </c>
      <c r="AA601" s="8" t="s">
        <v>112</v>
      </c>
      <c r="AB601" s="8">
        <v>0</v>
      </c>
      <c r="AC601" s="8">
        <v>0</v>
      </c>
      <c r="AD601" s="8">
        <v>0</v>
      </c>
      <c r="AE601" s="8">
        <v>1</v>
      </c>
      <c r="AF601" s="8">
        <v>0</v>
      </c>
      <c r="AG601" s="8">
        <v>0</v>
      </c>
      <c r="AH601" s="8">
        <v>0</v>
      </c>
      <c r="AI601" s="8">
        <v>0</v>
      </c>
      <c r="AJ601" s="8">
        <v>0</v>
      </c>
      <c r="AK601" s="8">
        <v>0</v>
      </c>
      <c r="AL601" s="8">
        <v>0</v>
      </c>
      <c r="AM601" s="8">
        <v>0</v>
      </c>
      <c r="AN601" s="8">
        <v>0</v>
      </c>
      <c r="AO601" s="8">
        <v>0</v>
      </c>
      <c r="AP601" s="8">
        <v>0</v>
      </c>
      <c r="AQ601" s="8">
        <v>0</v>
      </c>
      <c r="AR601" s="8">
        <v>0</v>
      </c>
      <c r="AS601" s="8">
        <v>0</v>
      </c>
      <c r="AT601" s="8">
        <v>0</v>
      </c>
      <c r="AU601" s="8">
        <v>0</v>
      </c>
      <c r="AV601" s="8">
        <v>0</v>
      </c>
      <c r="AW601" s="8">
        <v>0</v>
      </c>
      <c r="AX601" s="8">
        <v>0</v>
      </c>
      <c r="AY601" s="8">
        <v>0</v>
      </c>
      <c r="AZ601" s="8">
        <v>0</v>
      </c>
      <c r="BA601" s="8">
        <v>0</v>
      </c>
      <c r="BB601" s="8">
        <v>0</v>
      </c>
      <c r="BC601" s="8">
        <v>0</v>
      </c>
      <c r="BD601" s="8">
        <v>0</v>
      </c>
      <c r="BE601" s="8">
        <v>0</v>
      </c>
      <c r="BF601" s="8">
        <v>0</v>
      </c>
      <c r="BG601" s="8">
        <v>0</v>
      </c>
      <c r="BH601" s="8">
        <v>0</v>
      </c>
      <c r="BI601" s="8">
        <v>0</v>
      </c>
      <c r="BJ601" s="8">
        <v>0</v>
      </c>
      <c r="BK601" s="8">
        <v>0</v>
      </c>
      <c r="BL601" s="8">
        <v>0</v>
      </c>
      <c r="BM601" s="8">
        <v>0</v>
      </c>
      <c r="BN601" s="8">
        <v>0</v>
      </c>
      <c r="BO601" s="8">
        <v>0</v>
      </c>
      <c r="BP601" s="8">
        <v>0</v>
      </c>
      <c r="BQ601" s="8">
        <v>0</v>
      </c>
      <c r="BR601" s="8">
        <v>0</v>
      </c>
      <c r="BS601" s="8">
        <f t="shared" si="526"/>
        <v>0</v>
      </c>
      <c r="BT601" s="8"/>
      <c r="BU601" s="2">
        <f t="shared" si="752"/>
        <v>0</v>
      </c>
      <c r="BV601" s="2">
        <f t="shared" si="753"/>
        <v>0</v>
      </c>
      <c r="BW601" s="2">
        <f t="shared" si="754"/>
        <v>0</v>
      </c>
      <c r="BX601" s="2">
        <f t="shared" si="755"/>
        <v>0</v>
      </c>
      <c r="BY601" s="2">
        <f t="shared" si="756"/>
        <v>0</v>
      </c>
      <c r="BZ601" s="2">
        <f t="shared" ref="BZ601:CA601" si="813">SUM(AQ601)</f>
        <v>0</v>
      </c>
      <c r="CA601" s="2">
        <f t="shared" si="813"/>
        <v>0</v>
      </c>
      <c r="CB601" s="2">
        <f t="shared" si="758"/>
        <v>0</v>
      </c>
    </row>
    <row r="602" spans="1:80" ht="16" x14ac:dyDescent="0.2">
      <c r="A602" s="3" t="s">
        <v>189</v>
      </c>
      <c r="B602" s="10">
        <v>792</v>
      </c>
      <c r="C602" s="5">
        <v>1</v>
      </c>
      <c r="D602" s="10">
        <v>0</v>
      </c>
      <c r="E602" s="10">
        <v>0</v>
      </c>
      <c r="F602" s="10"/>
      <c r="G602" s="10">
        <v>2008</v>
      </c>
      <c r="H602" s="7" t="str">
        <f t="shared" si="751"/>
        <v>No</v>
      </c>
      <c r="I602" s="54" t="s">
        <v>55</v>
      </c>
      <c r="J602" s="8">
        <v>1</v>
      </c>
      <c r="K602" s="8" t="s">
        <v>190</v>
      </c>
      <c r="L602" s="8" t="s">
        <v>64</v>
      </c>
      <c r="M602" s="8" t="s">
        <v>64</v>
      </c>
      <c r="N602" s="8">
        <v>0</v>
      </c>
      <c r="O602" s="8">
        <v>0</v>
      </c>
      <c r="P602" s="8">
        <v>1</v>
      </c>
      <c r="Q602" s="8"/>
      <c r="R602" s="9">
        <v>0</v>
      </c>
      <c r="S602" s="8">
        <v>0</v>
      </c>
      <c r="T602" s="8">
        <v>0</v>
      </c>
      <c r="U602" s="8">
        <v>0</v>
      </c>
      <c r="V602" s="8">
        <v>0</v>
      </c>
      <c r="W602" s="8">
        <v>0</v>
      </c>
      <c r="X602" s="8">
        <v>0</v>
      </c>
      <c r="Y602" s="8">
        <v>0</v>
      </c>
      <c r="Z602" s="8">
        <v>0</v>
      </c>
      <c r="AA602" s="8" t="s">
        <v>112</v>
      </c>
      <c r="AB602" s="8">
        <v>0</v>
      </c>
      <c r="AC602" s="8">
        <v>0</v>
      </c>
      <c r="AD602" s="8">
        <v>0</v>
      </c>
      <c r="AE602" s="8">
        <v>1</v>
      </c>
      <c r="AF602" s="8">
        <v>0</v>
      </c>
      <c r="AG602" s="8">
        <v>0</v>
      </c>
      <c r="AH602" s="8">
        <v>0</v>
      </c>
      <c r="AI602" s="8">
        <v>0</v>
      </c>
      <c r="AJ602" s="8">
        <v>0</v>
      </c>
      <c r="AK602" s="8">
        <v>0</v>
      </c>
      <c r="AL602" s="8">
        <v>0</v>
      </c>
      <c r="AM602" s="8">
        <v>0</v>
      </c>
      <c r="AN602" s="8">
        <v>0</v>
      </c>
      <c r="AO602" s="8">
        <v>0</v>
      </c>
      <c r="AP602" s="8">
        <v>0</v>
      </c>
      <c r="AQ602" s="8">
        <v>0</v>
      </c>
      <c r="AR602" s="8">
        <v>0</v>
      </c>
      <c r="AS602" s="8">
        <v>0</v>
      </c>
      <c r="AT602" s="8">
        <v>0</v>
      </c>
      <c r="AU602" s="8">
        <v>0</v>
      </c>
      <c r="AV602" s="8">
        <v>0</v>
      </c>
      <c r="AW602" s="8">
        <v>0</v>
      </c>
      <c r="AX602" s="8">
        <v>0</v>
      </c>
      <c r="AY602" s="8">
        <v>0</v>
      </c>
      <c r="AZ602" s="8">
        <v>0</v>
      </c>
      <c r="BA602" s="8">
        <v>0</v>
      </c>
      <c r="BB602" s="8">
        <v>0</v>
      </c>
      <c r="BC602" s="8">
        <v>0</v>
      </c>
      <c r="BD602" s="8">
        <v>0</v>
      </c>
      <c r="BE602" s="8">
        <v>0</v>
      </c>
      <c r="BF602" s="8">
        <v>0</v>
      </c>
      <c r="BG602" s="8">
        <v>0</v>
      </c>
      <c r="BH602" s="8">
        <v>0</v>
      </c>
      <c r="BI602" s="8">
        <v>0</v>
      </c>
      <c r="BJ602" s="8">
        <v>0</v>
      </c>
      <c r="BK602" s="8">
        <v>0</v>
      </c>
      <c r="BL602" s="8">
        <v>0</v>
      </c>
      <c r="BM602" s="8">
        <v>0</v>
      </c>
      <c r="BN602" s="8">
        <v>0</v>
      </c>
      <c r="BO602" s="8">
        <v>0</v>
      </c>
      <c r="BP602" s="8">
        <v>0</v>
      </c>
      <c r="BQ602" s="8">
        <v>0</v>
      </c>
      <c r="BR602" s="8">
        <v>0</v>
      </c>
      <c r="BS602" s="8">
        <f t="shared" si="526"/>
        <v>0</v>
      </c>
      <c r="BT602" s="8"/>
      <c r="BU602" s="2">
        <f t="shared" si="752"/>
        <v>0</v>
      </c>
      <c r="BV602" s="2">
        <f t="shared" si="753"/>
        <v>0</v>
      </c>
      <c r="BW602" s="2">
        <f t="shared" si="754"/>
        <v>0</v>
      </c>
      <c r="BX602" s="2">
        <f t="shared" si="755"/>
        <v>0</v>
      </c>
      <c r="BY602" s="2">
        <f t="shared" si="756"/>
        <v>0</v>
      </c>
      <c r="BZ602" s="2">
        <f t="shared" ref="BZ602:CA602" si="814">SUM(AQ602)</f>
        <v>0</v>
      </c>
      <c r="CA602" s="2">
        <f t="shared" si="814"/>
        <v>0</v>
      </c>
      <c r="CB602" s="2">
        <f t="shared" si="758"/>
        <v>0</v>
      </c>
    </row>
    <row r="603" spans="1:80" ht="16" x14ac:dyDescent="0.2">
      <c r="A603" s="3" t="s">
        <v>189</v>
      </c>
      <c r="B603" s="10">
        <v>792</v>
      </c>
      <c r="C603" s="5">
        <v>1</v>
      </c>
      <c r="D603" s="10">
        <v>0</v>
      </c>
      <c r="E603" s="10">
        <v>0</v>
      </c>
      <c r="F603" s="10"/>
      <c r="G603" s="10">
        <v>2009</v>
      </c>
      <c r="H603" s="7" t="str">
        <f t="shared" si="751"/>
        <v>No</v>
      </c>
      <c r="I603" s="54" t="s">
        <v>55</v>
      </c>
      <c r="J603" s="8">
        <v>1</v>
      </c>
      <c r="K603" s="8" t="s">
        <v>190</v>
      </c>
      <c r="L603" s="8" t="s">
        <v>64</v>
      </c>
      <c r="M603" s="8" t="s">
        <v>64</v>
      </c>
      <c r="N603" s="8">
        <v>0</v>
      </c>
      <c r="O603" s="8">
        <v>0</v>
      </c>
      <c r="P603" s="8">
        <v>1</v>
      </c>
      <c r="Q603" s="8"/>
      <c r="R603" s="9">
        <v>0</v>
      </c>
      <c r="S603" s="8">
        <v>0</v>
      </c>
      <c r="T603" s="8">
        <v>0</v>
      </c>
      <c r="U603" s="8">
        <v>0</v>
      </c>
      <c r="V603" s="8">
        <v>0</v>
      </c>
      <c r="W603" s="8">
        <v>0</v>
      </c>
      <c r="X603" s="8">
        <v>0</v>
      </c>
      <c r="Y603" s="8">
        <v>0</v>
      </c>
      <c r="Z603" s="8">
        <v>0</v>
      </c>
      <c r="AA603" s="8" t="s">
        <v>112</v>
      </c>
      <c r="AB603" s="8">
        <v>0</v>
      </c>
      <c r="AC603" s="8">
        <v>0</v>
      </c>
      <c r="AD603" s="8">
        <v>0</v>
      </c>
      <c r="AE603" s="8">
        <v>1</v>
      </c>
      <c r="AF603" s="8">
        <v>0</v>
      </c>
      <c r="AG603" s="8">
        <v>0</v>
      </c>
      <c r="AH603" s="8">
        <v>0</v>
      </c>
      <c r="AI603" s="8">
        <v>0</v>
      </c>
      <c r="AJ603" s="8">
        <v>0</v>
      </c>
      <c r="AK603" s="8">
        <v>0</v>
      </c>
      <c r="AL603" s="8">
        <v>0</v>
      </c>
      <c r="AM603" s="8">
        <v>0</v>
      </c>
      <c r="AN603" s="8">
        <v>0</v>
      </c>
      <c r="AO603" s="8">
        <v>0</v>
      </c>
      <c r="AP603" s="8">
        <v>0</v>
      </c>
      <c r="AQ603" s="8">
        <v>0</v>
      </c>
      <c r="AR603" s="8">
        <v>0</v>
      </c>
      <c r="AS603" s="8">
        <v>0</v>
      </c>
      <c r="AT603" s="8">
        <v>0</v>
      </c>
      <c r="AU603" s="8">
        <v>0</v>
      </c>
      <c r="AV603" s="8">
        <v>0</v>
      </c>
      <c r="AW603" s="8">
        <v>0</v>
      </c>
      <c r="AX603" s="8">
        <v>0</v>
      </c>
      <c r="AY603" s="8">
        <v>0</v>
      </c>
      <c r="AZ603" s="8">
        <v>0</v>
      </c>
      <c r="BA603" s="8">
        <v>0</v>
      </c>
      <c r="BB603" s="8">
        <v>0</v>
      </c>
      <c r="BC603" s="8">
        <v>0</v>
      </c>
      <c r="BD603" s="8">
        <v>0</v>
      </c>
      <c r="BE603" s="8">
        <v>0</v>
      </c>
      <c r="BF603" s="8">
        <v>0</v>
      </c>
      <c r="BG603" s="8">
        <v>0</v>
      </c>
      <c r="BH603" s="8">
        <v>0</v>
      </c>
      <c r="BI603" s="8">
        <v>0</v>
      </c>
      <c r="BJ603" s="8">
        <v>0</v>
      </c>
      <c r="BK603" s="8">
        <v>0</v>
      </c>
      <c r="BL603" s="8">
        <v>0</v>
      </c>
      <c r="BM603" s="8">
        <v>0</v>
      </c>
      <c r="BN603" s="8">
        <v>0</v>
      </c>
      <c r="BO603" s="8">
        <v>0</v>
      </c>
      <c r="BP603" s="8">
        <v>0</v>
      </c>
      <c r="BQ603" s="8">
        <v>0</v>
      </c>
      <c r="BR603" s="8">
        <v>0</v>
      </c>
      <c r="BS603" s="8">
        <f t="shared" si="526"/>
        <v>0</v>
      </c>
      <c r="BT603" s="8"/>
      <c r="BU603" s="2">
        <f t="shared" si="752"/>
        <v>0</v>
      </c>
      <c r="BV603" s="2">
        <f t="shared" si="753"/>
        <v>0</v>
      </c>
      <c r="BW603" s="2">
        <f t="shared" si="754"/>
        <v>0</v>
      </c>
      <c r="BX603" s="2">
        <f t="shared" si="755"/>
        <v>0</v>
      </c>
      <c r="BY603" s="2">
        <f t="shared" si="756"/>
        <v>0</v>
      </c>
      <c r="BZ603" s="2">
        <f t="shared" ref="BZ603:CA603" si="815">SUM(AQ603)</f>
        <v>0</v>
      </c>
      <c r="CA603" s="2">
        <f t="shared" si="815"/>
        <v>0</v>
      </c>
      <c r="CB603" s="2">
        <f t="shared" si="758"/>
        <v>0</v>
      </c>
    </row>
    <row r="604" spans="1:80" ht="16" x14ac:dyDescent="0.2">
      <c r="A604" s="3" t="s">
        <v>189</v>
      </c>
      <c r="B604" s="10">
        <v>792</v>
      </c>
      <c r="C604" s="5">
        <v>1</v>
      </c>
      <c r="D604" s="10">
        <v>0</v>
      </c>
      <c r="E604" s="10">
        <v>0</v>
      </c>
      <c r="F604" s="10"/>
      <c r="G604" s="10">
        <v>2010</v>
      </c>
      <c r="H604" s="7" t="str">
        <f t="shared" si="751"/>
        <v>No</v>
      </c>
      <c r="I604" s="54" t="s">
        <v>55</v>
      </c>
      <c r="J604" s="8">
        <v>1</v>
      </c>
      <c r="K604" s="8" t="s">
        <v>190</v>
      </c>
      <c r="L604" s="8" t="s">
        <v>64</v>
      </c>
      <c r="M604" s="8" t="s">
        <v>64</v>
      </c>
      <c r="N604" s="8">
        <v>0</v>
      </c>
      <c r="O604" s="8">
        <v>0</v>
      </c>
      <c r="P604" s="8">
        <v>1</v>
      </c>
      <c r="Q604" s="8"/>
      <c r="R604" s="9">
        <v>0</v>
      </c>
      <c r="S604" s="8">
        <v>0</v>
      </c>
      <c r="T604" s="8">
        <v>0</v>
      </c>
      <c r="U604" s="8">
        <v>0</v>
      </c>
      <c r="V604" s="8">
        <v>0</v>
      </c>
      <c r="W604" s="8">
        <v>0</v>
      </c>
      <c r="X604" s="8">
        <v>0</v>
      </c>
      <c r="Y604" s="8">
        <v>0</v>
      </c>
      <c r="Z604" s="8">
        <v>0</v>
      </c>
      <c r="AA604" s="8" t="s">
        <v>112</v>
      </c>
      <c r="AB604" s="8">
        <v>0</v>
      </c>
      <c r="AC604" s="8">
        <v>0</v>
      </c>
      <c r="AD604" s="8">
        <v>0</v>
      </c>
      <c r="AE604" s="8">
        <v>1</v>
      </c>
      <c r="AF604" s="8">
        <v>0</v>
      </c>
      <c r="AG604" s="8">
        <v>0</v>
      </c>
      <c r="AH604" s="8">
        <v>0</v>
      </c>
      <c r="AI604" s="8">
        <v>0</v>
      </c>
      <c r="AJ604" s="8">
        <v>0</v>
      </c>
      <c r="AK604" s="8">
        <v>0</v>
      </c>
      <c r="AL604" s="8">
        <v>0</v>
      </c>
      <c r="AM604" s="8">
        <v>0</v>
      </c>
      <c r="AN604" s="8">
        <v>0</v>
      </c>
      <c r="AO604" s="8">
        <v>0</v>
      </c>
      <c r="AP604" s="8">
        <v>0</v>
      </c>
      <c r="AQ604" s="8">
        <v>0</v>
      </c>
      <c r="AR604" s="8">
        <v>0</v>
      </c>
      <c r="AS604" s="8">
        <v>0</v>
      </c>
      <c r="AT604" s="8">
        <v>0</v>
      </c>
      <c r="AU604" s="8">
        <v>0</v>
      </c>
      <c r="AV604" s="8">
        <v>0</v>
      </c>
      <c r="AW604" s="8">
        <v>0</v>
      </c>
      <c r="AX604" s="8">
        <v>0</v>
      </c>
      <c r="AY604" s="8">
        <v>0</v>
      </c>
      <c r="AZ604" s="8">
        <v>0</v>
      </c>
      <c r="BA604" s="8">
        <v>0</v>
      </c>
      <c r="BB604" s="8">
        <v>0</v>
      </c>
      <c r="BC604" s="8">
        <v>0</v>
      </c>
      <c r="BD604" s="8">
        <v>0</v>
      </c>
      <c r="BE604" s="8">
        <v>0</v>
      </c>
      <c r="BF604" s="8">
        <v>0</v>
      </c>
      <c r="BG604" s="8">
        <v>0</v>
      </c>
      <c r="BH604" s="8">
        <v>0</v>
      </c>
      <c r="BI604" s="8">
        <v>0</v>
      </c>
      <c r="BJ604" s="8">
        <v>0</v>
      </c>
      <c r="BK604" s="8">
        <v>0</v>
      </c>
      <c r="BL604" s="8">
        <v>0</v>
      </c>
      <c r="BM604" s="8">
        <v>0</v>
      </c>
      <c r="BN604" s="8">
        <v>0</v>
      </c>
      <c r="BO604" s="8">
        <v>0</v>
      </c>
      <c r="BP604" s="8">
        <v>0</v>
      </c>
      <c r="BQ604" s="8">
        <v>0</v>
      </c>
      <c r="BR604" s="8">
        <v>0</v>
      </c>
      <c r="BS604" s="8">
        <f t="shared" si="526"/>
        <v>0</v>
      </c>
      <c r="BT604" s="8"/>
      <c r="BU604" s="2">
        <f t="shared" si="752"/>
        <v>0</v>
      </c>
      <c r="BV604" s="2">
        <f t="shared" si="753"/>
        <v>0</v>
      </c>
      <c r="BW604" s="2">
        <f t="shared" si="754"/>
        <v>0</v>
      </c>
      <c r="BX604" s="2">
        <f t="shared" si="755"/>
        <v>0</v>
      </c>
      <c r="BY604" s="2">
        <f t="shared" si="756"/>
        <v>0</v>
      </c>
      <c r="BZ604" s="2">
        <f t="shared" ref="BZ604:CA604" si="816">SUM(AQ604)</f>
        <v>0</v>
      </c>
      <c r="CA604" s="2">
        <f t="shared" si="816"/>
        <v>0</v>
      </c>
      <c r="CB604" s="2">
        <f t="shared" si="758"/>
        <v>0</v>
      </c>
    </row>
    <row r="605" spans="1:80" ht="16" x14ac:dyDescent="0.2">
      <c r="A605" s="3" t="s">
        <v>189</v>
      </c>
      <c r="B605" s="10">
        <v>792</v>
      </c>
      <c r="C605" s="5">
        <v>1</v>
      </c>
      <c r="D605" s="10">
        <v>0</v>
      </c>
      <c r="E605" s="10">
        <v>0</v>
      </c>
      <c r="F605" s="10"/>
      <c r="G605" s="10">
        <v>2011</v>
      </c>
      <c r="H605" s="7" t="str">
        <f t="shared" si="751"/>
        <v>No</v>
      </c>
      <c r="I605" s="54" t="s">
        <v>55</v>
      </c>
      <c r="J605" s="8">
        <v>1</v>
      </c>
      <c r="K605" s="8" t="s">
        <v>190</v>
      </c>
      <c r="L605" s="8" t="s">
        <v>64</v>
      </c>
      <c r="M605" s="8" t="s">
        <v>64</v>
      </c>
      <c r="N605" s="8">
        <v>0</v>
      </c>
      <c r="O605" s="8">
        <v>0</v>
      </c>
      <c r="P605" s="8">
        <v>1</v>
      </c>
      <c r="Q605" s="8"/>
      <c r="R605" s="9">
        <v>0</v>
      </c>
      <c r="S605" s="8">
        <v>0</v>
      </c>
      <c r="T605" s="8">
        <v>0</v>
      </c>
      <c r="U605" s="8">
        <v>0</v>
      </c>
      <c r="V605" s="8">
        <v>0</v>
      </c>
      <c r="W605" s="8">
        <v>0</v>
      </c>
      <c r="X605" s="8">
        <v>0</v>
      </c>
      <c r="Y605" s="8">
        <v>0</v>
      </c>
      <c r="Z605" s="8">
        <v>0</v>
      </c>
      <c r="AA605" s="8" t="s">
        <v>112</v>
      </c>
      <c r="AB605" s="8">
        <v>0</v>
      </c>
      <c r="AC605" s="8">
        <v>0</v>
      </c>
      <c r="AD605" s="8">
        <v>0</v>
      </c>
      <c r="AE605" s="8">
        <v>1</v>
      </c>
      <c r="AF605" s="8">
        <v>0</v>
      </c>
      <c r="AG605" s="8">
        <v>0</v>
      </c>
      <c r="AH605" s="8">
        <v>0</v>
      </c>
      <c r="AI605" s="8">
        <v>0</v>
      </c>
      <c r="AJ605" s="8">
        <v>0</v>
      </c>
      <c r="AK605" s="8">
        <v>0</v>
      </c>
      <c r="AL605" s="8">
        <v>0</v>
      </c>
      <c r="AM605" s="8">
        <v>0</v>
      </c>
      <c r="AN605" s="8">
        <v>0</v>
      </c>
      <c r="AO605" s="8">
        <v>0</v>
      </c>
      <c r="AP605" s="8">
        <v>0</v>
      </c>
      <c r="AQ605" s="8">
        <v>0</v>
      </c>
      <c r="AR605" s="8">
        <v>0</v>
      </c>
      <c r="AS605" s="8">
        <v>0</v>
      </c>
      <c r="AT605" s="8">
        <v>0</v>
      </c>
      <c r="AU605" s="8">
        <v>0</v>
      </c>
      <c r="AV605" s="8">
        <v>0</v>
      </c>
      <c r="AW605" s="8">
        <v>0</v>
      </c>
      <c r="AX605" s="8">
        <v>0</v>
      </c>
      <c r="AY605" s="8">
        <v>0</v>
      </c>
      <c r="AZ605" s="8">
        <v>0</v>
      </c>
      <c r="BA605" s="8">
        <v>0</v>
      </c>
      <c r="BB605" s="8">
        <v>0</v>
      </c>
      <c r="BC605" s="8">
        <v>0</v>
      </c>
      <c r="BD605" s="8">
        <v>0</v>
      </c>
      <c r="BE605" s="8">
        <v>0</v>
      </c>
      <c r="BF605" s="8">
        <v>0</v>
      </c>
      <c r="BG605" s="8">
        <v>0</v>
      </c>
      <c r="BH605" s="8">
        <v>0</v>
      </c>
      <c r="BI605" s="8">
        <v>0</v>
      </c>
      <c r="BJ605" s="8">
        <v>0</v>
      </c>
      <c r="BK605" s="8">
        <v>0</v>
      </c>
      <c r="BL605" s="8">
        <v>0</v>
      </c>
      <c r="BM605" s="8">
        <v>0</v>
      </c>
      <c r="BN605" s="8">
        <v>0</v>
      </c>
      <c r="BO605" s="8">
        <v>0</v>
      </c>
      <c r="BP605" s="8">
        <v>0</v>
      </c>
      <c r="BQ605" s="8">
        <v>0</v>
      </c>
      <c r="BR605" s="8">
        <v>0</v>
      </c>
      <c r="BS605" s="8">
        <f t="shared" si="526"/>
        <v>0</v>
      </c>
      <c r="BT605" s="8"/>
      <c r="BU605" s="2">
        <f t="shared" si="752"/>
        <v>0</v>
      </c>
      <c r="BV605" s="2">
        <f t="shared" si="753"/>
        <v>0</v>
      </c>
      <c r="BW605" s="2">
        <f t="shared" si="754"/>
        <v>0</v>
      </c>
      <c r="BX605" s="2">
        <f t="shared" si="755"/>
        <v>0</v>
      </c>
      <c r="BY605" s="2">
        <f t="shared" si="756"/>
        <v>0</v>
      </c>
      <c r="BZ605" s="2">
        <f t="shared" ref="BZ605:CA605" si="817">SUM(AQ605)</f>
        <v>0</v>
      </c>
      <c r="CA605" s="2">
        <f t="shared" si="817"/>
        <v>0</v>
      </c>
      <c r="CB605" s="2">
        <f t="shared" si="758"/>
        <v>0</v>
      </c>
    </row>
    <row r="606" spans="1:80" ht="16" x14ac:dyDescent="0.2">
      <c r="A606" s="3" t="s">
        <v>189</v>
      </c>
      <c r="B606" s="10">
        <v>792</v>
      </c>
      <c r="C606" s="5">
        <v>1</v>
      </c>
      <c r="D606" s="10">
        <v>0</v>
      </c>
      <c r="E606" s="10">
        <v>0</v>
      </c>
      <c r="F606" s="10"/>
      <c r="G606" s="10">
        <v>2012</v>
      </c>
      <c r="H606" s="7" t="str">
        <f t="shared" si="751"/>
        <v>No</v>
      </c>
      <c r="I606" s="54" t="s">
        <v>55</v>
      </c>
      <c r="J606" s="8">
        <v>1</v>
      </c>
      <c r="K606" s="8" t="s">
        <v>190</v>
      </c>
      <c r="L606" s="8" t="s">
        <v>64</v>
      </c>
      <c r="M606" s="8" t="s">
        <v>64</v>
      </c>
      <c r="N606" s="8">
        <v>0</v>
      </c>
      <c r="O606" s="8">
        <v>0</v>
      </c>
      <c r="P606" s="8">
        <v>1</v>
      </c>
      <c r="Q606" s="8"/>
      <c r="R606" s="9">
        <v>0</v>
      </c>
      <c r="S606" s="8">
        <v>0</v>
      </c>
      <c r="T606" s="8">
        <v>0</v>
      </c>
      <c r="U606" s="8">
        <v>0</v>
      </c>
      <c r="V606" s="8">
        <v>0</v>
      </c>
      <c r="W606" s="8">
        <v>0</v>
      </c>
      <c r="X606" s="8">
        <v>0</v>
      </c>
      <c r="Y606" s="8">
        <v>0</v>
      </c>
      <c r="Z606" s="8">
        <v>0</v>
      </c>
      <c r="AA606" s="8" t="s">
        <v>112</v>
      </c>
      <c r="AB606" s="8">
        <v>0</v>
      </c>
      <c r="AC606" s="8">
        <v>0</v>
      </c>
      <c r="AD606" s="8">
        <v>0</v>
      </c>
      <c r="AE606" s="8">
        <v>1</v>
      </c>
      <c r="AF606" s="8">
        <v>0</v>
      </c>
      <c r="AG606" s="8">
        <v>0</v>
      </c>
      <c r="AH606" s="8">
        <v>0</v>
      </c>
      <c r="AI606" s="8">
        <v>0</v>
      </c>
      <c r="AJ606" s="8">
        <v>0</v>
      </c>
      <c r="AK606" s="8">
        <v>0</v>
      </c>
      <c r="AL606" s="8">
        <v>0</v>
      </c>
      <c r="AM606" s="8">
        <v>0</v>
      </c>
      <c r="AN606" s="8">
        <v>0</v>
      </c>
      <c r="AO606" s="8">
        <v>0</v>
      </c>
      <c r="AP606" s="8">
        <v>0</v>
      </c>
      <c r="AQ606" s="8">
        <v>0</v>
      </c>
      <c r="AR606" s="8">
        <v>0</v>
      </c>
      <c r="AS606" s="8">
        <v>0</v>
      </c>
      <c r="AT606" s="8">
        <v>0</v>
      </c>
      <c r="AU606" s="8">
        <v>0</v>
      </c>
      <c r="AV606" s="8">
        <v>0</v>
      </c>
      <c r="AW606" s="8">
        <v>0</v>
      </c>
      <c r="AX606" s="8">
        <v>0</v>
      </c>
      <c r="AY606" s="8">
        <v>0</v>
      </c>
      <c r="AZ606" s="8">
        <v>0</v>
      </c>
      <c r="BA606" s="8">
        <v>0</v>
      </c>
      <c r="BB606" s="8">
        <v>0</v>
      </c>
      <c r="BC606" s="8">
        <v>0</v>
      </c>
      <c r="BD606" s="8">
        <v>0</v>
      </c>
      <c r="BE606" s="8">
        <v>0</v>
      </c>
      <c r="BF606" s="8">
        <v>0</v>
      </c>
      <c r="BG606" s="8">
        <v>0</v>
      </c>
      <c r="BH606" s="8">
        <v>0</v>
      </c>
      <c r="BI606" s="8">
        <v>0</v>
      </c>
      <c r="BJ606" s="8">
        <v>0</v>
      </c>
      <c r="BK606" s="8">
        <v>0</v>
      </c>
      <c r="BL606" s="8">
        <v>0</v>
      </c>
      <c r="BM606" s="8">
        <v>0</v>
      </c>
      <c r="BN606" s="8">
        <v>0</v>
      </c>
      <c r="BO606" s="8">
        <v>0</v>
      </c>
      <c r="BP606" s="8">
        <v>0</v>
      </c>
      <c r="BQ606" s="8">
        <v>0</v>
      </c>
      <c r="BR606" s="8">
        <v>0</v>
      </c>
      <c r="BS606" s="8">
        <f t="shared" si="526"/>
        <v>0</v>
      </c>
      <c r="BT606" s="8"/>
      <c r="BU606" s="2">
        <f t="shared" si="752"/>
        <v>0</v>
      </c>
      <c r="BV606" s="2">
        <f t="shared" si="753"/>
        <v>0</v>
      </c>
      <c r="BW606" s="2">
        <f t="shared" si="754"/>
        <v>0</v>
      </c>
      <c r="BX606" s="2">
        <f t="shared" si="755"/>
        <v>0</v>
      </c>
      <c r="BY606" s="2">
        <f t="shared" si="756"/>
        <v>0</v>
      </c>
      <c r="BZ606" s="2">
        <f t="shared" ref="BZ606:CA606" si="818">SUM(AQ606)</f>
        <v>0</v>
      </c>
      <c r="CA606" s="2">
        <f t="shared" si="818"/>
        <v>0</v>
      </c>
      <c r="CB606" s="2">
        <f t="shared" si="758"/>
        <v>0</v>
      </c>
    </row>
    <row r="607" spans="1:80" ht="16" x14ac:dyDescent="0.2">
      <c r="A607" s="3" t="s">
        <v>189</v>
      </c>
      <c r="B607" s="10">
        <v>792</v>
      </c>
      <c r="C607" s="5">
        <v>1</v>
      </c>
      <c r="D607" s="10">
        <v>0</v>
      </c>
      <c r="E607" s="10">
        <v>0</v>
      </c>
      <c r="F607" s="10"/>
      <c r="G607" s="10">
        <v>2013</v>
      </c>
      <c r="H607" s="7" t="str">
        <f t="shared" si="751"/>
        <v>No</v>
      </c>
      <c r="I607" s="54" t="s">
        <v>55</v>
      </c>
      <c r="J607" s="8">
        <v>1</v>
      </c>
      <c r="K607" s="8" t="s">
        <v>190</v>
      </c>
      <c r="L607" s="8" t="s">
        <v>64</v>
      </c>
      <c r="M607" s="8" t="s">
        <v>64</v>
      </c>
      <c r="N607" s="8">
        <v>0</v>
      </c>
      <c r="O607" s="8">
        <v>0</v>
      </c>
      <c r="P607" s="8">
        <v>1</v>
      </c>
      <c r="Q607" s="8"/>
      <c r="R607" s="9">
        <v>0</v>
      </c>
      <c r="S607" s="8">
        <v>0</v>
      </c>
      <c r="T607" s="8">
        <v>0</v>
      </c>
      <c r="U607" s="8">
        <v>0</v>
      </c>
      <c r="V607" s="8">
        <v>0</v>
      </c>
      <c r="W607" s="8">
        <v>0</v>
      </c>
      <c r="X607" s="8">
        <v>0</v>
      </c>
      <c r="Y607" s="8">
        <v>0</v>
      </c>
      <c r="Z607" s="8">
        <v>0</v>
      </c>
      <c r="AA607" s="8" t="s">
        <v>112</v>
      </c>
      <c r="AB607" s="8">
        <v>0</v>
      </c>
      <c r="AC607" s="8">
        <v>0</v>
      </c>
      <c r="AD607" s="8">
        <v>0</v>
      </c>
      <c r="AE607" s="8">
        <v>1</v>
      </c>
      <c r="AF607" s="8">
        <v>0</v>
      </c>
      <c r="AG607" s="8">
        <v>0</v>
      </c>
      <c r="AH607" s="8">
        <v>0</v>
      </c>
      <c r="AI607" s="8">
        <v>0</v>
      </c>
      <c r="AJ607" s="8">
        <v>0</v>
      </c>
      <c r="AK607" s="8">
        <v>0</v>
      </c>
      <c r="AL607" s="8">
        <v>0</v>
      </c>
      <c r="AM607" s="8">
        <v>0</v>
      </c>
      <c r="AN607" s="8">
        <v>0</v>
      </c>
      <c r="AO607" s="8">
        <v>0</v>
      </c>
      <c r="AP607" s="8">
        <v>0</v>
      </c>
      <c r="AQ607" s="8">
        <v>0</v>
      </c>
      <c r="AR607" s="8">
        <v>0</v>
      </c>
      <c r="AS607" s="8">
        <v>0</v>
      </c>
      <c r="AT607" s="8">
        <v>0</v>
      </c>
      <c r="AU607" s="8">
        <v>0</v>
      </c>
      <c r="AV607" s="8">
        <v>0</v>
      </c>
      <c r="AW607" s="8">
        <v>0</v>
      </c>
      <c r="AX607" s="8">
        <v>0</v>
      </c>
      <c r="AY607" s="8">
        <v>0</v>
      </c>
      <c r="AZ607" s="8">
        <v>0</v>
      </c>
      <c r="BA607" s="8">
        <v>0</v>
      </c>
      <c r="BB607" s="8">
        <v>0</v>
      </c>
      <c r="BC607" s="8">
        <v>0</v>
      </c>
      <c r="BD607" s="8">
        <v>0</v>
      </c>
      <c r="BE607" s="8">
        <v>0</v>
      </c>
      <c r="BF607" s="8">
        <v>0</v>
      </c>
      <c r="BG607" s="8">
        <v>0</v>
      </c>
      <c r="BH607" s="8">
        <v>0</v>
      </c>
      <c r="BI607" s="8">
        <v>0</v>
      </c>
      <c r="BJ607" s="8">
        <v>0</v>
      </c>
      <c r="BK607" s="8">
        <v>0</v>
      </c>
      <c r="BL607" s="8">
        <v>0</v>
      </c>
      <c r="BM607" s="8">
        <v>0</v>
      </c>
      <c r="BN607" s="8">
        <v>0</v>
      </c>
      <c r="BO607" s="8">
        <v>0</v>
      </c>
      <c r="BP607" s="8">
        <v>0</v>
      </c>
      <c r="BQ607" s="8">
        <v>0</v>
      </c>
      <c r="BR607" s="8">
        <v>0</v>
      </c>
      <c r="BS607" s="8">
        <f t="shared" si="526"/>
        <v>0</v>
      </c>
      <c r="BT607" s="8"/>
      <c r="BU607" s="2">
        <f t="shared" si="752"/>
        <v>0</v>
      </c>
      <c r="BV607" s="2">
        <f t="shared" si="753"/>
        <v>0</v>
      </c>
      <c r="BW607" s="2">
        <f t="shared" si="754"/>
        <v>0</v>
      </c>
      <c r="BX607" s="2">
        <f t="shared" si="755"/>
        <v>0</v>
      </c>
      <c r="BY607" s="2">
        <f t="shared" si="756"/>
        <v>0</v>
      </c>
      <c r="BZ607" s="2">
        <f t="shared" ref="BZ607:CA607" si="819">SUM(AQ607)</f>
        <v>0</v>
      </c>
      <c r="CA607" s="2">
        <f t="shared" si="819"/>
        <v>0</v>
      </c>
      <c r="CB607" s="2">
        <f t="shared" si="758"/>
        <v>0</v>
      </c>
    </row>
    <row r="608" spans="1:80" ht="16" x14ac:dyDescent="0.2">
      <c r="A608" s="3" t="s">
        <v>189</v>
      </c>
      <c r="B608" s="10">
        <v>792</v>
      </c>
      <c r="C608" s="5">
        <v>1</v>
      </c>
      <c r="D608" s="10">
        <v>0</v>
      </c>
      <c r="E608" s="10">
        <v>0</v>
      </c>
      <c r="F608" s="10"/>
      <c r="G608" s="10">
        <v>2014</v>
      </c>
      <c r="H608" s="7" t="str">
        <f t="shared" si="751"/>
        <v>No</v>
      </c>
      <c r="I608" s="54" t="s">
        <v>55</v>
      </c>
      <c r="J608" s="8">
        <v>1</v>
      </c>
      <c r="K608" s="8" t="s">
        <v>190</v>
      </c>
      <c r="L608" s="8" t="s">
        <v>64</v>
      </c>
      <c r="M608" s="8" t="s">
        <v>64</v>
      </c>
      <c r="N608" s="8">
        <v>0</v>
      </c>
      <c r="O608" s="8">
        <v>0</v>
      </c>
      <c r="P608" s="8">
        <v>1</v>
      </c>
      <c r="Q608" s="8"/>
      <c r="R608" s="9">
        <v>0</v>
      </c>
      <c r="S608" s="8">
        <v>0</v>
      </c>
      <c r="T608" s="8">
        <v>0</v>
      </c>
      <c r="U608" s="8">
        <v>0</v>
      </c>
      <c r="V608" s="8">
        <v>0</v>
      </c>
      <c r="W608" s="8">
        <v>0</v>
      </c>
      <c r="X608" s="8">
        <v>0</v>
      </c>
      <c r="Y608" s="8">
        <v>0</v>
      </c>
      <c r="Z608" s="8">
        <v>0</v>
      </c>
      <c r="AA608" s="8" t="s">
        <v>112</v>
      </c>
      <c r="AB608" s="8">
        <v>0</v>
      </c>
      <c r="AC608" s="8">
        <v>0</v>
      </c>
      <c r="AD608" s="8">
        <v>0</v>
      </c>
      <c r="AE608" s="8">
        <v>1</v>
      </c>
      <c r="AF608" s="8">
        <v>0</v>
      </c>
      <c r="AG608" s="8">
        <v>0</v>
      </c>
      <c r="AH608" s="8">
        <v>0</v>
      </c>
      <c r="AI608" s="8">
        <v>0</v>
      </c>
      <c r="AJ608" s="8">
        <v>0</v>
      </c>
      <c r="AK608" s="8">
        <v>0</v>
      </c>
      <c r="AL608" s="8">
        <v>0</v>
      </c>
      <c r="AM608" s="8">
        <v>0</v>
      </c>
      <c r="AN608" s="8">
        <v>0</v>
      </c>
      <c r="AO608" s="8">
        <v>0</v>
      </c>
      <c r="AP608" s="8">
        <v>0</v>
      </c>
      <c r="AQ608" s="8">
        <v>0</v>
      </c>
      <c r="AR608" s="8">
        <v>0</v>
      </c>
      <c r="AS608" s="8">
        <v>0</v>
      </c>
      <c r="AT608" s="8">
        <v>0</v>
      </c>
      <c r="AU608" s="8">
        <v>0</v>
      </c>
      <c r="AV608" s="8">
        <v>0</v>
      </c>
      <c r="AW608" s="8">
        <v>0</v>
      </c>
      <c r="AX608" s="8">
        <v>0</v>
      </c>
      <c r="AY608" s="8">
        <v>0</v>
      </c>
      <c r="AZ608" s="8">
        <v>0</v>
      </c>
      <c r="BA608" s="8">
        <v>0</v>
      </c>
      <c r="BB608" s="8">
        <v>0</v>
      </c>
      <c r="BC608" s="8">
        <v>0</v>
      </c>
      <c r="BD608" s="8">
        <v>0</v>
      </c>
      <c r="BE608" s="8">
        <v>0</v>
      </c>
      <c r="BF608" s="8">
        <v>0</v>
      </c>
      <c r="BG608" s="8">
        <v>0</v>
      </c>
      <c r="BH608" s="8">
        <v>0</v>
      </c>
      <c r="BI608" s="8">
        <v>0</v>
      </c>
      <c r="BJ608" s="8">
        <v>0</v>
      </c>
      <c r="BK608" s="8">
        <v>0</v>
      </c>
      <c r="BL608" s="8">
        <v>0</v>
      </c>
      <c r="BM608" s="8">
        <v>0</v>
      </c>
      <c r="BN608" s="8">
        <v>0</v>
      </c>
      <c r="BO608" s="8">
        <v>0</v>
      </c>
      <c r="BP608" s="8">
        <v>0</v>
      </c>
      <c r="BQ608" s="8">
        <v>0</v>
      </c>
      <c r="BR608" s="8">
        <v>0</v>
      </c>
      <c r="BS608" s="8">
        <f t="shared" si="526"/>
        <v>0</v>
      </c>
      <c r="BT608" s="8"/>
      <c r="BU608" s="2">
        <f t="shared" si="752"/>
        <v>0</v>
      </c>
      <c r="BV608" s="2">
        <f t="shared" si="753"/>
        <v>0</v>
      </c>
      <c r="BW608" s="2">
        <f t="shared" si="754"/>
        <v>0</v>
      </c>
      <c r="BX608" s="2">
        <f t="shared" si="755"/>
        <v>0</v>
      </c>
      <c r="BY608" s="2">
        <f t="shared" si="756"/>
        <v>0</v>
      </c>
      <c r="BZ608" s="2">
        <f t="shared" ref="BZ608:CA608" si="820">SUM(AQ608)</f>
        <v>0</v>
      </c>
      <c r="CA608" s="2">
        <f t="shared" si="820"/>
        <v>0</v>
      </c>
      <c r="CB608" s="2">
        <f t="shared" si="758"/>
        <v>0</v>
      </c>
    </row>
    <row r="609" spans="1:80" ht="16" x14ac:dyDescent="0.2">
      <c r="A609" s="3" t="s">
        <v>189</v>
      </c>
      <c r="B609" s="10">
        <v>792</v>
      </c>
      <c r="C609" s="5">
        <v>1</v>
      </c>
      <c r="D609" s="10">
        <v>0</v>
      </c>
      <c r="E609" s="10">
        <v>0</v>
      </c>
      <c r="F609" s="10"/>
      <c r="G609" s="10">
        <v>2015</v>
      </c>
      <c r="H609" s="7" t="str">
        <f t="shared" si="751"/>
        <v>No</v>
      </c>
      <c r="I609" s="54" t="s">
        <v>55</v>
      </c>
      <c r="J609" s="8">
        <v>1</v>
      </c>
      <c r="K609" s="8" t="s">
        <v>190</v>
      </c>
      <c r="L609" s="8" t="s">
        <v>64</v>
      </c>
      <c r="M609" s="8" t="s">
        <v>64</v>
      </c>
      <c r="N609" s="8">
        <v>0</v>
      </c>
      <c r="O609" s="8">
        <v>0</v>
      </c>
      <c r="P609" s="8">
        <v>1</v>
      </c>
      <c r="Q609" s="8"/>
      <c r="R609" s="9">
        <v>0</v>
      </c>
      <c r="S609" s="8">
        <v>0</v>
      </c>
      <c r="T609" s="8">
        <v>0</v>
      </c>
      <c r="U609" s="8">
        <v>0</v>
      </c>
      <c r="V609" s="8">
        <v>0</v>
      </c>
      <c r="W609" s="8">
        <v>0</v>
      </c>
      <c r="X609" s="8">
        <v>0</v>
      </c>
      <c r="Y609" s="8">
        <v>0</v>
      </c>
      <c r="Z609" s="8">
        <v>0</v>
      </c>
      <c r="AA609" s="8" t="s">
        <v>112</v>
      </c>
      <c r="AB609" s="8">
        <v>0</v>
      </c>
      <c r="AC609" s="8">
        <v>0</v>
      </c>
      <c r="AD609" s="8">
        <v>0</v>
      </c>
      <c r="AE609" s="8">
        <v>1</v>
      </c>
      <c r="AF609" s="8">
        <v>0</v>
      </c>
      <c r="AG609" s="8">
        <v>0</v>
      </c>
      <c r="AH609" s="8">
        <v>0</v>
      </c>
      <c r="AI609" s="8">
        <v>0</v>
      </c>
      <c r="AJ609" s="8">
        <v>0</v>
      </c>
      <c r="AK609" s="8">
        <v>0</v>
      </c>
      <c r="AL609" s="8">
        <v>0</v>
      </c>
      <c r="AM609" s="8">
        <v>0</v>
      </c>
      <c r="AN609" s="8">
        <v>0</v>
      </c>
      <c r="AO609" s="8">
        <v>0</v>
      </c>
      <c r="AP609" s="8">
        <v>0</v>
      </c>
      <c r="AQ609" s="8">
        <v>0</v>
      </c>
      <c r="AR609" s="8">
        <v>0</v>
      </c>
      <c r="AS609" s="8">
        <v>0</v>
      </c>
      <c r="AT609" s="8">
        <v>0</v>
      </c>
      <c r="AU609" s="8">
        <v>0</v>
      </c>
      <c r="AV609" s="8">
        <v>0</v>
      </c>
      <c r="AW609" s="8">
        <v>0</v>
      </c>
      <c r="AX609" s="8">
        <v>0</v>
      </c>
      <c r="AY609" s="8">
        <v>0</v>
      </c>
      <c r="AZ609" s="8">
        <v>0</v>
      </c>
      <c r="BA609" s="8">
        <v>0</v>
      </c>
      <c r="BB609" s="8">
        <v>0</v>
      </c>
      <c r="BC609" s="8">
        <v>0</v>
      </c>
      <c r="BD609" s="8">
        <v>0</v>
      </c>
      <c r="BE609" s="8">
        <v>0</v>
      </c>
      <c r="BF609" s="8">
        <v>0</v>
      </c>
      <c r="BG609" s="8">
        <v>0</v>
      </c>
      <c r="BH609" s="8">
        <v>0</v>
      </c>
      <c r="BI609" s="8">
        <v>0</v>
      </c>
      <c r="BJ609" s="8">
        <v>0</v>
      </c>
      <c r="BK609" s="8">
        <v>0</v>
      </c>
      <c r="BL609" s="8">
        <v>0</v>
      </c>
      <c r="BM609" s="8">
        <v>0</v>
      </c>
      <c r="BN609" s="8">
        <v>0</v>
      </c>
      <c r="BO609" s="8">
        <v>0</v>
      </c>
      <c r="BP609" s="8">
        <v>0</v>
      </c>
      <c r="BQ609" s="8">
        <v>0</v>
      </c>
      <c r="BR609" s="8">
        <v>0</v>
      </c>
      <c r="BS609" s="8">
        <f t="shared" si="526"/>
        <v>0</v>
      </c>
      <c r="BT609" s="8"/>
      <c r="BU609" s="2">
        <f t="shared" si="752"/>
        <v>0</v>
      </c>
      <c r="BV609" s="2">
        <f t="shared" si="753"/>
        <v>0</v>
      </c>
      <c r="BW609" s="2">
        <f t="shared" si="754"/>
        <v>0</v>
      </c>
      <c r="BX609" s="2">
        <f t="shared" si="755"/>
        <v>0</v>
      </c>
      <c r="BY609" s="2">
        <f t="shared" si="756"/>
        <v>0</v>
      </c>
      <c r="BZ609" s="2">
        <f t="shared" ref="BZ609:CA609" si="821">SUM(AQ609)</f>
        <v>0</v>
      </c>
      <c r="CA609" s="2">
        <f t="shared" si="821"/>
        <v>0</v>
      </c>
      <c r="CB609" s="2">
        <f t="shared" si="758"/>
        <v>0</v>
      </c>
    </row>
    <row r="610" spans="1:80" ht="16" x14ac:dyDescent="0.2">
      <c r="A610" s="3" t="s">
        <v>189</v>
      </c>
      <c r="B610" s="10">
        <v>792</v>
      </c>
      <c r="C610" s="5">
        <v>1</v>
      </c>
      <c r="D610" s="10">
        <v>0</v>
      </c>
      <c r="E610" s="10">
        <v>0</v>
      </c>
      <c r="F610" s="10"/>
      <c r="G610" s="10">
        <v>2016</v>
      </c>
      <c r="H610" s="7" t="str">
        <f t="shared" si="751"/>
        <v>No</v>
      </c>
      <c r="I610" s="54" t="s">
        <v>55</v>
      </c>
      <c r="J610" s="8">
        <v>1</v>
      </c>
      <c r="K610" s="8" t="s">
        <v>190</v>
      </c>
      <c r="L610" s="8" t="s">
        <v>64</v>
      </c>
      <c r="M610" s="8" t="s">
        <v>64</v>
      </c>
      <c r="N610" s="8">
        <v>0</v>
      </c>
      <c r="O610" s="8">
        <v>0</v>
      </c>
      <c r="P610" s="8">
        <v>1</v>
      </c>
      <c r="Q610" s="8"/>
      <c r="R610" s="9">
        <v>0</v>
      </c>
      <c r="S610" s="8">
        <v>0</v>
      </c>
      <c r="T610" s="8">
        <v>0</v>
      </c>
      <c r="U610" s="8">
        <v>0</v>
      </c>
      <c r="V610" s="8">
        <v>0</v>
      </c>
      <c r="W610" s="8">
        <v>0</v>
      </c>
      <c r="X610" s="8">
        <v>0</v>
      </c>
      <c r="Y610" s="8">
        <v>0</v>
      </c>
      <c r="Z610" s="8">
        <v>0</v>
      </c>
      <c r="AA610" s="8" t="s">
        <v>112</v>
      </c>
      <c r="AB610" s="8">
        <v>0</v>
      </c>
      <c r="AC610" s="8">
        <v>0</v>
      </c>
      <c r="AD610" s="8">
        <v>0</v>
      </c>
      <c r="AE610" s="8">
        <v>1</v>
      </c>
      <c r="AF610" s="8">
        <v>0</v>
      </c>
      <c r="AG610" s="8">
        <v>0</v>
      </c>
      <c r="AH610" s="8">
        <v>0</v>
      </c>
      <c r="AI610" s="8">
        <v>0</v>
      </c>
      <c r="AJ610" s="8">
        <v>0</v>
      </c>
      <c r="AK610" s="8">
        <v>0</v>
      </c>
      <c r="AL610" s="8">
        <v>0</v>
      </c>
      <c r="AM610" s="8">
        <v>0</v>
      </c>
      <c r="AN610" s="8">
        <v>0</v>
      </c>
      <c r="AO610" s="8">
        <v>0</v>
      </c>
      <c r="AP610" s="8">
        <v>0</v>
      </c>
      <c r="AQ610" s="8">
        <v>0</v>
      </c>
      <c r="AR610" s="8">
        <v>0</v>
      </c>
      <c r="AS610" s="8">
        <v>0</v>
      </c>
      <c r="AT610" s="8">
        <v>0</v>
      </c>
      <c r="AU610" s="8">
        <v>0</v>
      </c>
      <c r="AV610" s="8">
        <v>0</v>
      </c>
      <c r="AW610" s="8">
        <v>0</v>
      </c>
      <c r="AX610" s="8">
        <v>0</v>
      </c>
      <c r="AY610" s="8">
        <v>0</v>
      </c>
      <c r="AZ610" s="8">
        <v>0</v>
      </c>
      <c r="BA610" s="8">
        <v>0</v>
      </c>
      <c r="BB610" s="8">
        <v>0</v>
      </c>
      <c r="BC610" s="8">
        <v>0</v>
      </c>
      <c r="BD610" s="8">
        <v>0</v>
      </c>
      <c r="BE610" s="8">
        <v>0</v>
      </c>
      <c r="BF610" s="8">
        <v>0</v>
      </c>
      <c r="BG610" s="8">
        <v>0</v>
      </c>
      <c r="BH610" s="8">
        <v>0</v>
      </c>
      <c r="BI610" s="8">
        <v>0</v>
      </c>
      <c r="BJ610" s="8">
        <v>0</v>
      </c>
      <c r="BK610" s="8">
        <v>0</v>
      </c>
      <c r="BL610" s="8">
        <v>0</v>
      </c>
      <c r="BM610" s="8">
        <v>0</v>
      </c>
      <c r="BN610" s="8">
        <v>0</v>
      </c>
      <c r="BO610" s="8">
        <v>0</v>
      </c>
      <c r="BP610" s="8">
        <v>0</v>
      </c>
      <c r="BQ610" s="8">
        <v>0</v>
      </c>
      <c r="BR610" s="8">
        <v>0</v>
      </c>
      <c r="BS610" s="8">
        <f t="shared" si="526"/>
        <v>0</v>
      </c>
      <c r="BT610" s="8"/>
      <c r="BU610" s="2">
        <f t="shared" si="752"/>
        <v>0</v>
      </c>
      <c r="BV610" s="2">
        <f t="shared" si="753"/>
        <v>0</v>
      </c>
      <c r="BW610" s="2">
        <f t="shared" si="754"/>
        <v>0</v>
      </c>
      <c r="BX610" s="2">
        <f t="shared" si="755"/>
        <v>0</v>
      </c>
      <c r="BY610" s="2">
        <f t="shared" si="756"/>
        <v>0</v>
      </c>
      <c r="BZ610" s="2">
        <f t="shared" ref="BZ610:CA610" si="822">SUM(AQ610)</f>
        <v>0</v>
      </c>
      <c r="CA610" s="2">
        <f t="shared" si="822"/>
        <v>0</v>
      </c>
      <c r="CB610" s="2">
        <f t="shared" si="758"/>
        <v>0</v>
      </c>
    </row>
    <row r="611" spans="1:80" ht="16" x14ac:dyDescent="0.2">
      <c r="A611" s="3" t="s">
        <v>189</v>
      </c>
      <c r="B611" s="10">
        <v>792</v>
      </c>
      <c r="C611" s="5">
        <v>1</v>
      </c>
      <c r="D611" s="10">
        <v>0</v>
      </c>
      <c r="E611" s="10">
        <v>0</v>
      </c>
      <c r="F611" s="10"/>
      <c r="G611" s="10">
        <v>2017</v>
      </c>
      <c r="H611" s="7" t="str">
        <f t="shared" si="751"/>
        <v>No</v>
      </c>
      <c r="I611" s="54" t="s">
        <v>55</v>
      </c>
      <c r="J611" s="8">
        <v>1</v>
      </c>
      <c r="K611" s="8" t="s">
        <v>190</v>
      </c>
      <c r="L611" s="8" t="s">
        <v>64</v>
      </c>
      <c r="M611" s="8" t="s">
        <v>64</v>
      </c>
      <c r="N611" s="8">
        <v>0</v>
      </c>
      <c r="O611" s="8">
        <v>0</v>
      </c>
      <c r="P611" s="8">
        <v>1</v>
      </c>
      <c r="Q611" s="8"/>
      <c r="R611" s="9">
        <v>0</v>
      </c>
      <c r="S611" s="8">
        <v>0</v>
      </c>
      <c r="T611" s="8">
        <v>0</v>
      </c>
      <c r="U611" s="8">
        <v>0</v>
      </c>
      <c r="V611" s="8">
        <v>0</v>
      </c>
      <c r="W611" s="8">
        <v>0</v>
      </c>
      <c r="X611" s="8">
        <v>0</v>
      </c>
      <c r="Y611" s="8">
        <v>0</v>
      </c>
      <c r="Z611" s="8">
        <v>0</v>
      </c>
      <c r="AA611" s="8" t="s">
        <v>112</v>
      </c>
      <c r="AB611" s="8">
        <v>0</v>
      </c>
      <c r="AC611" s="8">
        <v>0</v>
      </c>
      <c r="AD611" s="8">
        <v>0</v>
      </c>
      <c r="AE611" s="8">
        <v>1</v>
      </c>
      <c r="AF611" s="8">
        <v>0</v>
      </c>
      <c r="AG611" s="8">
        <v>0</v>
      </c>
      <c r="AH611" s="8">
        <v>0</v>
      </c>
      <c r="AI611" s="8">
        <v>0</v>
      </c>
      <c r="AJ611" s="8">
        <v>0</v>
      </c>
      <c r="AK611" s="8">
        <v>0</v>
      </c>
      <c r="AL611" s="8">
        <v>0</v>
      </c>
      <c r="AM611" s="8">
        <v>0</v>
      </c>
      <c r="AN611" s="8">
        <v>0</v>
      </c>
      <c r="AO611" s="8">
        <v>0</v>
      </c>
      <c r="AP611" s="8">
        <v>0</v>
      </c>
      <c r="AQ611" s="8">
        <v>0</v>
      </c>
      <c r="AR611" s="8">
        <v>0</v>
      </c>
      <c r="AS611" s="8">
        <v>0</v>
      </c>
      <c r="AT611" s="8">
        <v>0</v>
      </c>
      <c r="AU611" s="8">
        <v>0</v>
      </c>
      <c r="AV611" s="8">
        <v>0</v>
      </c>
      <c r="AW611" s="8">
        <v>0</v>
      </c>
      <c r="AX611" s="8">
        <v>0</v>
      </c>
      <c r="AY611" s="8">
        <v>0</v>
      </c>
      <c r="AZ611" s="8">
        <v>0</v>
      </c>
      <c r="BA611" s="8">
        <v>0</v>
      </c>
      <c r="BB611" s="8">
        <v>0</v>
      </c>
      <c r="BC611" s="8">
        <v>0</v>
      </c>
      <c r="BD611" s="8">
        <v>0</v>
      </c>
      <c r="BE611" s="8">
        <v>0</v>
      </c>
      <c r="BF611" s="8">
        <v>0</v>
      </c>
      <c r="BG611" s="8">
        <v>0</v>
      </c>
      <c r="BH611" s="8">
        <v>0</v>
      </c>
      <c r="BI611" s="8">
        <v>0</v>
      </c>
      <c r="BJ611" s="8">
        <v>0</v>
      </c>
      <c r="BK611" s="8">
        <v>0</v>
      </c>
      <c r="BL611" s="8">
        <v>0</v>
      </c>
      <c r="BM611" s="8">
        <v>0</v>
      </c>
      <c r="BN611" s="8">
        <v>0</v>
      </c>
      <c r="BO611" s="8">
        <v>0</v>
      </c>
      <c r="BP611" s="8">
        <v>0</v>
      </c>
      <c r="BQ611" s="8">
        <v>0</v>
      </c>
      <c r="BR611" s="8">
        <v>0</v>
      </c>
      <c r="BS611" s="8">
        <f t="shared" si="526"/>
        <v>0</v>
      </c>
      <c r="BT611" s="8"/>
      <c r="BU611" s="2">
        <f t="shared" si="752"/>
        <v>0</v>
      </c>
      <c r="BV611" s="2">
        <f t="shared" si="753"/>
        <v>0</v>
      </c>
      <c r="BW611" s="2">
        <f t="shared" si="754"/>
        <v>0</v>
      </c>
      <c r="BX611" s="2">
        <f t="shared" si="755"/>
        <v>0</v>
      </c>
      <c r="BY611" s="2">
        <f t="shared" si="756"/>
        <v>0</v>
      </c>
      <c r="BZ611" s="2">
        <f t="shared" ref="BZ611:CA611" si="823">SUM(AQ611)</f>
        <v>0</v>
      </c>
      <c r="CA611" s="2">
        <f t="shared" si="823"/>
        <v>0</v>
      </c>
      <c r="CB611" s="2">
        <f t="shared" si="758"/>
        <v>0</v>
      </c>
    </row>
    <row r="612" spans="1:80" ht="16" x14ac:dyDescent="0.2">
      <c r="A612" s="3" t="s">
        <v>189</v>
      </c>
      <c r="B612" s="10">
        <v>792</v>
      </c>
      <c r="C612" s="5">
        <v>1</v>
      </c>
      <c r="D612" s="10">
        <v>0</v>
      </c>
      <c r="E612" s="10">
        <v>0</v>
      </c>
      <c r="F612" s="10"/>
      <c r="G612" s="10">
        <v>2018</v>
      </c>
      <c r="H612" s="7" t="str">
        <f t="shared" si="751"/>
        <v>No</v>
      </c>
      <c r="I612" s="54" t="s">
        <v>55</v>
      </c>
      <c r="J612" s="8">
        <v>1</v>
      </c>
      <c r="K612" s="8" t="s">
        <v>190</v>
      </c>
      <c r="L612" s="8" t="s">
        <v>64</v>
      </c>
      <c r="M612" s="8" t="s">
        <v>64</v>
      </c>
      <c r="N612" s="8">
        <v>0</v>
      </c>
      <c r="O612" s="8">
        <v>0</v>
      </c>
      <c r="P612" s="8">
        <v>1</v>
      </c>
      <c r="Q612" s="8"/>
      <c r="R612" s="9">
        <v>0</v>
      </c>
      <c r="S612" s="8">
        <v>0</v>
      </c>
      <c r="T612" s="8">
        <v>0</v>
      </c>
      <c r="U612" s="8">
        <v>0</v>
      </c>
      <c r="V612" s="8">
        <v>0</v>
      </c>
      <c r="W612" s="8">
        <v>0</v>
      </c>
      <c r="X612" s="8">
        <v>0</v>
      </c>
      <c r="Y612" s="8">
        <v>0</v>
      </c>
      <c r="Z612" s="8">
        <v>0</v>
      </c>
      <c r="AA612" s="8" t="s">
        <v>112</v>
      </c>
      <c r="AB612" s="8">
        <v>0</v>
      </c>
      <c r="AC612" s="8">
        <v>0</v>
      </c>
      <c r="AD612" s="8">
        <v>0</v>
      </c>
      <c r="AE612" s="8">
        <v>1</v>
      </c>
      <c r="AF612" s="8">
        <v>0</v>
      </c>
      <c r="AG612" s="8">
        <v>0</v>
      </c>
      <c r="AH612" s="8">
        <v>0</v>
      </c>
      <c r="AI612" s="8">
        <v>0</v>
      </c>
      <c r="AJ612" s="8">
        <v>0</v>
      </c>
      <c r="AK612" s="8">
        <v>0</v>
      </c>
      <c r="AL612" s="8">
        <v>0</v>
      </c>
      <c r="AM612" s="8">
        <v>0</v>
      </c>
      <c r="AN612" s="8">
        <v>0</v>
      </c>
      <c r="AO612" s="8">
        <v>0</v>
      </c>
      <c r="AP612" s="8">
        <v>0</v>
      </c>
      <c r="AQ612" s="8">
        <v>0</v>
      </c>
      <c r="AR612" s="8">
        <v>0</v>
      </c>
      <c r="AS612" s="8">
        <v>0</v>
      </c>
      <c r="AT612" s="8">
        <v>0</v>
      </c>
      <c r="AU612" s="8">
        <v>0</v>
      </c>
      <c r="AV612" s="8">
        <v>0</v>
      </c>
      <c r="AW612" s="8">
        <v>0</v>
      </c>
      <c r="AX612" s="8">
        <v>0</v>
      </c>
      <c r="AY612" s="8">
        <v>0</v>
      </c>
      <c r="AZ612" s="8">
        <v>0</v>
      </c>
      <c r="BA612" s="8">
        <v>0</v>
      </c>
      <c r="BB612" s="8">
        <v>0</v>
      </c>
      <c r="BC612" s="8">
        <v>0</v>
      </c>
      <c r="BD612" s="8">
        <v>0</v>
      </c>
      <c r="BE612" s="8">
        <v>0</v>
      </c>
      <c r="BF612" s="8">
        <v>0</v>
      </c>
      <c r="BG612" s="8">
        <v>0</v>
      </c>
      <c r="BH612" s="8">
        <v>0</v>
      </c>
      <c r="BI612" s="8">
        <v>0</v>
      </c>
      <c r="BJ612" s="8">
        <v>0</v>
      </c>
      <c r="BK612" s="8">
        <v>0</v>
      </c>
      <c r="BL612" s="8">
        <v>0</v>
      </c>
      <c r="BM612" s="8">
        <v>0</v>
      </c>
      <c r="BN612" s="8">
        <v>0</v>
      </c>
      <c r="BO612" s="8">
        <v>0</v>
      </c>
      <c r="BP612" s="8">
        <v>0</v>
      </c>
      <c r="BQ612" s="8">
        <v>0</v>
      </c>
      <c r="BR612" s="8">
        <v>0</v>
      </c>
      <c r="BS612" s="8">
        <f t="shared" si="526"/>
        <v>0</v>
      </c>
      <c r="BT612" s="8"/>
      <c r="BU612" s="2">
        <f t="shared" si="752"/>
        <v>0</v>
      </c>
      <c r="BV612" s="2">
        <f t="shared" si="753"/>
        <v>0</v>
      </c>
      <c r="BW612" s="2">
        <f t="shared" si="754"/>
        <v>0</v>
      </c>
      <c r="BX612" s="2">
        <f t="shared" si="755"/>
        <v>0</v>
      </c>
      <c r="BY612" s="2">
        <f t="shared" si="756"/>
        <v>0</v>
      </c>
      <c r="BZ612" s="2">
        <f t="shared" ref="BZ612:CA612" si="824">SUM(AQ612)</f>
        <v>0</v>
      </c>
      <c r="CA612" s="2">
        <f t="shared" si="824"/>
        <v>0</v>
      </c>
      <c r="CB612" s="2">
        <f t="shared" si="758"/>
        <v>0</v>
      </c>
    </row>
    <row r="613" spans="1:80" ht="16" x14ac:dyDescent="0.2">
      <c r="A613" s="3" t="s">
        <v>189</v>
      </c>
      <c r="B613" s="10">
        <v>792</v>
      </c>
      <c r="C613" s="5">
        <v>1</v>
      </c>
      <c r="D613" s="10">
        <v>0</v>
      </c>
      <c r="E613" s="10">
        <v>0</v>
      </c>
      <c r="F613" s="10"/>
      <c r="G613" s="10">
        <v>2019</v>
      </c>
      <c r="H613" s="7" t="str">
        <f t="shared" si="751"/>
        <v>No</v>
      </c>
      <c r="I613" s="54" t="s">
        <v>55</v>
      </c>
      <c r="J613" s="8">
        <v>1</v>
      </c>
      <c r="K613" s="8" t="s">
        <v>190</v>
      </c>
      <c r="L613" s="8" t="s">
        <v>64</v>
      </c>
      <c r="M613" s="8" t="s">
        <v>64</v>
      </c>
      <c r="N613" s="8">
        <v>0</v>
      </c>
      <c r="O613" s="8">
        <v>0</v>
      </c>
      <c r="P613" s="8">
        <v>1</v>
      </c>
      <c r="Q613" s="8"/>
      <c r="R613" s="9">
        <v>0</v>
      </c>
      <c r="S613" s="8">
        <v>0</v>
      </c>
      <c r="T613" s="8">
        <v>0</v>
      </c>
      <c r="U613" s="8">
        <v>0</v>
      </c>
      <c r="V613" s="8">
        <v>0</v>
      </c>
      <c r="W613" s="8">
        <v>0</v>
      </c>
      <c r="X613" s="8">
        <v>0</v>
      </c>
      <c r="Y613" s="8">
        <v>0</v>
      </c>
      <c r="Z613" s="8">
        <v>0</v>
      </c>
      <c r="AA613" s="8" t="s">
        <v>112</v>
      </c>
      <c r="AB613" s="8">
        <v>0</v>
      </c>
      <c r="AC613" s="8">
        <v>0</v>
      </c>
      <c r="AD613" s="8">
        <v>0</v>
      </c>
      <c r="AE613" s="8">
        <v>1</v>
      </c>
      <c r="AF613" s="8">
        <v>0</v>
      </c>
      <c r="AG613" s="8">
        <v>0</v>
      </c>
      <c r="AH613" s="8">
        <v>0</v>
      </c>
      <c r="AI613" s="8">
        <v>0</v>
      </c>
      <c r="AJ613" s="8">
        <v>0</v>
      </c>
      <c r="AK613" s="8">
        <v>0</v>
      </c>
      <c r="AL613" s="8">
        <v>0</v>
      </c>
      <c r="AM613" s="8">
        <v>0</v>
      </c>
      <c r="AN613" s="8">
        <v>0</v>
      </c>
      <c r="AO613" s="8">
        <v>0</v>
      </c>
      <c r="AP613" s="8">
        <v>0</v>
      </c>
      <c r="AQ613" s="8">
        <v>0</v>
      </c>
      <c r="AR613" s="8">
        <v>0</v>
      </c>
      <c r="AS613" s="8">
        <v>0</v>
      </c>
      <c r="AT613" s="8">
        <v>0</v>
      </c>
      <c r="AU613" s="8">
        <v>0</v>
      </c>
      <c r="AV613" s="8">
        <v>0</v>
      </c>
      <c r="AW613" s="8">
        <v>0</v>
      </c>
      <c r="AX613" s="8">
        <v>0</v>
      </c>
      <c r="AY613" s="8">
        <v>0</v>
      </c>
      <c r="AZ613" s="8">
        <v>0</v>
      </c>
      <c r="BA613" s="8">
        <v>0</v>
      </c>
      <c r="BB613" s="8">
        <v>0</v>
      </c>
      <c r="BC613" s="8">
        <v>0</v>
      </c>
      <c r="BD613" s="8">
        <v>0</v>
      </c>
      <c r="BE613" s="8">
        <v>0</v>
      </c>
      <c r="BF613" s="8">
        <v>0</v>
      </c>
      <c r="BG613" s="8">
        <v>0</v>
      </c>
      <c r="BH613" s="8">
        <v>0</v>
      </c>
      <c r="BI613" s="8">
        <v>0</v>
      </c>
      <c r="BJ613" s="8">
        <v>0</v>
      </c>
      <c r="BK613" s="8">
        <v>0</v>
      </c>
      <c r="BL613" s="8">
        <v>0</v>
      </c>
      <c r="BM613" s="8">
        <v>0</v>
      </c>
      <c r="BN613" s="8">
        <v>0</v>
      </c>
      <c r="BO613" s="8">
        <v>0</v>
      </c>
      <c r="BP613" s="8">
        <v>0</v>
      </c>
      <c r="BQ613" s="8">
        <v>0</v>
      </c>
      <c r="BR613" s="8">
        <v>0</v>
      </c>
      <c r="BS613" s="8">
        <f t="shared" si="526"/>
        <v>0</v>
      </c>
      <c r="BT613" s="8"/>
      <c r="BU613" s="2">
        <f t="shared" si="752"/>
        <v>0</v>
      </c>
      <c r="BV613" s="2">
        <f t="shared" si="753"/>
        <v>0</v>
      </c>
      <c r="BW613" s="2">
        <f t="shared" si="754"/>
        <v>0</v>
      </c>
      <c r="BX613" s="2">
        <f t="shared" si="755"/>
        <v>0</v>
      </c>
      <c r="BY613" s="2">
        <f t="shared" si="756"/>
        <v>0</v>
      </c>
      <c r="BZ613" s="2">
        <f t="shared" ref="BZ613:CA613" si="825">SUM(AQ613)</f>
        <v>0</v>
      </c>
      <c r="CA613" s="2">
        <f t="shared" si="825"/>
        <v>0</v>
      </c>
      <c r="CB613" s="2">
        <f t="shared" si="758"/>
        <v>0</v>
      </c>
    </row>
    <row r="614" spans="1:80" ht="15" customHeight="1" x14ac:dyDescent="0.2">
      <c r="A614" s="3" t="s">
        <v>189</v>
      </c>
      <c r="B614" s="10">
        <v>792</v>
      </c>
      <c r="C614" s="5">
        <v>1</v>
      </c>
      <c r="D614" s="10">
        <v>0</v>
      </c>
      <c r="E614" s="10">
        <v>0</v>
      </c>
      <c r="F614" s="10"/>
      <c r="G614" s="10">
        <v>2020</v>
      </c>
      <c r="H614" s="7" t="str">
        <f t="shared" si="751"/>
        <v>No</v>
      </c>
      <c r="I614" s="54" t="s">
        <v>55</v>
      </c>
      <c r="J614" s="8">
        <v>1</v>
      </c>
      <c r="K614" s="8" t="s">
        <v>190</v>
      </c>
      <c r="L614" s="8" t="s">
        <v>64</v>
      </c>
      <c r="M614" s="8" t="s">
        <v>64</v>
      </c>
      <c r="N614" s="8">
        <v>0</v>
      </c>
      <c r="O614" s="8">
        <v>0</v>
      </c>
      <c r="P614" s="8">
        <v>1</v>
      </c>
      <c r="Q614" s="8"/>
      <c r="R614" s="9">
        <v>0</v>
      </c>
      <c r="S614" s="8">
        <v>0</v>
      </c>
      <c r="T614" s="8">
        <v>0</v>
      </c>
      <c r="U614" s="8">
        <v>0</v>
      </c>
      <c r="V614" s="8">
        <v>0</v>
      </c>
      <c r="W614" s="8">
        <v>0</v>
      </c>
      <c r="X614" s="8">
        <v>0</v>
      </c>
      <c r="Y614" s="8">
        <v>0</v>
      </c>
      <c r="Z614" s="8">
        <v>0</v>
      </c>
      <c r="AA614" s="8" t="s">
        <v>112</v>
      </c>
      <c r="AB614" s="8">
        <v>0</v>
      </c>
      <c r="AC614" s="8">
        <v>0</v>
      </c>
      <c r="AD614" s="8">
        <v>0</v>
      </c>
      <c r="AE614" s="8">
        <v>1</v>
      </c>
      <c r="AF614" s="8">
        <v>0</v>
      </c>
      <c r="AG614" s="8">
        <v>0</v>
      </c>
      <c r="AH614" s="8">
        <v>0</v>
      </c>
      <c r="AI614" s="8">
        <v>0</v>
      </c>
      <c r="AJ614" s="8">
        <v>0</v>
      </c>
      <c r="AK614" s="8">
        <v>0</v>
      </c>
      <c r="AL614" s="8">
        <v>0</v>
      </c>
      <c r="AM614" s="8">
        <v>0</v>
      </c>
      <c r="AN614" s="8">
        <v>0</v>
      </c>
      <c r="AO614" s="8">
        <v>0</v>
      </c>
      <c r="AP614" s="8">
        <v>0</v>
      </c>
      <c r="AQ614" s="8">
        <v>0</v>
      </c>
      <c r="AR614" s="8">
        <v>0</v>
      </c>
      <c r="AS614" s="8">
        <v>0</v>
      </c>
      <c r="AT614" s="8">
        <v>0</v>
      </c>
      <c r="AU614" s="8">
        <v>0</v>
      </c>
      <c r="AV614" s="8">
        <v>0</v>
      </c>
      <c r="AW614" s="8">
        <v>0</v>
      </c>
      <c r="AX614" s="8">
        <v>0</v>
      </c>
      <c r="AY614" s="8">
        <v>0</v>
      </c>
      <c r="AZ614" s="8">
        <v>0</v>
      </c>
      <c r="BA614" s="8">
        <v>0</v>
      </c>
      <c r="BB614" s="8">
        <v>0</v>
      </c>
      <c r="BC614" s="8">
        <v>0</v>
      </c>
      <c r="BD614" s="8">
        <v>0</v>
      </c>
      <c r="BE614" s="8">
        <v>0</v>
      </c>
      <c r="BF614" s="8">
        <v>0</v>
      </c>
      <c r="BG614" s="8">
        <v>0</v>
      </c>
      <c r="BH614" s="8">
        <v>0</v>
      </c>
      <c r="BI614" s="8">
        <v>0</v>
      </c>
      <c r="BJ614" s="8">
        <v>0</v>
      </c>
      <c r="BK614" s="8">
        <v>0</v>
      </c>
      <c r="BL614" s="8">
        <v>0</v>
      </c>
      <c r="BM614" s="8">
        <v>0</v>
      </c>
      <c r="BN614" s="8">
        <v>0</v>
      </c>
      <c r="BO614" s="8">
        <v>0</v>
      </c>
      <c r="BP614" s="8">
        <v>0</v>
      </c>
      <c r="BQ614" s="8">
        <v>0</v>
      </c>
      <c r="BR614" s="8">
        <v>0</v>
      </c>
      <c r="BS614" s="8">
        <f t="shared" si="526"/>
        <v>0</v>
      </c>
      <c r="BT614" s="8"/>
      <c r="BU614" s="2">
        <f t="shared" si="752"/>
        <v>0</v>
      </c>
      <c r="BV614" s="2">
        <f t="shared" si="753"/>
        <v>0</v>
      </c>
      <c r="BW614" s="2">
        <f t="shared" si="754"/>
        <v>0</v>
      </c>
      <c r="BX614" s="2">
        <f t="shared" si="755"/>
        <v>0</v>
      </c>
      <c r="BY614" s="2">
        <f t="shared" si="756"/>
        <v>0</v>
      </c>
      <c r="BZ614" s="2">
        <f t="shared" ref="BZ614:CA614" si="826">SUM(AQ614)</f>
        <v>0</v>
      </c>
      <c r="CA614" s="2">
        <f t="shared" si="826"/>
        <v>0</v>
      </c>
      <c r="CB614" s="2">
        <f t="shared" si="758"/>
        <v>0</v>
      </c>
    </row>
    <row r="615" spans="1:80" ht="16" x14ac:dyDescent="0.2">
      <c r="A615" s="3" t="s">
        <v>189</v>
      </c>
      <c r="B615" s="10">
        <v>792</v>
      </c>
      <c r="C615" s="5">
        <v>1</v>
      </c>
      <c r="D615" s="10">
        <v>0</v>
      </c>
      <c r="E615" s="10">
        <v>0</v>
      </c>
      <c r="F615" s="10"/>
      <c r="G615" s="10">
        <v>2021</v>
      </c>
      <c r="H615" s="7" t="str">
        <f t="shared" si="751"/>
        <v>No</v>
      </c>
      <c r="I615" s="54" t="s">
        <v>55</v>
      </c>
      <c r="J615" s="8">
        <v>1</v>
      </c>
      <c r="K615" s="8" t="s">
        <v>190</v>
      </c>
      <c r="L615" s="8" t="s">
        <v>64</v>
      </c>
      <c r="M615" s="8" t="s">
        <v>64</v>
      </c>
      <c r="N615" s="8">
        <v>0</v>
      </c>
      <c r="O615" s="8">
        <v>0</v>
      </c>
      <c r="P615" s="8">
        <v>1</v>
      </c>
      <c r="Q615" s="8"/>
      <c r="R615" s="9">
        <v>0</v>
      </c>
      <c r="S615" s="8">
        <v>0</v>
      </c>
      <c r="T615" s="8">
        <v>0</v>
      </c>
      <c r="U615" s="8">
        <v>0</v>
      </c>
      <c r="V615" s="8">
        <v>0</v>
      </c>
      <c r="W615" s="8">
        <v>0</v>
      </c>
      <c r="X615" s="8">
        <v>0</v>
      </c>
      <c r="Y615" s="8">
        <v>0</v>
      </c>
      <c r="Z615" s="8">
        <v>0</v>
      </c>
      <c r="AA615" s="8" t="s">
        <v>112</v>
      </c>
      <c r="AB615" s="8">
        <v>0</v>
      </c>
      <c r="AC615" s="8">
        <v>0</v>
      </c>
      <c r="AD615" s="8">
        <v>0</v>
      </c>
      <c r="AE615" s="8">
        <v>1</v>
      </c>
      <c r="AF615" s="8">
        <v>0</v>
      </c>
      <c r="AG615" s="8">
        <v>0</v>
      </c>
      <c r="AH615" s="8">
        <v>0</v>
      </c>
      <c r="AI615" s="8">
        <v>0</v>
      </c>
      <c r="AJ615" s="8">
        <v>0</v>
      </c>
      <c r="AK615" s="8">
        <v>0</v>
      </c>
      <c r="AL615" s="8">
        <v>0</v>
      </c>
      <c r="AM615" s="8">
        <v>0</v>
      </c>
      <c r="AN615" s="8">
        <v>0</v>
      </c>
      <c r="AO615" s="8">
        <v>0</v>
      </c>
      <c r="AP615" s="8">
        <v>0</v>
      </c>
      <c r="AQ615" s="8">
        <v>0</v>
      </c>
      <c r="AR615" s="8">
        <v>0</v>
      </c>
      <c r="AS615" s="8">
        <v>0</v>
      </c>
      <c r="AT615" s="8">
        <v>0</v>
      </c>
      <c r="AU615" s="8">
        <v>0</v>
      </c>
      <c r="AV615" s="8">
        <v>0</v>
      </c>
      <c r="AW615" s="8">
        <v>0</v>
      </c>
      <c r="AX615" s="8">
        <v>0</v>
      </c>
      <c r="AY615" s="8">
        <v>0</v>
      </c>
      <c r="AZ615" s="8">
        <v>0</v>
      </c>
      <c r="BA615" s="8">
        <v>0</v>
      </c>
      <c r="BB615" s="8">
        <v>0</v>
      </c>
      <c r="BC615" s="8">
        <v>0</v>
      </c>
      <c r="BD615" s="8">
        <v>0</v>
      </c>
      <c r="BE615" s="8">
        <v>0</v>
      </c>
      <c r="BF615" s="8">
        <v>0</v>
      </c>
      <c r="BG615" s="8">
        <v>0</v>
      </c>
      <c r="BH615" s="8">
        <v>0</v>
      </c>
      <c r="BI615" s="8">
        <v>0</v>
      </c>
      <c r="BJ615" s="8">
        <v>0</v>
      </c>
      <c r="BK615" s="8">
        <v>0</v>
      </c>
      <c r="BL615" s="8">
        <v>0</v>
      </c>
      <c r="BM615" s="8">
        <v>0</v>
      </c>
      <c r="BN615" s="8">
        <v>0</v>
      </c>
      <c r="BO615" s="8">
        <v>0</v>
      </c>
      <c r="BP615" s="8">
        <v>0</v>
      </c>
      <c r="BQ615" s="8">
        <v>0</v>
      </c>
      <c r="BR615" s="8">
        <v>0</v>
      </c>
      <c r="BS615" s="8">
        <f t="shared" si="526"/>
        <v>0</v>
      </c>
      <c r="BT615" s="8"/>
      <c r="BU615" s="2">
        <f t="shared" si="752"/>
        <v>0</v>
      </c>
      <c r="BV615" s="2">
        <f t="shared" si="753"/>
        <v>0</v>
      </c>
      <c r="BW615" s="2">
        <f t="shared" si="754"/>
        <v>0</v>
      </c>
      <c r="BX615" s="2">
        <f t="shared" si="755"/>
        <v>0</v>
      </c>
      <c r="BY615" s="2">
        <f t="shared" si="756"/>
        <v>0</v>
      </c>
      <c r="BZ615" s="2">
        <f t="shared" ref="BZ615:CA615" si="827">SUM(AQ615)</f>
        <v>0</v>
      </c>
      <c r="CA615" s="2">
        <f t="shared" si="827"/>
        <v>0</v>
      </c>
      <c r="CB615" s="2">
        <f t="shared" si="758"/>
        <v>0</v>
      </c>
    </row>
    <row r="616" spans="1:80" ht="16" x14ac:dyDescent="0.2">
      <c r="A616" s="3" t="s">
        <v>189</v>
      </c>
      <c r="B616" s="10">
        <v>792</v>
      </c>
      <c r="C616" s="5">
        <v>1</v>
      </c>
      <c r="D616" s="10">
        <v>0</v>
      </c>
      <c r="E616" s="10">
        <v>0</v>
      </c>
      <c r="F616" s="10"/>
      <c r="G616" s="10">
        <v>2022</v>
      </c>
      <c r="H616" s="7" t="str">
        <f>IF($I616="1", "Yes", "No")</f>
        <v>No</v>
      </c>
      <c r="I616" s="54" t="s">
        <v>55</v>
      </c>
      <c r="J616" s="8">
        <v>1</v>
      </c>
      <c r="K616" s="8" t="s">
        <v>190</v>
      </c>
      <c r="L616" s="8" t="s">
        <v>64</v>
      </c>
      <c r="M616" s="8" t="s">
        <v>64</v>
      </c>
      <c r="N616" s="8">
        <v>0</v>
      </c>
      <c r="O616" s="8">
        <v>0</v>
      </c>
      <c r="P616" s="8">
        <v>1</v>
      </c>
      <c r="Q616" s="8"/>
      <c r="R616" s="9">
        <v>0</v>
      </c>
      <c r="S616" s="8">
        <v>0</v>
      </c>
      <c r="T616" s="8">
        <v>0</v>
      </c>
      <c r="U616" s="8">
        <v>0</v>
      </c>
      <c r="V616" s="8">
        <v>0</v>
      </c>
      <c r="W616" s="8">
        <v>0</v>
      </c>
      <c r="X616" s="8">
        <v>0</v>
      </c>
      <c r="Y616" s="8">
        <v>0</v>
      </c>
      <c r="Z616" s="8">
        <v>0</v>
      </c>
      <c r="AA616" s="8" t="s">
        <v>112</v>
      </c>
      <c r="AB616" s="8">
        <v>0</v>
      </c>
      <c r="AC616" s="8">
        <v>0</v>
      </c>
      <c r="AD616" s="8">
        <v>0</v>
      </c>
      <c r="AE616" s="8">
        <v>1</v>
      </c>
      <c r="AF616" s="8">
        <v>0</v>
      </c>
      <c r="AG616" s="8">
        <v>0</v>
      </c>
      <c r="AH616" s="8">
        <v>0</v>
      </c>
      <c r="AI616" s="8">
        <v>0</v>
      </c>
      <c r="AJ616" s="8">
        <v>0</v>
      </c>
      <c r="AK616" s="8">
        <v>0</v>
      </c>
      <c r="AL616" s="8">
        <v>0</v>
      </c>
      <c r="AM616" s="8">
        <v>0</v>
      </c>
      <c r="AN616" s="8">
        <v>0</v>
      </c>
      <c r="AO616" s="8">
        <v>0</v>
      </c>
      <c r="AP616" s="8">
        <v>0</v>
      </c>
      <c r="AQ616" s="8">
        <v>0</v>
      </c>
      <c r="AR616" s="8">
        <v>0</v>
      </c>
      <c r="AS616" s="8">
        <v>0</v>
      </c>
      <c r="AT616" s="8">
        <v>0</v>
      </c>
      <c r="AU616" s="8">
        <v>0</v>
      </c>
      <c r="AV616" s="8">
        <v>0</v>
      </c>
      <c r="AW616" s="8">
        <v>0</v>
      </c>
      <c r="AX616" s="8">
        <v>0</v>
      </c>
      <c r="AY616" s="8">
        <v>0</v>
      </c>
      <c r="AZ616" s="8">
        <v>0</v>
      </c>
      <c r="BA616" s="8">
        <v>0</v>
      </c>
      <c r="BB616" s="8">
        <v>0</v>
      </c>
      <c r="BC616" s="8">
        <v>0</v>
      </c>
      <c r="BD616" s="8">
        <v>0</v>
      </c>
      <c r="BE616" s="8">
        <v>0</v>
      </c>
      <c r="BF616" s="8">
        <v>0</v>
      </c>
      <c r="BG616" s="8">
        <v>0</v>
      </c>
      <c r="BH616" s="8">
        <v>0</v>
      </c>
      <c r="BI616" s="8">
        <v>0</v>
      </c>
      <c r="BJ616" s="8">
        <v>0</v>
      </c>
      <c r="BK616" s="8">
        <v>0</v>
      </c>
      <c r="BL616" s="8">
        <v>0</v>
      </c>
      <c r="BM616" s="8">
        <v>0</v>
      </c>
      <c r="BN616" s="8">
        <v>0</v>
      </c>
      <c r="BO616" s="8">
        <v>0</v>
      </c>
      <c r="BP616" s="8">
        <v>0</v>
      </c>
      <c r="BQ616" s="8">
        <v>0</v>
      </c>
      <c r="BR616" s="8">
        <v>0</v>
      </c>
      <c r="BS616" s="8">
        <f>SUM(AI616:BR616)</f>
        <v>0</v>
      </c>
      <c r="BT616" s="8"/>
      <c r="BU616" s="2">
        <f>SUM(AI616,BK616)</f>
        <v>0</v>
      </c>
      <c r="BV616" s="2">
        <f>SUM(AK616, AL616, AM616,AJ616,BL616,BO616, AP616)</f>
        <v>0</v>
      </c>
      <c r="BW616" s="2">
        <f>SUM(AN616, AO616, AS616)</f>
        <v>0</v>
      </c>
      <c r="BX616" s="2">
        <f>SUM(AU616,AV616,AW616,AX616,AY616,AZ616,BA616,BB616,BC616,BD616,BE616,BF616,BG616,BH616,BI616,BJ616,BQ616,BR616,BM616)</f>
        <v>0</v>
      </c>
      <c r="BY616" s="2">
        <f>SUM(BP616, BN616)</f>
        <v>0</v>
      </c>
      <c r="BZ616" s="2">
        <f>SUM(AQ616)</f>
        <v>0</v>
      </c>
      <c r="CA616" s="2">
        <f>SUM(AR616)</f>
        <v>0</v>
      </c>
      <c r="CB616" s="2">
        <f>SUM(AT616)</f>
        <v>0</v>
      </c>
    </row>
    <row r="617" spans="1:80" ht="16" x14ac:dyDescent="0.2">
      <c r="A617" s="3" t="s">
        <v>189</v>
      </c>
      <c r="B617" s="10">
        <v>792</v>
      </c>
      <c r="C617" s="5">
        <v>1</v>
      </c>
      <c r="D617" s="10">
        <v>0</v>
      </c>
      <c r="E617" s="10">
        <v>0</v>
      </c>
      <c r="F617" s="10"/>
      <c r="G617" s="10">
        <v>2023</v>
      </c>
      <c r="H617" s="7" t="str">
        <f>IF($I617="1", "Yes", "No")</f>
        <v>No</v>
      </c>
      <c r="I617" s="54" t="s">
        <v>55</v>
      </c>
      <c r="J617" s="8">
        <v>1</v>
      </c>
      <c r="K617" s="8" t="s">
        <v>190</v>
      </c>
      <c r="L617" s="8" t="s">
        <v>64</v>
      </c>
      <c r="M617" s="8" t="s">
        <v>64</v>
      </c>
      <c r="N617" s="8">
        <v>0</v>
      </c>
      <c r="O617" s="8">
        <v>0</v>
      </c>
      <c r="P617" s="8">
        <v>1</v>
      </c>
      <c r="Q617" s="8"/>
      <c r="R617" s="9">
        <v>0</v>
      </c>
      <c r="S617" s="8">
        <v>0</v>
      </c>
      <c r="T617" s="8">
        <v>0</v>
      </c>
      <c r="U617" s="8">
        <v>0</v>
      </c>
      <c r="V617" s="8">
        <v>0</v>
      </c>
      <c r="W617" s="8">
        <v>0</v>
      </c>
      <c r="X617" s="8">
        <v>0</v>
      </c>
      <c r="Y617" s="8">
        <v>0</v>
      </c>
      <c r="Z617" s="8">
        <v>0</v>
      </c>
      <c r="AA617" s="8" t="s">
        <v>112</v>
      </c>
      <c r="AB617" s="8">
        <v>0</v>
      </c>
      <c r="AC617" s="8">
        <v>0</v>
      </c>
      <c r="AD617" s="8">
        <v>0</v>
      </c>
      <c r="AE617" s="8">
        <v>1</v>
      </c>
      <c r="AF617" s="8">
        <v>0</v>
      </c>
      <c r="AG617" s="8">
        <v>0</v>
      </c>
      <c r="AH617" s="8">
        <v>0</v>
      </c>
      <c r="AI617" s="8">
        <v>0</v>
      </c>
      <c r="AJ617" s="8">
        <v>0</v>
      </c>
      <c r="AK617" s="8">
        <v>0</v>
      </c>
      <c r="AL617" s="8">
        <v>0</v>
      </c>
      <c r="AM617" s="8">
        <v>0</v>
      </c>
      <c r="AN617" s="8">
        <v>0</v>
      </c>
      <c r="AO617" s="8">
        <v>0</v>
      </c>
      <c r="AP617" s="8">
        <v>0</v>
      </c>
      <c r="AQ617" s="8">
        <v>0</v>
      </c>
      <c r="AR617" s="8">
        <v>0</v>
      </c>
      <c r="AS617" s="8">
        <v>0</v>
      </c>
      <c r="AT617" s="8">
        <v>0</v>
      </c>
      <c r="AU617" s="8">
        <v>0</v>
      </c>
      <c r="AV617" s="8">
        <v>0</v>
      </c>
      <c r="AW617" s="8">
        <v>0</v>
      </c>
      <c r="AX617" s="8">
        <v>0</v>
      </c>
      <c r="AY617" s="8">
        <v>0</v>
      </c>
      <c r="AZ617" s="8">
        <v>0</v>
      </c>
      <c r="BA617" s="8">
        <v>0</v>
      </c>
      <c r="BB617" s="8">
        <v>0</v>
      </c>
      <c r="BC617" s="8">
        <v>0</v>
      </c>
      <c r="BD617" s="8">
        <v>0</v>
      </c>
      <c r="BE617" s="8">
        <v>0</v>
      </c>
      <c r="BF617" s="8">
        <v>0</v>
      </c>
      <c r="BG617" s="8">
        <v>0</v>
      </c>
      <c r="BH617" s="8">
        <v>0</v>
      </c>
      <c r="BI617" s="8">
        <v>0</v>
      </c>
      <c r="BJ617" s="8">
        <v>0</v>
      </c>
      <c r="BK617" s="8">
        <v>0</v>
      </c>
      <c r="BL617" s="8">
        <v>0</v>
      </c>
      <c r="BM617" s="8">
        <v>0</v>
      </c>
      <c r="BN617" s="8">
        <v>0</v>
      </c>
      <c r="BO617" s="8">
        <v>0</v>
      </c>
      <c r="BP617" s="8">
        <v>0</v>
      </c>
      <c r="BQ617" s="8">
        <v>0</v>
      </c>
      <c r="BR617" s="8">
        <v>0</v>
      </c>
      <c r="BS617" s="8">
        <f>SUM(AI617:BR617)</f>
        <v>0</v>
      </c>
      <c r="BT617" s="8"/>
      <c r="BU617" s="2">
        <f>SUM(AI617,BK617)</f>
        <v>0</v>
      </c>
      <c r="BV617" s="2">
        <f>SUM(AK617, AL617, AM617,AJ617,BL617,BO617, AP617)</f>
        <v>0</v>
      </c>
      <c r="BW617" s="2">
        <f>SUM(AN617, AO617, AS617)</f>
        <v>0</v>
      </c>
      <c r="BX617" s="2">
        <f>SUM(AU617,AV617,AW617,AX617,AY617,AZ617,BA617,BB617,BC617,BD617,BE617,BF617,BG617,BH617,BI617,BJ617,BQ617,BR617,BM617)</f>
        <v>0</v>
      </c>
      <c r="BY617" s="2">
        <f>SUM(BP617, BN617)</f>
        <v>0</v>
      </c>
      <c r="BZ617" s="2">
        <f>SUM(AQ617)</f>
        <v>0</v>
      </c>
      <c r="CA617" s="2">
        <f>SUM(AR617)</f>
        <v>0</v>
      </c>
      <c r="CB617" s="2">
        <f>SUM(AT617)</f>
        <v>0</v>
      </c>
    </row>
    <row r="618" spans="1:80" ht="16" x14ac:dyDescent="0.2">
      <c r="A618" s="3" t="s">
        <v>191</v>
      </c>
      <c r="B618" s="10">
        <v>826</v>
      </c>
      <c r="C618" s="5">
        <v>1</v>
      </c>
      <c r="D618" s="10">
        <v>1</v>
      </c>
      <c r="E618" s="10">
        <v>1</v>
      </c>
      <c r="F618" s="10">
        <v>1973</v>
      </c>
      <c r="G618" s="10">
        <v>2007</v>
      </c>
      <c r="H618" s="7" t="str">
        <f t="shared" si="751"/>
        <v>No</v>
      </c>
      <c r="I618" s="54" t="s">
        <v>55</v>
      </c>
      <c r="J618" s="8">
        <v>1</v>
      </c>
      <c r="K618" s="8" t="s">
        <v>63</v>
      </c>
      <c r="L618" s="8" t="s">
        <v>123</v>
      </c>
      <c r="M618" s="8" t="s">
        <v>123</v>
      </c>
      <c r="N618" s="8">
        <v>1</v>
      </c>
      <c r="O618" s="8">
        <v>0</v>
      </c>
      <c r="P618" s="8">
        <v>0</v>
      </c>
      <c r="Q618" s="8" t="s">
        <v>192</v>
      </c>
      <c r="R618" s="6" t="s">
        <v>193</v>
      </c>
      <c r="S618" s="8">
        <v>1</v>
      </c>
      <c r="T618" s="8">
        <v>1</v>
      </c>
      <c r="U618" s="8">
        <v>1</v>
      </c>
      <c r="V618" s="8">
        <v>1</v>
      </c>
      <c r="W618" s="8">
        <v>1</v>
      </c>
      <c r="X618" s="8">
        <v>0</v>
      </c>
      <c r="Y618" s="8">
        <v>1</v>
      </c>
      <c r="Z618" s="8">
        <v>1</v>
      </c>
      <c r="AA618" s="8" t="s">
        <v>194</v>
      </c>
      <c r="AB618" s="8">
        <v>0</v>
      </c>
      <c r="AC618" s="8">
        <v>0</v>
      </c>
      <c r="AD618" s="8">
        <v>0</v>
      </c>
      <c r="AE618" s="8">
        <v>0</v>
      </c>
      <c r="AF618" s="8">
        <v>1</v>
      </c>
      <c r="AG618" s="8">
        <v>0</v>
      </c>
      <c r="AH618" s="8">
        <v>0</v>
      </c>
      <c r="AI618" s="8">
        <v>1</v>
      </c>
      <c r="AJ618" s="8">
        <v>0</v>
      </c>
      <c r="AK618" s="8">
        <v>0</v>
      </c>
      <c r="AL618" s="8">
        <v>0</v>
      </c>
      <c r="AM618" s="8">
        <v>0</v>
      </c>
      <c r="AN618" s="8">
        <v>1</v>
      </c>
      <c r="AO618" s="8">
        <v>0</v>
      </c>
      <c r="AP618" s="8">
        <v>0</v>
      </c>
      <c r="AQ618" s="8">
        <v>1</v>
      </c>
      <c r="AR618" s="8">
        <v>1</v>
      </c>
      <c r="AS618" s="8">
        <v>0</v>
      </c>
      <c r="AT618" s="8">
        <v>0</v>
      </c>
      <c r="AU618" s="8">
        <v>0</v>
      </c>
      <c r="AV618" s="8">
        <v>0</v>
      </c>
      <c r="AW618" s="8">
        <v>0</v>
      </c>
      <c r="AX618" s="8">
        <v>0</v>
      </c>
      <c r="AY618" s="8">
        <v>0</v>
      </c>
      <c r="AZ618" s="8">
        <v>0</v>
      </c>
      <c r="BA618" s="8">
        <v>0</v>
      </c>
      <c r="BB618" s="8">
        <v>0</v>
      </c>
      <c r="BC618" s="8">
        <v>0</v>
      </c>
      <c r="BD618" s="8">
        <v>0</v>
      </c>
      <c r="BE618" s="8">
        <v>0</v>
      </c>
      <c r="BF618" s="8">
        <v>0</v>
      </c>
      <c r="BG618" s="8">
        <v>0</v>
      </c>
      <c r="BH618" s="8">
        <v>0</v>
      </c>
      <c r="BI618" s="8">
        <v>0</v>
      </c>
      <c r="BJ618" s="8">
        <v>0</v>
      </c>
      <c r="BK618" s="8">
        <v>0</v>
      </c>
      <c r="BL618" s="8">
        <v>0</v>
      </c>
      <c r="BM618" s="8">
        <v>0</v>
      </c>
      <c r="BN618" s="8">
        <v>0</v>
      </c>
      <c r="BO618" s="8">
        <v>0</v>
      </c>
      <c r="BP618" s="8">
        <v>0</v>
      </c>
      <c r="BQ618" s="8">
        <v>0</v>
      </c>
      <c r="BR618" s="8">
        <v>0</v>
      </c>
      <c r="BS618" s="8">
        <f t="shared" si="526"/>
        <v>4</v>
      </c>
      <c r="BT618" s="8"/>
      <c r="BU618" s="2">
        <f t="shared" si="752"/>
        <v>1</v>
      </c>
      <c r="BV618" s="2">
        <f t="shared" si="753"/>
        <v>0</v>
      </c>
      <c r="BW618" s="2">
        <f t="shared" si="754"/>
        <v>1</v>
      </c>
      <c r="BX618" s="2">
        <f t="shared" si="755"/>
        <v>0</v>
      </c>
      <c r="BY618" s="2">
        <f t="shared" si="756"/>
        <v>0</v>
      </c>
      <c r="BZ618" s="2">
        <f t="shared" ref="BZ618:CA618" si="828">SUM(AQ618)</f>
        <v>1</v>
      </c>
      <c r="CA618" s="2">
        <f t="shared" si="828"/>
        <v>1</v>
      </c>
      <c r="CB618" s="2">
        <f t="shared" si="758"/>
        <v>0</v>
      </c>
    </row>
    <row r="619" spans="1:80" ht="16" x14ac:dyDescent="0.2">
      <c r="A619" s="3" t="s">
        <v>191</v>
      </c>
      <c r="B619" s="10">
        <v>826</v>
      </c>
      <c r="C619" s="5">
        <v>1</v>
      </c>
      <c r="D619" s="10">
        <v>1</v>
      </c>
      <c r="E619" s="10">
        <v>1</v>
      </c>
      <c r="F619" s="10">
        <v>1973</v>
      </c>
      <c r="G619" s="10">
        <v>2008</v>
      </c>
      <c r="H619" s="7" t="str">
        <f t="shared" si="751"/>
        <v>No</v>
      </c>
      <c r="I619" s="54" t="s">
        <v>55</v>
      </c>
      <c r="J619" s="8">
        <v>1</v>
      </c>
      <c r="K619" s="8" t="s">
        <v>63</v>
      </c>
      <c r="L619" s="8" t="s">
        <v>123</v>
      </c>
      <c r="M619" s="8" t="s">
        <v>123</v>
      </c>
      <c r="N619" s="8">
        <v>1</v>
      </c>
      <c r="O619" s="8">
        <v>0</v>
      </c>
      <c r="P619" s="8">
        <v>0</v>
      </c>
      <c r="Q619" s="8" t="s">
        <v>192</v>
      </c>
      <c r="R619" s="6" t="s">
        <v>193</v>
      </c>
      <c r="S619" s="8">
        <v>1</v>
      </c>
      <c r="T619" s="8">
        <v>1</v>
      </c>
      <c r="U619" s="8">
        <v>1</v>
      </c>
      <c r="V619" s="8">
        <v>1</v>
      </c>
      <c r="W619" s="8">
        <v>1</v>
      </c>
      <c r="X619" s="8">
        <v>0</v>
      </c>
      <c r="Y619" s="8">
        <v>1</v>
      </c>
      <c r="Z619" s="8">
        <v>1</v>
      </c>
      <c r="AA619" s="8" t="s">
        <v>194</v>
      </c>
      <c r="AB619" s="8">
        <v>0</v>
      </c>
      <c r="AC619" s="8">
        <v>0</v>
      </c>
      <c r="AD619" s="8">
        <v>0</v>
      </c>
      <c r="AE619" s="8">
        <v>0</v>
      </c>
      <c r="AF619" s="8">
        <v>1</v>
      </c>
      <c r="AG619" s="8">
        <v>0</v>
      </c>
      <c r="AH619" s="8">
        <v>0</v>
      </c>
      <c r="AI619" s="8">
        <v>1</v>
      </c>
      <c r="AJ619" s="8">
        <v>0</v>
      </c>
      <c r="AK619" s="8">
        <v>0</v>
      </c>
      <c r="AL619" s="8">
        <v>0</v>
      </c>
      <c r="AM619" s="8">
        <v>0</v>
      </c>
      <c r="AN619" s="8">
        <v>1</v>
      </c>
      <c r="AO619" s="8">
        <v>0</v>
      </c>
      <c r="AP619" s="8">
        <v>0</v>
      </c>
      <c r="AQ619" s="8">
        <v>1</v>
      </c>
      <c r="AR619" s="8">
        <v>1</v>
      </c>
      <c r="AS619" s="8">
        <v>0</v>
      </c>
      <c r="AT619" s="8">
        <v>0</v>
      </c>
      <c r="AU619" s="8">
        <v>0</v>
      </c>
      <c r="AV619" s="8">
        <v>0</v>
      </c>
      <c r="AW619" s="8">
        <v>0</v>
      </c>
      <c r="AX619" s="8">
        <v>0</v>
      </c>
      <c r="AY619" s="8">
        <v>0</v>
      </c>
      <c r="AZ619" s="8">
        <v>0</v>
      </c>
      <c r="BA619" s="8">
        <v>0</v>
      </c>
      <c r="BB619" s="8">
        <v>0</v>
      </c>
      <c r="BC619" s="8">
        <v>0</v>
      </c>
      <c r="BD619" s="8">
        <v>0</v>
      </c>
      <c r="BE619" s="8">
        <v>0</v>
      </c>
      <c r="BF619" s="8">
        <v>0</v>
      </c>
      <c r="BG619" s="8">
        <v>0</v>
      </c>
      <c r="BH619" s="8">
        <v>0</v>
      </c>
      <c r="BI619" s="8">
        <v>0</v>
      </c>
      <c r="BJ619" s="8">
        <v>0</v>
      </c>
      <c r="BK619" s="8">
        <v>0</v>
      </c>
      <c r="BL619" s="8">
        <v>0</v>
      </c>
      <c r="BM619" s="8">
        <v>0</v>
      </c>
      <c r="BN619" s="8">
        <v>0</v>
      </c>
      <c r="BO619" s="8">
        <v>0</v>
      </c>
      <c r="BP619" s="8">
        <v>0</v>
      </c>
      <c r="BQ619" s="8">
        <v>0</v>
      </c>
      <c r="BR619" s="8">
        <v>0</v>
      </c>
      <c r="BS619" s="8">
        <f t="shared" si="526"/>
        <v>4</v>
      </c>
      <c r="BT619" s="8"/>
      <c r="BU619" s="2">
        <f t="shared" si="752"/>
        <v>1</v>
      </c>
      <c r="BV619" s="2">
        <f t="shared" si="753"/>
        <v>0</v>
      </c>
      <c r="BW619" s="2">
        <f t="shared" si="754"/>
        <v>1</v>
      </c>
      <c r="BX619" s="2">
        <f t="shared" si="755"/>
        <v>0</v>
      </c>
      <c r="BY619" s="2">
        <f t="shared" si="756"/>
        <v>0</v>
      </c>
      <c r="BZ619" s="2">
        <f t="shared" ref="BZ619:CA619" si="829">SUM(AQ619)</f>
        <v>1</v>
      </c>
      <c r="CA619" s="2">
        <f t="shared" si="829"/>
        <v>1</v>
      </c>
      <c r="CB619" s="2">
        <f t="shared" si="758"/>
        <v>0</v>
      </c>
    </row>
    <row r="620" spans="1:80" ht="16" x14ac:dyDescent="0.2">
      <c r="A620" s="3" t="s">
        <v>191</v>
      </c>
      <c r="B620" s="10">
        <v>826</v>
      </c>
      <c r="C620" s="5">
        <v>1</v>
      </c>
      <c r="D620" s="10">
        <v>1</v>
      </c>
      <c r="E620" s="10">
        <v>1</v>
      </c>
      <c r="F620" s="10">
        <v>1973</v>
      </c>
      <c r="G620" s="10">
        <v>2009</v>
      </c>
      <c r="H620" s="7" t="str">
        <f t="shared" si="751"/>
        <v>No</v>
      </c>
      <c r="I620" s="54" t="s">
        <v>55</v>
      </c>
      <c r="J620" s="8">
        <v>1</v>
      </c>
      <c r="K620" s="8" t="s">
        <v>63</v>
      </c>
      <c r="L620" s="8" t="s">
        <v>123</v>
      </c>
      <c r="M620" s="8" t="s">
        <v>123</v>
      </c>
      <c r="N620" s="8">
        <v>1</v>
      </c>
      <c r="O620" s="8">
        <v>0</v>
      </c>
      <c r="P620" s="8">
        <v>0</v>
      </c>
      <c r="Q620" s="8" t="s">
        <v>192</v>
      </c>
      <c r="R620" s="6" t="s">
        <v>193</v>
      </c>
      <c r="S620" s="8">
        <v>1</v>
      </c>
      <c r="T620" s="8">
        <v>1</v>
      </c>
      <c r="U620" s="8">
        <v>1</v>
      </c>
      <c r="V620" s="8">
        <v>1</v>
      </c>
      <c r="W620" s="8">
        <v>1</v>
      </c>
      <c r="X620" s="8">
        <v>0</v>
      </c>
      <c r="Y620" s="8">
        <v>1</v>
      </c>
      <c r="Z620" s="8">
        <v>1</v>
      </c>
      <c r="AA620" s="8" t="s">
        <v>194</v>
      </c>
      <c r="AB620" s="8">
        <v>0</v>
      </c>
      <c r="AC620" s="8">
        <v>0</v>
      </c>
      <c r="AD620" s="8">
        <v>0</v>
      </c>
      <c r="AE620" s="8">
        <v>0</v>
      </c>
      <c r="AF620" s="8">
        <v>1</v>
      </c>
      <c r="AG620" s="8">
        <v>0</v>
      </c>
      <c r="AH620" s="8">
        <v>0</v>
      </c>
      <c r="AI620" s="8">
        <v>1</v>
      </c>
      <c r="AJ620" s="8">
        <v>0</v>
      </c>
      <c r="AK620" s="8">
        <v>0</v>
      </c>
      <c r="AL620" s="8">
        <v>0</v>
      </c>
      <c r="AM620" s="8">
        <v>0</v>
      </c>
      <c r="AN620" s="8">
        <v>1</v>
      </c>
      <c r="AO620" s="8">
        <v>0</v>
      </c>
      <c r="AP620" s="8">
        <v>0</v>
      </c>
      <c r="AQ620" s="8">
        <v>1</v>
      </c>
      <c r="AR620" s="8">
        <v>1</v>
      </c>
      <c r="AS620" s="8">
        <v>0</v>
      </c>
      <c r="AT620" s="8">
        <v>0</v>
      </c>
      <c r="AU620" s="8">
        <v>0</v>
      </c>
      <c r="AV620" s="8">
        <v>0</v>
      </c>
      <c r="AW620" s="8">
        <v>0</v>
      </c>
      <c r="AX620" s="8">
        <v>0</v>
      </c>
      <c r="AY620" s="8">
        <v>0</v>
      </c>
      <c r="AZ620" s="8">
        <v>0</v>
      </c>
      <c r="BA620" s="8">
        <v>0</v>
      </c>
      <c r="BB620" s="8">
        <v>0</v>
      </c>
      <c r="BC620" s="8">
        <v>0</v>
      </c>
      <c r="BD620" s="8">
        <v>0</v>
      </c>
      <c r="BE620" s="8">
        <v>0</v>
      </c>
      <c r="BF620" s="8">
        <v>0</v>
      </c>
      <c r="BG620" s="8">
        <v>0</v>
      </c>
      <c r="BH620" s="8">
        <v>0</v>
      </c>
      <c r="BI620" s="8">
        <v>0</v>
      </c>
      <c r="BJ620" s="8">
        <v>0</v>
      </c>
      <c r="BK620" s="8">
        <v>0</v>
      </c>
      <c r="BL620" s="8">
        <v>0</v>
      </c>
      <c r="BM620" s="8">
        <v>0</v>
      </c>
      <c r="BN620" s="8">
        <v>0</v>
      </c>
      <c r="BO620" s="8">
        <v>0</v>
      </c>
      <c r="BP620" s="8">
        <v>0</v>
      </c>
      <c r="BQ620" s="8">
        <v>0</v>
      </c>
      <c r="BR620" s="8">
        <v>0</v>
      </c>
      <c r="BS620" s="8">
        <f t="shared" si="526"/>
        <v>4</v>
      </c>
      <c r="BT620" s="8"/>
      <c r="BU620" s="2">
        <f t="shared" si="752"/>
        <v>1</v>
      </c>
      <c r="BV620" s="2">
        <f t="shared" si="753"/>
        <v>0</v>
      </c>
      <c r="BW620" s="2">
        <f t="shared" si="754"/>
        <v>1</v>
      </c>
      <c r="BX620" s="2">
        <f t="shared" si="755"/>
        <v>0</v>
      </c>
      <c r="BY620" s="2">
        <f t="shared" si="756"/>
        <v>0</v>
      </c>
      <c r="BZ620" s="2">
        <f t="shared" ref="BZ620:CA620" si="830">SUM(AQ620)</f>
        <v>1</v>
      </c>
      <c r="CA620" s="2">
        <f t="shared" si="830"/>
        <v>1</v>
      </c>
      <c r="CB620" s="2">
        <f t="shared" si="758"/>
        <v>0</v>
      </c>
    </row>
    <row r="621" spans="1:80" ht="16" x14ac:dyDescent="0.2">
      <c r="A621" s="3" t="s">
        <v>191</v>
      </c>
      <c r="B621" s="10">
        <v>826</v>
      </c>
      <c r="C621" s="5">
        <v>1</v>
      </c>
      <c r="D621" s="10">
        <v>1</v>
      </c>
      <c r="E621" s="10">
        <v>1</v>
      </c>
      <c r="F621" s="10">
        <v>1973</v>
      </c>
      <c r="G621" s="10">
        <v>2010</v>
      </c>
      <c r="H621" s="7" t="str">
        <f t="shared" si="751"/>
        <v>No</v>
      </c>
      <c r="I621" s="54" t="s">
        <v>55</v>
      </c>
      <c r="J621" s="8">
        <v>1</v>
      </c>
      <c r="K621" s="8" t="s">
        <v>63</v>
      </c>
      <c r="L621" s="8" t="s">
        <v>123</v>
      </c>
      <c r="M621" s="8" t="s">
        <v>123</v>
      </c>
      <c r="N621" s="8">
        <v>1</v>
      </c>
      <c r="O621" s="8">
        <v>0</v>
      </c>
      <c r="P621" s="8">
        <v>0</v>
      </c>
      <c r="Q621" s="8" t="s">
        <v>192</v>
      </c>
      <c r="R621" s="6" t="s">
        <v>193</v>
      </c>
      <c r="S621" s="8">
        <v>1</v>
      </c>
      <c r="T621" s="8">
        <v>1</v>
      </c>
      <c r="U621" s="8">
        <v>1</v>
      </c>
      <c r="V621" s="8">
        <v>1</v>
      </c>
      <c r="W621" s="8">
        <v>1</v>
      </c>
      <c r="X621" s="8">
        <v>0</v>
      </c>
      <c r="Y621" s="8">
        <v>1</v>
      </c>
      <c r="Z621" s="8">
        <v>1</v>
      </c>
      <c r="AA621" s="8" t="s">
        <v>194</v>
      </c>
      <c r="AB621" s="8">
        <v>0</v>
      </c>
      <c r="AC621" s="8">
        <v>0</v>
      </c>
      <c r="AD621" s="8">
        <v>0</v>
      </c>
      <c r="AE621" s="8">
        <v>0</v>
      </c>
      <c r="AF621" s="8">
        <v>1</v>
      </c>
      <c r="AG621" s="8">
        <v>0</v>
      </c>
      <c r="AH621" s="8">
        <v>0</v>
      </c>
      <c r="AI621" s="8">
        <v>1</v>
      </c>
      <c r="AJ621" s="8">
        <v>0</v>
      </c>
      <c r="AK621" s="8">
        <v>0</v>
      </c>
      <c r="AL621" s="8">
        <v>0</v>
      </c>
      <c r="AM621" s="8">
        <v>0</v>
      </c>
      <c r="AN621" s="8">
        <v>1</v>
      </c>
      <c r="AO621" s="8">
        <v>0</v>
      </c>
      <c r="AP621" s="8">
        <v>0</v>
      </c>
      <c r="AQ621" s="8">
        <v>1</v>
      </c>
      <c r="AR621" s="8">
        <v>1</v>
      </c>
      <c r="AS621" s="8">
        <v>0</v>
      </c>
      <c r="AT621" s="8">
        <v>0</v>
      </c>
      <c r="AU621" s="8">
        <v>0</v>
      </c>
      <c r="AV621" s="8">
        <v>0</v>
      </c>
      <c r="AW621" s="8">
        <v>0</v>
      </c>
      <c r="AX621" s="8">
        <v>0</v>
      </c>
      <c r="AY621" s="8">
        <v>0</v>
      </c>
      <c r="AZ621" s="8">
        <v>0</v>
      </c>
      <c r="BA621" s="8">
        <v>0</v>
      </c>
      <c r="BB621" s="8">
        <v>0</v>
      </c>
      <c r="BC621" s="8">
        <v>0</v>
      </c>
      <c r="BD621" s="8">
        <v>0</v>
      </c>
      <c r="BE621" s="8">
        <v>0</v>
      </c>
      <c r="BF621" s="8">
        <v>0</v>
      </c>
      <c r="BG621" s="8">
        <v>0</v>
      </c>
      <c r="BH621" s="8">
        <v>0</v>
      </c>
      <c r="BI621" s="8">
        <v>0</v>
      </c>
      <c r="BJ621" s="8">
        <v>0</v>
      </c>
      <c r="BK621" s="8">
        <v>0</v>
      </c>
      <c r="BL621" s="8">
        <v>0</v>
      </c>
      <c r="BM621" s="8">
        <v>0</v>
      </c>
      <c r="BN621" s="8">
        <v>0</v>
      </c>
      <c r="BO621" s="8">
        <v>0</v>
      </c>
      <c r="BP621" s="8">
        <v>0</v>
      </c>
      <c r="BQ621" s="8">
        <v>0</v>
      </c>
      <c r="BR621" s="8">
        <v>0</v>
      </c>
      <c r="BS621" s="8">
        <f t="shared" si="526"/>
        <v>4</v>
      </c>
      <c r="BT621" s="8"/>
      <c r="BU621" s="2">
        <f t="shared" si="752"/>
        <v>1</v>
      </c>
      <c r="BV621" s="2">
        <f t="shared" si="753"/>
        <v>0</v>
      </c>
      <c r="BW621" s="2">
        <f t="shared" si="754"/>
        <v>1</v>
      </c>
      <c r="BX621" s="2">
        <f t="shared" si="755"/>
        <v>0</v>
      </c>
      <c r="BY621" s="2">
        <f t="shared" si="756"/>
        <v>0</v>
      </c>
      <c r="BZ621" s="2">
        <f t="shared" ref="BZ621:CA621" si="831">SUM(AQ621)</f>
        <v>1</v>
      </c>
      <c r="CA621" s="2">
        <f t="shared" si="831"/>
        <v>1</v>
      </c>
      <c r="CB621" s="2">
        <f t="shared" si="758"/>
        <v>0</v>
      </c>
    </row>
    <row r="622" spans="1:80" ht="16" x14ac:dyDescent="0.2">
      <c r="A622" s="3" t="s">
        <v>191</v>
      </c>
      <c r="B622" s="10">
        <v>826</v>
      </c>
      <c r="C622" s="5">
        <v>1</v>
      </c>
      <c r="D622" s="10">
        <v>1</v>
      </c>
      <c r="E622" s="10">
        <v>1</v>
      </c>
      <c r="F622" s="10">
        <v>1973</v>
      </c>
      <c r="G622" s="10">
        <v>2011</v>
      </c>
      <c r="H622" s="7" t="str">
        <f t="shared" si="751"/>
        <v>No</v>
      </c>
      <c r="I622" s="54" t="s">
        <v>55</v>
      </c>
      <c r="J622" s="8">
        <v>1</v>
      </c>
      <c r="K622" s="8" t="s">
        <v>63</v>
      </c>
      <c r="L622" s="8" t="s">
        <v>123</v>
      </c>
      <c r="M622" s="8" t="s">
        <v>123</v>
      </c>
      <c r="N622" s="8">
        <v>1</v>
      </c>
      <c r="O622" s="8">
        <v>0</v>
      </c>
      <c r="P622" s="8">
        <v>0</v>
      </c>
      <c r="Q622" s="8" t="s">
        <v>192</v>
      </c>
      <c r="R622" s="6" t="s">
        <v>193</v>
      </c>
      <c r="S622" s="8">
        <v>1</v>
      </c>
      <c r="T622" s="8">
        <v>1</v>
      </c>
      <c r="U622" s="8">
        <v>1</v>
      </c>
      <c r="V622" s="8">
        <v>1</v>
      </c>
      <c r="W622" s="8">
        <v>1</v>
      </c>
      <c r="X622" s="8">
        <v>0</v>
      </c>
      <c r="Y622" s="8">
        <v>1</v>
      </c>
      <c r="Z622" s="8">
        <v>1</v>
      </c>
      <c r="AA622" s="8" t="s">
        <v>194</v>
      </c>
      <c r="AB622" s="8">
        <v>0</v>
      </c>
      <c r="AC622" s="8">
        <v>0</v>
      </c>
      <c r="AD622" s="8">
        <v>0</v>
      </c>
      <c r="AE622" s="8">
        <v>0</v>
      </c>
      <c r="AF622" s="8">
        <v>1</v>
      </c>
      <c r="AG622" s="8">
        <v>0</v>
      </c>
      <c r="AH622" s="8">
        <v>0</v>
      </c>
      <c r="AI622" s="8">
        <v>1</v>
      </c>
      <c r="AJ622" s="8">
        <v>0</v>
      </c>
      <c r="AK622" s="8">
        <v>0</v>
      </c>
      <c r="AL622" s="8">
        <v>0</v>
      </c>
      <c r="AM622" s="8">
        <v>0</v>
      </c>
      <c r="AN622" s="8">
        <v>1</v>
      </c>
      <c r="AO622" s="8">
        <v>0</v>
      </c>
      <c r="AP622" s="8">
        <v>0</v>
      </c>
      <c r="AQ622" s="8">
        <v>1</v>
      </c>
      <c r="AR622" s="8">
        <v>1</v>
      </c>
      <c r="AS622" s="8">
        <v>0</v>
      </c>
      <c r="AT622" s="8">
        <v>0</v>
      </c>
      <c r="AU622" s="8">
        <v>0</v>
      </c>
      <c r="AV622" s="8">
        <v>0</v>
      </c>
      <c r="AW622" s="8">
        <v>0</v>
      </c>
      <c r="AX622" s="8">
        <v>0</v>
      </c>
      <c r="AY622" s="8">
        <v>0</v>
      </c>
      <c r="AZ622" s="8">
        <v>0</v>
      </c>
      <c r="BA622" s="8">
        <v>0</v>
      </c>
      <c r="BB622" s="8">
        <v>0</v>
      </c>
      <c r="BC622" s="8">
        <v>0</v>
      </c>
      <c r="BD622" s="8">
        <v>0</v>
      </c>
      <c r="BE622" s="8">
        <v>0</v>
      </c>
      <c r="BF622" s="8">
        <v>0</v>
      </c>
      <c r="BG622" s="8">
        <v>0</v>
      </c>
      <c r="BH622" s="8">
        <v>0</v>
      </c>
      <c r="BI622" s="8">
        <v>0</v>
      </c>
      <c r="BJ622" s="8">
        <v>0</v>
      </c>
      <c r="BK622" s="8">
        <v>0</v>
      </c>
      <c r="BL622" s="8">
        <v>0</v>
      </c>
      <c r="BM622" s="8">
        <v>0</v>
      </c>
      <c r="BN622" s="8">
        <v>0</v>
      </c>
      <c r="BO622" s="8">
        <v>0</v>
      </c>
      <c r="BP622" s="8">
        <v>0</v>
      </c>
      <c r="BQ622" s="8">
        <v>0</v>
      </c>
      <c r="BR622" s="8">
        <v>0</v>
      </c>
      <c r="BS622" s="8">
        <f t="shared" si="526"/>
        <v>4</v>
      </c>
      <c r="BT622" s="8"/>
      <c r="BU622" s="2">
        <f t="shared" si="752"/>
        <v>1</v>
      </c>
      <c r="BV622" s="2">
        <f t="shared" si="753"/>
        <v>0</v>
      </c>
      <c r="BW622" s="2">
        <f t="shared" si="754"/>
        <v>1</v>
      </c>
      <c r="BX622" s="2">
        <f t="shared" si="755"/>
        <v>0</v>
      </c>
      <c r="BY622" s="2">
        <f t="shared" si="756"/>
        <v>0</v>
      </c>
      <c r="BZ622" s="2">
        <f t="shared" ref="BZ622:CA622" si="832">SUM(AQ622)</f>
        <v>1</v>
      </c>
      <c r="CA622" s="2">
        <f t="shared" si="832"/>
        <v>1</v>
      </c>
      <c r="CB622" s="2">
        <f t="shared" si="758"/>
        <v>0</v>
      </c>
    </row>
    <row r="623" spans="1:80" ht="16" x14ac:dyDescent="0.2">
      <c r="A623" s="3" t="s">
        <v>191</v>
      </c>
      <c r="B623" s="10">
        <v>826</v>
      </c>
      <c r="C623" s="5">
        <v>1</v>
      </c>
      <c r="D623" s="10">
        <v>1</v>
      </c>
      <c r="E623" s="10">
        <v>1</v>
      </c>
      <c r="F623" s="10">
        <v>1973</v>
      </c>
      <c r="G623" s="10">
        <v>2012</v>
      </c>
      <c r="H623" s="7" t="str">
        <f t="shared" si="751"/>
        <v>No</v>
      </c>
      <c r="I623" s="54" t="s">
        <v>55</v>
      </c>
      <c r="J623" s="8">
        <v>1</v>
      </c>
      <c r="K623" s="8" t="s">
        <v>63</v>
      </c>
      <c r="L623" s="8" t="s">
        <v>123</v>
      </c>
      <c r="M623" s="8" t="s">
        <v>123</v>
      </c>
      <c r="N623" s="8">
        <v>1</v>
      </c>
      <c r="O623" s="8">
        <v>0</v>
      </c>
      <c r="P623" s="8">
        <v>0</v>
      </c>
      <c r="Q623" s="8" t="s">
        <v>192</v>
      </c>
      <c r="R623" s="6" t="s">
        <v>193</v>
      </c>
      <c r="S623" s="8">
        <v>1</v>
      </c>
      <c r="T623" s="8">
        <v>1</v>
      </c>
      <c r="U623" s="8">
        <v>1</v>
      </c>
      <c r="V623" s="8">
        <v>1</v>
      </c>
      <c r="W623" s="8">
        <v>1</v>
      </c>
      <c r="X623" s="8">
        <v>0</v>
      </c>
      <c r="Y623" s="8">
        <v>1</v>
      </c>
      <c r="Z623" s="8">
        <v>1</v>
      </c>
      <c r="AA623" s="8" t="s">
        <v>194</v>
      </c>
      <c r="AB623" s="8">
        <v>0</v>
      </c>
      <c r="AC623" s="8">
        <v>0</v>
      </c>
      <c r="AD623" s="8">
        <v>0</v>
      </c>
      <c r="AE623" s="8">
        <v>0</v>
      </c>
      <c r="AF623" s="8">
        <v>1</v>
      </c>
      <c r="AG623" s="8">
        <v>0</v>
      </c>
      <c r="AH623" s="8">
        <v>0</v>
      </c>
      <c r="AI623" s="8">
        <v>1</v>
      </c>
      <c r="AJ623" s="8">
        <v>0</v>
      </c>
      <c r="AK623" s="8">
        <v>0</v>
      </c>
      <c r="AL623" s="8">
        <v>0</v>
      </c>
      <c r="AM623" s="8">
        <v>0</v>
      </c>
      <c r="AN623" s="8">
        <v>1</v>
      </c>
      <c r="AO623" s="8">
        <v>0</v>
      </c>
      <c r="AP623" s="8">
        <v>0</v>
      </c>
      <c r="AQ623" s="8">
        <v>1</v>
      </c>
      <c r="AR623" s="8">
        <v>1</v>
      </c>
      <c r="AS623" s="8">
        <v>0</v>
      </c>
      <c r="AT623" s="8">
        <v>0</v>
      </c>
      <c r="AU623" s="8">
        <v>0</v>
      </c>
      <c r="AV623" s="8">
        <v>0</v>
      </c>
      <c r="AW623" s="8">
        <v>0</v>
      </c>
      <c r="AX623" s="8">
        <v>0</v>
      </c>
      <c r="AY623" s="8">
        <v>0</v>
      </c>
      <c r="AZ623" s="8">
        <v>0</v>
      </c>
      <c r="BA623" s="8">
        <v>0</v>
      </c>
      <c r="BB623" s="8">
        <v>0</v>
      </c>
      <c r="BC623" s="8">
        <v>0</v>
      </c>
      <c r="BD623" s="8">
        <v>0</v>
      </c>
      <c r="BE623" s="8">
        <v>0</v>
      </c>
      <c r="BF623" s="8">
        <v>0</v>
      </c>
      <c r="BG623" s="8">
        <v>0</v>
      </c>
      <c r="BH623" s="8">
        <v>0</v>
      </c>
      <c r="BI623" s="8">
        <v>0</v>
      </c>
      <c r="BJ623" s="8">
        <v>0</v>
      </c>
      <c r="BK623" s="8">
        <v>0</v>
      </c>
      <c r="BL623" s="8">
        <v>0</v>
      </c>
      <c r="BM623" s="8">
        <v>0</v>
      </c>
      <c r="BN623" s="8">
        <v>0</v>
      </c>
      <c r="BO623" s="8">
        <v>0</v>
      </c>
      <c r="BP623" s="8">
        <v>0</v>
      </c>
      <c r="BQ623" s="8">
        <v>0</v>
      </c>
      <c r="BR623" s="8">
        <v>0</v>
      </c>
      <c r="BS623" s="8">
        <f t="shared" si="526"/>
        <v>4</v>
      </c>
      <c r="BT623" s="8"/>
      <c r="BU623" s="2">
        <f t="shared" si="752"/>
        <v>1</v>
      </c>
      <c r="BV623" s="2">
        <f t="shared" si="753"/>
        <v>0</v>
      </c>
      <c r="BW623" s="2">
        <f t="shared" si="754"/>
        <v>1</v>
      </c>
      <c r="BX623" s="2">
        <f t="shared" si="755"/>
        <v>0</v>
      </c>
      <c r="BY623" s="2">
        <f t="shared" si="756"/>
        <v>0</v>
      </c>
      <c r="BZ623" s="2">
        <f t="shared" ref="BZ623:CA623" si="833">SUM(AQ623)</f>
        <v>1</v>
      </c>
      <c r="CA623" s="2">
        <f t="shared" si="833"/>
        <v>1</v>
      </c>
      <c r="CB623" s="2">
        <f t="shared" si="758"/>
        <v>0</v>
      </c>
    </row>
    <row r="624" spans="1:80" ht="16" x14ac:dyDescent="0.2">
      <c r="A624" s="3" t="s">
        <v>191</v>
      </c>
      <c r="B624" s="10">
        <v>826</v>
      </c>
      <c r="C624" s="5">
        <v>1</v>
      </c>
      <c r="D624" s="10">
        <v>1</v>
      </c>
      <c r="E624" s="10">
        <v>1</v>
      </c>
      <c r="F624" s="10">
        <v>1973</v>
      </c>
      <c r="G624" s="10">
        <v>2013</v>
      </c>
      <c r="H624" s="7" t="str">
        <f t="shared" si="751"/>
        <v>No</v>
      </c>
      <c r="I624" s="54" t="s">
        <v>55</v>
      </c>
      <c r="J624" s="8">
        <v>1</v>
      </c>
      <c r="K624" s="8" t="s">
        <v>63</v>
      </c>
      <c r="L624" s="8" t="s">
        <v>123</v>
      </c>
      <c r="M624" s="8" t="s">
        <v>123</v>
      </c>
      <c r="N624" s="8">
        <v>1</v>
      </c>
      <c r="O624" s="8">
        <v>0</v>
      </c>
      <c r="P624" s="8">
        <v>0</v>
      </c>
      <c r="Q624" s="8" t="s">
        <v>192</v>
      </c>
      <c r="R624" s="6" t="s">
        <v>193</v>
      </c>
      <c r="S624" s="8">
        <v>1</v>
      </c>
      <c r="T624" s="8">
        <v>1</v>
      </c>
      <c r="U624" s="8">
        <v>1</v>
      </c>
      <c r="V624" s="8">
        <v>1</v>
      </c>
      <c r="W624" s="8">
        <v>1</v>
      </c>
      <c r="X624" s="8">
        <v>0</v>
      </c>
      <c r="Y624" s="8">
        <v>1</v>
      </c>
      <c r="Z624" s="8">
        <v>1</v>
      </c>
      <c r="AA624" s="8" t="s">
        <v>194</v>
      </c>
      <c r="AB624" s="8">
        <v>0</v>
      </c>
      <c r="AC624" s="8">
        <v>0</v>
      </c>
      <c r="AD624" s="8">
        <v>0</v>
      </c>
      <c r="AE624" s="8">
        <v>0</v>
      </c>
      <c r="AF624" s="8">
        <v>1</v>
      </c>
      <c r="AG624" s="8">
        <v>0</v>
      </c>
      <c r="AH624" s="8">
        <v>0</v>
      </c>
      <c r="AI624" s="8">
        <v>1</v>
      </c>
      <c r="AJ624" s="8">
        <v>0</v>
      </c>
      <c r="AK624" s="8">
        <v>0</v>
      </c>
      <c r="AL624" s="8">
        <v>0</v>
      </c>
      <c r="AM624" s="8">
        <v>0</v>
      </c>
      <c r="AN624" s="8">
        <v>1</v>
      </c>
      <c r="AO624" s="8">
        <v>0</v>
      </c>
      <c r="AP624" s="8">
        <v>0</v>
      </c>
      <c r="AQ624" s="8">
        <v>1</v>
      </c>
      <c r="AR624" s="8">
        <v>1</v>
      </c>
      <c r="AS624" s="8">
        <v>0</v>
      </c>
      <c r="AT624" s="8">
        <v>0</v>
      </c>
      <c r="AU624" s="8">
        <v>0</v>
      </c>
      <c r="AV624" s="8">
        <v>0</v>
      </c>
      <c r="AW624" s="8">
        <v>0</v>
      </c>
      <c r="AX624" s="8">
        <v>0</v>
      </c>
      <c r="AY624" s="8">
        <v>0</v>
      </c>
      <c r="AZ624" s="8">
        <v>0</v>
      </c>
      <c r="BA624" s="8">
        <v>0</v>
      </c>
      <c r="BB624" s="8">
        <v>0</v>
      </c>
      <c r="BC624" s="8">
        <v>0</v>
      </c>
      <c r="BD624" s="8">
        <v>0</v>
      </c>
      <c r="BE624" s="8">
        <v>0</v>
      </c>
      <c r="BF624" s="8">
        <v>0</v>
      </c>
      <c r="BG624" s="8">
        <v>0</v>
      </c>
      <c r="BH624" s="8">
        <v>0</v>
      </c>
      <c r="BI624" s="8">
        <v>0</v>
      </c>
      <c r="BJ624" s="8">
        <v>0</v>
      </c>
      <c r="BK624" s="8">
        <v>0</v>
      </c>
      <c r="BL624" s="8">
        <v>0</v>
      </c>
      <c r="BM624" s="8">
        <v>0</v>
      </c>
      <c r="BN624" s="8">
        <v>0</v>
      </c>
      <c r="BO624" s="8">
        <v>0</v>
      </c>
      <c r="BP624" s="8">
        <v>0</v>
      </c>
      <c r="BQ624" s="8">
        <v>0</v>
      </c>
      <c r="BR624" s="8">
        <v>0</v>
      </c>
      <c r="BS624" s="8">
        <f t="shared" si="526"/>
        <v>4</v>
      </c>
      <c r="BT624" s="8"/>
      <c r="BU624" s="2">
        <f t="shared" si="752"/>
        <v>1</v>
      </c>
      <c r="BV624" s="2">
        <f t="shared" si="753"/>
        <v>0</v>
      </c>
      <c r="BW624" s="2">
        <f t="shared" si="754"/>
        <v>1</v>
      </c>
      <c r="BX624" s="2">
        <f t="shared" si="755"/>
        <v>0</v>
      </c>
      <c r="BY624" s="2">
        <f t="shared" si="756"/>
        <v>0</v>
      </c>
      <c r="BZ624" s="2">
        <f t="shared" ref="BZ624:CA624" si="834">SUM(AQ624)</f>
        <v>1</v>
      </c>
      <c r="CA624" s="2">
        <f t="shared" si="834"/>
        <v>1</v>
      </c>
      <c r="CB624" s="2">
        <f t="shared" si="758"/>
        <v>0</v>
      </c>
    </row>
    <row r="625" spans="1:80" ht="16" x14ac:dyDescent="0.2">
      <c r="A625" s="3" t="s">
        <v>191</v>
      </c>
      <c r="B625" s="10">
        <v>826</v>
      </c>
      <c r="C625" s="5">
        <v>1</v>
      </c>
      <c r="D625" s="10">
        <v>1</v>
      </c>
      <c r="E625" s="10">
        <v>1</v>
      </c>
      <c r="F625" s="10">
        <v>1973</v>
      </c>
      <c r="G625" s="10">
        <v>2014</v>
      </c>
      <c r="H625" s="7" t="str">
        <f t="shared" si="751"/>
        <v>No</v>
      </c>
      <c r="I625" s="54" t="s">
        <v>55</v>
      </c>
      <c r="J625" s="8">
        <v>1</v>
      </c>
      <c r="K625" s="8" t="s">
        <v>63</v>
      </c>
      <c r="L625" s="8" t="s">
        <v>123</v>
      </c>
      <c r="M625" s="8" t="s">
        <v>123</v>
      </c>
      <c r="N625" s="8">
        <v>1</v>
      </c>
      <c r="O625" s="8">
        <v>0</v>
      </c>
      <c r="P625" s="8">
        <v>0</v>
      </c>
      <c r="Q625" s="8" t="s">
        <v>192</v>
      </c>
      <c r="R625" s="6" t="s">
        <v>193</v>
      </c>
      <c r="S625" s="8">
        <v>1</v>
      </c>
      <c r="T625" s="8">
        <v>1</v>
      </c>
      <c r="U625" s="8">
        <v>1</v>
      </c>
      <c r="V625" s="8">
        <v>1</v>
      </c>
      <c r="W625" s="8">
        <v>1</v>
      </c>
      <c r="X625" s="8">
        <v>0</v>
      </c>
      <c r="Y625" s="8">
        <v>1</v>
      </c>
      <c r="Z625" s="8">
        <v>1</v>
      </c>
      <c r="AA625" s="8" t="s">
        <v>194</v>
      </c>
      <c r="AB625" s="8">
        <v>0</v>
      </c>
      <c r="AC625" s="8">
        <v>0</v>
      </c>
      <c r="AD625" s="8">
        <v>0</v>
      </c>
      <c r="AE625" s="8">
        <v>0</v>
      </c>
      <c r="AF625" s="8">
        <v>1</v>
      </c>
      <c r="AG625" s="8">
        <v>0</v>
      </c>
      <c r="AH625" s="8">
        <v>0</v>
      </c>
      <c r="AI625" s="8">
        <v>1</v>
      </c>
      <c r="AJ625" s="8">
        <v>0</v>
      </c>
      <c r="AK625" s="8">
        <v>0</v>
      </c>
      <c r="AL625" s="8">
        <v>0</v>
      </c>
      <c r="AM625" s="8">
        <v>0</v>
      </c>
      <c r="AN625" s="8">
        <v>1</v>
      </c>
      <c r="AO625" s="8">
        <v>0</v>
      </c>
      <c r="AP625" s="8">
        <v>0</v>
      </c>
      <c r="AQ625" s="8">
        <v>1</v>
      </c>
      <c r="AR625" s="8">
        <v>1</v>
      </c>
      <c r="AS625" s="8">
        <v>0</v>
      </c>
      <c r="AT625" s="8">
        <v>0</v>
      </c>
      <c r="AU625" s="8">
        <v>0</v>
      </c>
      <c r="AV625" s="8">
        <v>0</v>
      </c>
      <c r="AW625" s="8">
        <v>0</v>
      </c>
      <c r="AX625" s="8">
        <v>0</v>
      </c>
      <c r="AY625" s="8">
        <v>0</v>
      </c>
      <c r="AZ625" s="8">
        <v>0</v>
      </c>
      <c r="BA625" s="8">
        <v>0</v>
      </c>
      <c r="BB625" s="8">
        <v>0</v>
      </c>
      <c r="BC625" s="8">
        <v>0</v>
      </c>
      <c r="BD625" s="8">
        <v>0</v>
      </c>
      <c r="BE625" s="8">
        <v>0</v>
      </c>
      <c r="BF625" s="8">
        <v>0</v>
      </c>
      <c r="BG625" s="8">
        <v>0</v>
      </c>
      <c r="BH625" s="8">
        <v>0</v>
      </c>
      <c r="BI625" s="8">
        <v>0</v>
      </c>
      <c r="BJ625" s="8">
        <v>0</v>
      </c>
      <c r="BK625" s="8">
        <v>0</v>
      </c>
      <c r="BL625" s="8">
        <v>0</v>
      </c>
      <c r="BM625" s="8">
        <v>0</v>
      </c>
      <c r="BN625" s="8">
        <v>0</v>
      </c>
      <c r="BO625" s="8">
        <v>0</v>
      </c>
      <c r="BP625" s="8">
        <v>0</v>
      </c>
      <c r="BQ625" s="8">
        <v>0</v>
      </c>
      <c r="BR625" s="8">
        <v>0</v>
      </c>
      <c r="BS625" s="8">
        <f t="shared" si="526"/>
        <v>4</v>
      </c>
      <c r="BT625" s="8"/>
      <c r="BU625" s="2">
        <f t="shared" si="752"/>
        <v>1</v>
      </c>
      <c r="BV625" s="2">
        <f t="shared" si="753"/>
        <v>0</v>
      </c>
      <c r="BW625" s="2">
        <f t="shared" si="754"/>
        <v>1</v>
      </c>
      <c r="BX625" s="2">
        <f t="shared" si="755"/>
        <v>0</v>
      </c>
      <c r="BY625" s="2">
        <f t="shared" si="756"/>
        <v>0</v>
      </c>
      <c r="BZ625" s="2">
        <f t="shared" ref="BZ625:CA625" si="835">SUM(AQ625)</f>
        <v>1</v>
      </c>
      <c r="CA625" s="2">
        <f t="shared" si="835"/>
        <v>1</v>
      </c>
      <c r="CB625" s="2">
        <f t="shared" si="758"/>
        <v>0</v>
      </c>
    </row>
    <row r="626" spans="1:80" ht="16" x14ac:dyDescent="0.2">
      <c r="A626" s="3" t="s">
        <v>191</v>
      </c>
      <c r="B626" s="10">
        <v>826</v>
      </c>
      <c r="C626" s="5">
        <v>1</v>
      </c>
      <c r="D626" s="10">
        <v>1</v>
      </c>
      <c r="E626" s="10">
        <v>1</v>
      </c>
      <c r="F626" s="10">
        <v>1973</v>
      </c>
      <c r="G626" s="10">
        <v>2015</v>
      </c>
      <c r="H626" s="7" t="str">
        <f t="shared" si="751"/>
        <v>No</v>
      </c>
      <c r="I626" s="54" t="s">
        <v>55</v>
      </c>
      <c r="J626" s="8">
        <v>1</v>
      </c>
      <c r="K626" s="8" t="s">
        <v>63</v>
      </c>
      <c r="L626" s="8" t="s">
        <v>123</v>
      </c>
      <c r="M626" s="8" t="s">
        <v>123</v>
      </c>
      <c r="N626" s="8">
        <v>1</v>
      </c>
      <c r="O626" s="8">
        <v>0</v>
      </c>
      <c r="P626" s="8">
        <v>0</v>
      </c>
      <c r="Q626" s="8" t="s">
        <v>192</v>
      </c>
      <c r="R626" s="6" t="s">
        <v>193</v>
      </c>
      <c r="S626" s="8">
        <v>1</v>
      </c>
      <c r="T626" s="8">
        <v>1</v>
      </c>
      <c r="U626" s="8">
        <v>1</v>
      </c>
      <c r="V626" s="8">
        <v>1</v>
      </c>
      <c r="W626" s="8">
        <v>1</v>
      </c>
      <c r="X626" s="8">
        <v>0</v>
      </c>
      <c r="Y626" s="8">
        <v>1</v>
      </c>
      <c r="Z626" s="8">
        <v>1</v>
      </c>
      <c r="AA626" s="8" t="s">
        <v>194</v>
      </c>
      <c r="AB626" s="8">
        <v>0</v>
      </c>
      <c r="AC626" s="8">
        <v>0</v>
      </c>
      <c r="AD626" s="8">
        <v>0</v>
      </c>
      <c r="AE626" s="8">
        <v>0</v>
      </c>
      <c r="AF626" s="8">
        <v>1</v>
      </c>
      <c r="AG626" s="8">
        <v>0</v>
      </c>
      <c r="AH626" s="8">
        <v>0</v>
      </c>
      <c r="AI626" s="8">
        <v>1</v>
      </c>
      <c r="AJ626" s="8">
        <v>0</v>
      </c>
      <c r="AK626" s="8">
        <v>0</v>
      </c>
      <c r="AL626" s="8">
        <v>0</v>
      </c>
      <c r="AM626" s="8">
        <v>0</v>
      </c>
      <c r="AN626" s="8">
        <v>1</v>
      </c>
      <c r="AO626" s="8">
        <v>0</v>
      </c>
      <c r="AP626" s="8">
        <v>0</v>
      </c>
      <c r="AQ626" s="8">
        <v>1</v>
      </c>
      <c r="AR626" s="8">
        <v>1</v>
      </c>
      <c r="AS626" s="8">
        <v>0</v>
      </c>
      <c r="AT626" s="8">
        <v>0</v>
      </c>
      <c r="AU626" s="8">
        <v>0</v>
      </c>
      <c r="AV626" s="8">
        <v>0</v>
      </c>
      <c r="AW626" s="8">
        <v>0</v>
      </c>
      <c r="AX626" s="8">
        <v>0</v>
      </c>
      <c r="AY626" s="8">
        <v>0</v>
      </c>
      <c r="AZ626" s="8">
        <v>0</v>
      </c>
      <c r="BA626" s="8">
        <v>0</v>
      </c>
      <c r="BB626" s="8">
        <v>0</v>
      </c>
      <c r="BC626" s="8">
        <v>0</v>
      </c>
      <c r="BD626" s="8">
        <v>0</v>
      </c>
      <c r="BE626" s="8">
        <v>0</v>
      </c>
      <c r="BF626" s="8">
        <v>0</v>
      </c>
      <c r="BG626" s="8">
        <v>0</v>
      </c>
      <c r="BH626" s="8">
        <v>0</v>
      </c>
      <c r="BI626" s="8">
        <v>0</v>
      </c>
      <c r="BJ626" s="8">
        <v>0</v>
      </c>
      <c r="BK626" s="8">
        <v>0</v>
      </c>
      <c r="BL626" s="8">
        <v>0</v>
      </c>
      <c r="BM626" s="8">
        <v>0</v>
      </c>
      <c r="BN626" s="8">
        <v>0</v>
      </c>
      <c r="BO626" s="8">
        <v>0</v>
      </c>
      <c r="BP626" s="8">
        <v>0</v>
      </c>
      <c r="BQ626" s="8">
        <v>0</v>
      </c>
      <c r="BR626" s="8">
        <v>0</v>
      </c>
      <c r="BS626" s="8">
        <f t="shared" si="526"/>
        <v>4</v>
      </c>
      <c r="BT626" s="8"/>
      <c r="BU626" s="2">
        <f t="shared" si="752"/>
        <v>1</v>
      </c>
      <c r="BV626" s="2">
        <f t="shared" si="753"/>
        <v>0</v>
      </c>
      <c r="BW626" s="2">
        <f t="shared" si="754"/>
        <v>1</v>
      </c>
      <c r="BX626" s="2">
        <f t="shared" si="755"/>
        <v>0</v>
      </c>
      <c r="BY626" s="2">
        <f t="shared" si="756"/>
        <v>0</v>
      </c>
      <c r="BZ626" s="2">
        <f t="shared" ref="BZ626:CA626" si="836">SUM(AQ626)</f>
        <v>1</v>
      </c>
      <c r="CA626" s="2">
        <f t="shared" si="836"/>
        <v>1</v>
      </c>
      <c r="CB626" s="2">
        <f t="shared" si="758"/>
        <v>0</v>
      </c>
    </row>
    <row r="627" spans="1:80" ht="16" x14ac:dyDescent="0.2">
      <c r="A627" s="3" t="s">
        <v>191</v>
      </c>
      <c r="B627" s="10">
        <v>826</v>
      </c>
      <c r="C627" s="5">
        <v>1</v>
      </c>
      <c r="D627" s="10">
        <v>1</v>
      </c>
      <c r="E627" s="10">
        <v>1</v>
      </c>
      <c r="F627" s="10">
        <v>1973</v>
      </c>
      <c r="G627" s="10">
        <v>2016</v>
      </c>
      <c r="H627" s="7" t="str">
        <f t="shared" si="751"/>
        <v>No</v>
      </c>
      <c r="I627" s="54" t="s">
        <v>55</v>
      </c>
      <c r="J627" s="8">
        <v>1</v>
      </c>
      <c r="K627" s="8" t="s">
        <v>63</v>
      </c>
      <c r="L627" s="8" t="s">
        <v>123</v>
      </c>
      <c r="M627" s="8" t="s">
        <v>123</v>
      </c>
      <c r="N627" s="8">
        <v>1</v>
      </c>
      <c r="O627" s="8">
        <v>0</v>
      </c>
      <c r="P627" s="8">
        <v>0</v>
      </c>
      <c r="Q627" s="8" t="s">
        <v>192</v>
      </c>
      <c r="R627" s="6" t="s">
        <v>193</v>
      </c>
      <c r="S627" s="8">
        <v>1</v>
      </c>
      <c r="T627" s="8">
        <v>1</v>
      </c>
      <c r="U627" s="8">
        <v>1</v>
      </c>
      <c r="V627" s="8">
        <v>1</v>
      </c>
      <c r="W627" s="8">
        <v>1</v>
      </c>
      <c r="X627" s="8">
        <v>0</v>
      </c>
      <c r="Y627" s="8">
        <v>1</v>
      </c>
      <c r="Z627" s="8">
        <v>1</v>
      </c>
      <c r="AA627" s="8" t="s">
        <v>194</v>
      </c>
      <c r="AB627" s="8">
        <v>0</v>
      </c>
      <c r="AC627" s="8">
        <v>0</v>
      </c>
      <c r="AD627" s="8">
        <v>0</v>
      </c>
      <c r="AE627" s="8">
        <v>0</v>
      </c>
      <c r="AF627" s="8">
        <v>1</v>
      </c>
      <c r="AG627" s="8">
        <v>0</v>
      </c>
      <c r="AH627" s="8">
        <v>0</v>
      </c>
      <c r="AI627" s="8">
        <v>1</v>
      </c>
      <c r="AJ627" s="8">
        <v>0</v>
      </c>
      <c r="AK627" s="8">
        <v>0</v>
      </c>
      <c r="AL627" s="8">
        <v>0</v>
      </c>
      <c r="AM627" s="8">
        <v>0</v>
      </c>
      <c r="AN627" s="8">
        <v>1</v>
      </c>
      <c r="AO627" s="8">
        <v>0</v>
      </c>
      <c r="AP627" s="8">
        <v>0</v>
      </c>
      <c r="AQ627" s="8">
        <v>1</v>
      </c>
      <c r="AR627" s="8">
        <v>1</v>
      </c>
      <c r="AS627" s="8">
        <v>0</v>
      </c>
      <c r="AT627" s="8">
        <v>0</v>
      </c>
      <c r="AU627" s="8">
        <v>0</v>
      </c>
      <c r="AV627" s="8">
        <v>0</v>
      </c>
      <c r="AW627" s="8">
        <v>0</v>
      </c>
      <c r="AX627" s="8">
        <v>0</v>
      </c>
      <c r="AY627" s="8">
        <v>0</v>
      </c>
      <c r="AZ627" s="8">
        <v>0</v>
      </c>
      <c r="BA627" s="8">
        <v>0</v>
      </c>
      <c r="BB627" s="8">
        <v>0</v>
      </c>
      <c r="BC627" s="8">
        <v>0</v>
      </c>
      <c r="BD627" s="8">
        <v>0</v>
      </c>
      <c r="BE627" s="8">
        <v>0</v>
      </c>
      <c r="BF627" s="8">
        <v>0</v>
      </c>
      <c r="BG627" s="8">
        <v>0</v>
      </c>
      <c r="BH627" s="8">
        <v>0</v>
      </c>
      <c r="BI627" s="8">
        <v>0</v>
      </c>
      <c r="BJ627" s="8">
        <v>0</v>
      </c>
      <c r="BK627" s="8">
        <v>0</v>
      </c>
      <c r="BL627" s="8">
        <v>0</v>
      </c>
      <c r="BM627" s="8">
        <v>0</v>
      </c>
      <c r="BN627" s="8">
        <v>0</v>
      </c>
      <c r="BO627" s="8">
        <v>0</v>
      </c>
      <c r="BP627" s="8">
        <v>0</v>
      </c>
      <c r="BQ627" s="8">
        <v>0</v>
      </c>
      <c r="BR627" s="8">
        <v>0</v>
      </c>
      <c r="BS627" s="8">
        <f t="shared" si="526"/>
        <v>4</v>
      </c>
      <c r="BT627" s="8"/>
      <c r="BU627" s="2">
        <f t="shared" si="752"/>
        <v>1</v>
      </c>
      <c r="BV627" s="2">
        <f t="shared" si="753"/>
        <v>0</v>
      </c>
      <c r="BW627" s="2">
        <f t="shared" si="754"/>
        <v>1</v>
      </c>
      <c r="BX627" s="2">
        <f t="shared" si="755"/>
        <v>0</v>
      </c>
      <c r="BY627" s="2">
        <f t="shared" si="756"/>
        <v>0</v>
      </c>
      <c r="BZ627" s="2">
        <f t="shared" ref="BZ627:CA627" si="837">SUM(AQ627)</f>
        <v>1</v>
      </c>
      <c r="CA627" s="2">
        <f t="shared" si="837"/>
        <v>1</v>
      </c>
      <c r="CB627" s="2">
        <f t="shared" si="758"/>
        <v>0</v>
      </c>
    </row>
    <row r="628" spans="1:80" ht="16" x14ac:dyDescent="0.2">
      <c r="A628" s="3" t="s">
        <v>191</v>
      </c>
      <c r="B628" s="10">
        <v>826</v>
      </c>
      <c r="C628" s="5">
        <v>1</v>
      </c>
      <c r="D628" s="10">
        <v>1</v>
      </c>
      <c r="E628" s="10">
        <v>1</v>
      </c>
      <c r="F628" s="10">
        <v>1973</v>
      </c>
      <c r="G628" s="10">
        <v>2017</v>
      </c>
      <c r="H628" s="7" t="str">
        <f t="shared" si="751"/>
        <v>No</v>
      </c>
      <c r="I628" s="54" t="s">
        <v>55</v>
      </c>
      <c r="J628" s="8">
        <v>1</v>
      </c>
      <c r="K628" s="8" t="s">
        <v>63</v>
      </c>
      <c r="L628" s="8" t="s">
        <v>123</v>
      </c>
      <c r="M628" s="8" t="s">
        <v>123</v>
      </c>
      <c r="N628" s="8">
        <v>1</v>
      </c>
      <c r="O628" s="8">
        <v>0</v>
      </c>
      <c r="P628" s="8">
        <v>0</v>
      </c>
      <c r="Q628" s="8" t="s">
        <v>192</v>
      </c>
      <c r="R628" s="6" t="s">
        <v>193</v>
      </c>
      <c r="S628" s="8">
        <v>1</v>
      </c>
      <c r="T628" s="8">
        <v>1</v>
      </c>
      <c r="U628" s="8">
        <v>1</v>
      </c>
      <c r="V628" s="8">
        <v>1</v>
      </c>
      <c r="W628" s="8">
        <v>1</v>
      </c>
      <c r="X628" s="8">
        <v>0</v>
      </c>
      <c r="Y628" s="8">
        <v>1</v>
      </c>
      <c r="Z628" s="8">
        <v>1</v>
      </c>
      <c r="AA628" s="8" t="s">
        <v>194</v>
      </c>
      <c r="AB628" s="8">
        <v>0</v>
      </c>
      <c r="AC628" s="8">
        <v>0</v>
      </c>
      <c r="AD628" s="8">
        <v>0</v>
      </c>
      <c r="AE628" s="8">
        <v>0</v>
      </c>
      <c r="AF628" s="8">
        <v>1</v>
      </c>
      <c r="AG628" s="8">
        <v>0</v>
      </c>
      <c r="AH628" s="8">
        <v>0</v>
      </c>
      <c r="AI628" s="8">
        <v>1</v>
      </c>
      <c r="AJ628" s="8">
        <v>0</v>
      </c>
      <c r="AK628" s="8">
        <v>0</v>
      </c>
      <c r="AL628" s="8">
        <v>0</v>
      </c>
      <c r="AM628" s="8">
        <v>0</v>
      </c>
      <c r="AN628" s="8">
        <v>1</v>
      </c>
      <c r="AO628" s="8">
        <v>0</v>
      </c>
      <c r="AP628" s="8">
        <v>0</v>
      </c>
      <c r="AQ628" s="8">
        <v>1</v>
      </c>
      <c r="AR628" s="8">
        <v>1</v>
      </c>
      <c r="AS628" s="8">
        <v>0</v>
      </c>
      <c r="AT628" s="8">
        <v>0</v>
      </c>
      <c r="AU628" s="8">
        <v>0</v>
      </c>
      <c r="AV628" s="8">
        <v>0</v>
      </c>
      <c r="AW628" s="8">
        <v>0</v>
      </c>
      <c r="AX628" s="8">
        <v>0</v>
      </c>
      <c r="AY628" s="8">
        <v>0</v>
      </c>
      <c r="AZ628" s="8">
        <v>0</v>
      </c>
      <c r="BA628" s="8">
        <v>0</v>
      </c>
      <c r="BB628" s="8">
        <v>0</v>
      </c>
      <c r="BC628" s="8">
        <v>0</v>
      </c>
      <c r="BD628" s="8">
        <v>0</v>
      </c>
      <c r="BE628" s="8">
        <v>0</v>
      </c>
      <c r="BF628" s="8">
        <v>0</v>
      </c>
      <c r="BG628" s="8">
        <v>0</v>
      </c>
      <c r="BH628" s="8">
        <v>0</v>
      </c>
      <c r="BI628" s="8">
        <v>0</v>
      </c>
      <c r="BJ628" s="8">
        <v>0</v>
      </c>
      <c r="BK628" s="8">
        <v>0</v>
      </c>
      <c r="BL628" s="8">
        <v>0</v>
      </c>
      <c r="BM628" s="8">
        <v>0</v>
      </c>
      <c r="BN628" s="8">
        <v>0</v>
      </c>
      <c r="BO628" s="8">
        <v>0</v>
      </c>
      <c r="BP628" s="8">
        <v>0</v>
      </c>
      <c r="BQ628" s="8">
        <v>0</v>
      </c>
      <c r="BR628" s="8">
        <v>0</v>
      </c>
      <c r="BS628" s="8">
        <f t="shared" si="526"/>
        <v>4</v>
      </c>
      <c r="BT628" s="8"/>
      <c r="BU628" s="2">
        <f t="shared" si="752"/>
        <v>1</v>
      </c>
      <c r="BV628" s="2">
        <f t="shared" si="753"/>
        <v>0</v>
      </c>
      <c r="BW628" s="2">
        <f t="shared" si="754"/>
        <v>1</v>
      </c>
      <c r="BX628" s="2">
        <f t="shared" si="755"/>
        <v>0</v>
      </c>
      <c r="BY628" s="2">
        <f t="shared" si="756"/>
        <v>0</v>
      </c>
      <c r="BZ628" s="2">
        <f t="shared" ref="BZ628:CA628" si="838">SUM(AQ628)</f>
        <v>1</v>
      </c>
      <c r="CA628" s="2">
        <f t="shared" si="838"/>
        <v>1</v>
      </c>
      <c r="CB628" s="2">
        <f t="shared" si="758"/>
        <v>0</v>
      </c>
    </row>
    <row r="629" spans="1:80" ht="16" x14ac:dyDescent="0.2">
      <c r="A629" s="3" t="s">
        <v>191</v>
      </c>
      <c r="B629" s="10">
        <v>826</v>
      </c>
      <c r="C629" s="5">
        <v>1</v>
      </c>
      <c r="D629" s="10">
        <v>1</v>
      </c>
      <c r="E629" s="10">
        <v>1</v>
      </c>
      <c r="F629" s="10">
        <v>1973</v>
      </c>
      <c r="G629" s="10">
        <v>2018</v>
      </c>
      <c r="H629" s="7" t="str">
        <f t="shared" si="751"/>
        <v>Yes</v>
      </c>
      <c r="I629" s="54" t="s">
        <v>56</v>
      </c>
      <c r="J629" s="8">
        <v>1</v>
      </c>
      <c r="K629" s="8" t="s">
        <v>63</v>
      </c>
      <c r="L629" s="8" t="s">
        <v>123</v>
      </c>
      <c r="M629" s="8" t="s">
        <v>123</v>
      </c>
      <c r="N629" s="8">
        <v>1</v>
      </c>
      <c r="O629" s="8">
        <v>0</v>
      </c>
      <c r="P629" s="8">
        <v>0</v>
      </c>
      <c r="Q629" s="8" t="s">
        <v>192</v>
      </c>
      <c r="R629" s="6" t="s">
        <v>195</v>
      </c>
      <c r="S629" s="8">
        <v>1</v>
      </c>
      <c r="T629" s="8">
        <v>1</v>
      </c>
      <c r="U629" s="8">
        <v>1</v>
      </c>
      <c r="V629" s="8">
        <v>1</v>
      </c>
      <c r="W629" s="8">
        <v>1</v>
      </c>
      <c r="X629" s="8">
        <v>0</v>
      </c>
      <c r="Y629" s="8">
        <v>1</v>
      </c>
      <c r="Z629" s="8">
        <v>1</v>
      </c>
      <c r="AA629" s="8" t="s">
        <v>194</v>
      </c>
      <c r="AB629" s="8">
        <v>0</v>
      </c>
      <c r="AC629" s="8">
        <v>0</v>
      </c>
      <c r="AD629" s="8">
        <v>0</v>
      </c>
      <c r="AE629" s="8">
        <v>0</v>
      </c>
      <c r="AF629" s="8">
        <v>1</v>
      </c>
      <c r="AG629" s="8">
        <v>0</v>
      </c>
      <c r="AH629" s="8">
        <v>0</v>
      </c>
      <c r="AI629" s="8">
        <v>1</v>
      </c>
      <c r="AJ629" s="8">
        <v>0</v>
      </c>
      <c r="AK629" s="8">
        <v>0</v>
      </c>
      <c r="AL629" s="8">
        <v>0</v>
      </c>
      <c r="AM629" s="8">
        <v>0</v>
      </c>
      <c r="AN629" s="8">
        <v>1</v>
      </c>
      <c r="AO629" s="8">
        <v>0</v>
      </c>
      <c r="AP629" s="8">
        <v>0</v>
      </c>
      <c r="AQ629" s="8">
        <v>1</v>
      </c>
      <c r="AR629" s="8">
        <v>1</v>
      </c>
      <c r="AS629" s="8">
        <v>0</v>
      </c>
      <c r="AT629" s="8">
        <v>0</v>
      </c>
      <c r="AU629" s="8">
        <v>1</v>
      </c>
      <c r="AV629" s="8">
        <v>0</v>
      </c>
      <c r="AW629" s="8">
        <v>0</v>
      </c>
      <c r="AX629" s="8">
        <v>0</v>
      </c>
      <c r="AY629" s="8">
        <v>0</v>
      </c>
      <c r="AZ629" s="8">
        <v>1</v>
      </c>
      <c r="BA629" s="8">
        <v>0</v>
      </c>
      <c r="BB629" s="8">
        <v>1</v>
      </c>
      <c r="BC629" s="8">
        <v>0</v>
      </c>
      <c r="BD629" s="8">
        <v>0</v>
      </c>
      <c r="BE629" s="8">
        <v>0</v>
      </c>
      <c r="BF629" s="8">
        <v>0</v>
      </c>
      <c r="BG629" s="8">
        <v>0</v>
      </c>
      <c r="BH629" s="8">
        <v>0</v>
      </c>
      <c r="BI629" s="8">
        <v>0</v>
      </c>
      <c r="BJ629" s="8">
        <v>0</v>
      </c>
      <c r="BK629" s="8">
        <v>0</v>
      </c>
      <c r="BL629" s="8">
        <v>0</v>
      </c>
      <c r="BM629" s="8">
        <v>0</v>
      </c>
      <c r="BN629" s="8">
        <v>0</v>
      </c>
      <c r="BO629" s="8">
        <v>0</v>
      </c>
      <c r="BP629" s="8">
        <v>0</v>
      </c>
      <c r="BQ629" s="8">
        <v>0</v>
      </c>
      <c r="BR629" s="8">
        <v>0</v>
      </c>
      <c r="BS629" s="8">
        <f t="shared" si="526"/>
        <v>7</v>
      </c>
      <c r="BT629" s="8"/>
      <c r="BU629" s="2">
        <f t="shared" si="752"/>
        <v>1</v>
      </c>
      <c r="BV629" s="2">
        <f t="shared" si="753"/>
        <v>0</v>
      </c>
      <c r="BW629" s="2">
        <f t="shared" si="754"/>
        <v>1</v>
      </c>
      <c r="BX629" s="2">
        <f t="shared" si="755"/>
        <v>3</v>
      </c>
      <c r="BY629" s="2">
        <f t="shared" si="756"/>
        <v>0</v>
      </c>
      <c r="BZ629" s="2">
        <f t="shared" ref="BZ629:CA629" si="839">SUM(AQ629)</f>
        <v>1</v>
      </c>
      <c r="CA629" s="2">
        <f t="shared" si="839"/>
        <v>1</v>
      </c>
      <c r="CB629" s="2">
        <f t="shared" si="758"/>
        <v>0</v>
      </c>
    </row>
    <row r="630" spans="1:80" ht="15" customHeight="1" x14ac:dyDescent="0.2">
      <c r="A630" s="3" t="s">
        <v>191</v>
      </c>
      <c r="B630" s="10">
        <v>826</v>
      </c>
      <c r="C630" s="5">
        <v>1</v>
      </c>
      <c r="D630" s="10">
        <v>1</v>
      </c>
      <c r="E630" s="10">
        <v>1</v>
      </c>
      <c r="F630" s="10">
        <v>1973</v>
      </c>
      <c r="G630" s="10">
        <v>2019</v>
      </c>
      <c r="H630" s="7" t="str">
        <f t="shared" si="751"/>
        <v>No</v>
      </c>
      <c r="I630" s="54" t="s">
        <v>55</v>
      </c>
      <c r="J630" s="8">
        <v>1</v>
      </c>
      <c r="K630" s="8" t="s">
        <v>63</v>
      </c>
      <c r="L630" s="8" t="s">
        <v>123</v>
      </c>
      <c r="M630" s="8" t="s">
        <v>123</v>
      </c>
      <c r="N630" s="8">
        <v>1</v>
      </c>
      <c r="O630" s="8">
        <v>0</v>
      </c>
      <c r="P630" s="8">
        <v>0</v>
      </c>
      <c r="Q630" s="8" t="s">
        <v>192</v>
      </c>
      <c r="R630" s="6" t="s">
        <v>195</v>
      </c>
      <c r="S630" s="8">
        <v>1</v>
      </c>
      <c r="T630" s="8">
        <v>1</v>
      </c>
      <c r="U630" s="8">
        <v>1</v>
      </c>
      <c r="V630" s="8">
        <v>1</v>
      </c>
      <c r="W630" s="8">
        <v>1</v>
      </c>
      <c r="X630" s="8">
        <v>0</v>
      </c>
      <c r="Y630" s="8">
        <v>1</v>
      </c>
      <c r="Z630" s="8">
        <v>1</v>
      </c>
      <c r="AA630" s="8" t="s">
        <v>194</v>
      </c>
      <c r="AB630" s="8">
        <v>0</v>
      </c>
      <c r="AC630" s="8">
        <v>0</v>
      </c>
      <c r="AD630" s="8">
        <v>0</v>
      </c>
      <c r="AE630" s="8">
        <v>0</v>
      </c>
      <c r="AF630" s="8">
        <v>1</v>
      </c>
      <c r="AG630" s="8">
        <v>0</v>
      </c>
      <c r="AH630" s="8">
        <v>0</v>
      </c>
      <c r="AI630" s="8">
        <v>1</v>
      </c>
      <c r="AJ630" s="8">
        <v>0</v>
      </c>
      <c r="AK630" s="8">
        <v>0</v>
      </c>
      <c r="AL630" s="8">
        <v>0</v>
      </c>
      <c r="AM630" s="8">
        <v>0</v>
      </c>
      <c r="AN630" s="8">
        <v>1</v>
      </c>
      <c r="AO630" s="8">
        <v>0</v>
      </c>
      <c r="AP630" s="8">
        <v>0</v>
      </c>
      <c r="AQ630" s="8">
        <v>1</v>
      </c>
      <c r="AR630" s="8">
        <v>1</v>
      </c>
      <c r="AS630" s="8">
        <v>0</v>
      </c>
      <c r="AT630" s="8">
        <v>0</v>
      </c>
      <c r="AU630" s="8">
        <v>1</v>
      </c>
      <c r="AV630" s="8">
        <v>0</v>
      </c>
      <c r="AW630" s="8">
        <v>0</v>
      </c>
      <c r="AX630" s="8">
        <v>0</v>
      </c>
      <c r="AY630" s="8">
        <v>0</v>
      </c>
      <c r="AZ630" s="8">
        <v>1</v>
      </c>
      <c r="BA630" s="8">
        <v>0</v>
      </c>
      <c r="BB630" s="8">
        <v>1</v>
      </c>
      <c r="BC630" s="8">
        <v>0</v>
      </c>
      <c r="BD630" s="8">
        <v>0</v>
      </c>
      <c r="BE630" s="8">
        <v>0</v>
      </c>
      <c r="BF630" s="8">
        <v>0</v>
      </c>
      <c r="BG630" s="8">
        <v>0</v>
      </c>
      <c r="BH630" s="8">
        <v>0</v>
      </c>
      <c r="BI630" s="8">
        <v>0</v>
      </c>
      <c r="BJ630" s="8">
        <v>0</v>
      </c>
      <c r="BK630" s="8">
        <v>0</v>
      </c>
      <c r="BL630" s="8">
        <v>0</v>
      </c>
      <c r="BM630" s="8">
        <v>0</v>
      </c>
      <c r="BN630" s="8">
        <v>0</v>
      </c>
      <c r="BO630" s="8">
        <v>0</v>
      </c>
      <c r="BP630" s="8">
        <v>0</v>
      </c>
      <c r="BQ630" s="8">
        <v>0</v>
      </c>
      <c r="BR630" s="8">
        <v>0</v>
      </c>
      <c r="BS630" s="8">
        <f t="shared" si="526"/>
        <v>7</v>
      </c>
      <c r="BT630" s="8"/>
      <c r="BU630" s="2">
        <f t="shared" si="752"/>
        <v>1</v>
      </c>
      <c r="BV630" s="2">
        <f t="shared" si="753"/>
        <v>0</v>
      </c>
      <c r="BW630" s="2">
        <f t="shared" si="754"/>
        <v>1</v>
      </c>
      <c r="BX630" s="2">
        <f t="shared" si="755"/>
        <v>3</v>
      </c>
      <c r="BY630" s="2">
        <f t="shared" si="756"/>
        <v>0</v>
      </c>
      <c r="BZ630" s="2">
        <f t="shared" ref="BZ630:CA630" si="840">SUM(AQ630)</f>
        <v>1</v>
      </c>
      <c r="CA630" s="2">
        <f t="shared" si="840"/>
        <v>1</v>
      </c>
      <c r="CB630" s="2">
        <f t="shared" si="758"/>
        <v>0</v>
      </c>
    </row>
    <row r="631" spans="1:80" ht="15" customHeight="1" x14ac:dyDescent="0.2">
      <c r="A631" s="3" t="s">
        <v>191</v>
      </c>
      <c r="B631" s="10">
        <v>826</v>
      </c>
      <c r="C631" s="5">
        <v>1</v>
      </c>
      <c r="D631" s="10">
        <v>1</v>
      </c>
      <c r="E631" s="10">
        <v>1</v>
      </c>
      <c r="F631" s="10">
        <v>1973</v>
      </c>
      <c r="G631" s="10">
        <v>2020</v>
      </c>
      <c r="H631" s="7" t="str">
        <f t="shared" si="751"/>
        <v>Yes</v>
      </c>
      <c r="I631" s="54" t="s">
        <v>56</v>
      </c>
      <c r="J631" s="8">
        <v>1</v>
      </c>
      <c r="K631" s="8" t="s">
        <v>63</v>
      </c>
      <c r="L631" s="8" t="s">
        <v>123</v>
      </c>
      <c r="M631" s="8" t="s">
        <v>123</v>
      </c>
      <c r="N631" s="8">
        <v>1</v>
      </c>
      <c r="O631" s="8">
        <v>0</v>
      </c>
      <c r="P631" s="8">
        <v>0</v>
      </c>
      <c r="Q631" s="8" t="s">
        <v>192</v>
      </c>
      <c r="R631" s="6" t="s">
        <v>195</v>
      </c>
      <c r="S631" s="8">
        <v>1</v>
      </c>
      <c r="T631" s="8">
        <v>1</v>
      </c>
      <c r="U631" s="8">
        <v>1</v>
      </c>
      <c r="V631" s="8">
        <v>1</v>
      </c>
      <c r="W631" s="8">
        <v>1</v>
      </c>
      <c r="X631" s="8">
        <v>0</v>
      </c>
      <c r="Y631" s="8">
        <v>1</v>
      </c>
      <c r="Z631" s="8">
        <v>1</v>
      </c>
      <c r="AA631" s="8" t="s">
        <v>194</v>
      </c>
      <c r="AB631" s="8">
        <v>0</v>
      </c>
      <c r="AC631" s="8">
        <v>0</v>
      </c>
      <c r="AD631" s="8">
        <v>0</v>
      </c>
      <c r="AE631" s="8">
        <v>0</v>
      </c>
      <c r="AF631" s="8">
        <v>1</v>
      </c>
      <c r="AG631" s="8">
        <v>0</v>
      </c>
      <c r="AH631" s="8">
        <v>0</v>
      </c>
      <c r="AI631" s="8">
        <v>1</v>
      </c>
      <c r="AJ631" s="8">
        <v>0</v>
      </c>
      <c r="AK631" s="8">
        <v>0</v>
      </c>
      <c r="AL631" s="8">
        <v>0</v>
      </c>
      <c r="AM631" s="8">
        <v>0</v>
      </c>
      <c r="AN631" s="8">
        <v>1</v>
      </c>
      <c r="AO631" s="8">
        <v>0</v>
      </c>
      <c r="AP631" s="8">
        <v>0</v>
      </c>
      <c r="AQ631" s="8">
        <v>1</v>
      </c>
      <c r="AR631" s="8">
        <v>1</v>
      </c>
      <c r="AS631" s="8">
        <v>0</v>
      </c>
      <c r="AT631" s="8">
        <v>0</v>
      </c>
      <c r="AU631" s="8">
        <v>1</v>
      </c>
      <c r="AV631" s="8">
        <v>0</v>
      </c>
      <c r="AW631" s="8">
        <v>1</v>
      </c>
      <c r="AX631" s="8">
        <v>0</v>
      </c>
      <c r="AY631" s="8">
        <v>0</v>
      </c>
      <c r="AZ631" s="8">
        <v>1</v>
      </c>
      <c r="BA631" s="8">
        <v>0</v>
      </c>
      <c r="BB631" s="8">
        <v>1</v>
      </c>
      <c r="BC631" s="8">
        <v>0</v>
      </c>
      <c r="BD631" s="8">
        <v>0</v>
      </c>
      <c r="BE631" s="8">
        <v>0</v>
      </c>
      <c r="BF631" s="8">
        <v>0</v>
      </c>
      <c r="BG631" s="8">
        <v>0</v>
      </c>
      <c r="BH631" s="8">
        <v>1</v>
      </c>
      <c r="BI631" s="8">
        <v>0</v>
      </c>
      <c r="BJ631" s="8">
        <v>0</v>
      </c>
      <c r="BK631" s="8">
        <v>0</v>
      </c>
      <c r="BL631" s="8">
        <v>0</v>
      </c>
      <c r="BM631" s="8">
        <v>0</v>
      </c>
      <c r="BN631" s="8">
        <v>0</v>
      </c>
      <c r="BO631" s="8">
        <v>0</v>
      </c>
      <c r="BP631" s="8">
        <v>0</v>
      </c>
      <c r="BQ631" s="8">
        <v>0</v>
      </c>
      <c r="BR631" s="8">
        <v>0</v>
      </c>
      <c r="BS631" s="8">
        <f t="shared" si="526"/>
        <v>9</v>
      </c>
      <c r="BT631" s="8"/>
      <c r="BU631" s="2">
        <f t="shared" si="752"/>
        <v>1</v>
      </c>
      <c r="BV631" s="2">
        <f t="shared" si="753"/>
        <v>0</v>
      </c>
      <c r="BW631" s="2">
        <f t="shared" si="754"/>
        <v>1</v>
      </c>
      <c r="BX631" s="2">
        <f t="shared" si="755"/>
        <v>5</v>
      </c>
      <c r="BY631" s="2">
        <f t="shared" si="756"/>
        <v>0</v>
      </c>
      <c r="BZ631" s="2">
        <f t="shared" ref="BZ631:CA631" si="841">SUM(AQ631)</f>
        <v>1</v>
      </c>
      <c r="CA631" s="2">
        <f t="shared" si="841"/>
        <v>1</v>
      </c>
      <c r="CB631" s="2">
        <f t="shared" si="758"/>
        <v>0</v>
      </c>
    </row>
    <row r="632" spans="1:80" ht="15" customHeight="1" x14ac:dyDescent="0.2">
      <c r="A632" s="3" t="s">
        <v>191</v>
      </c>
      <c r="B632" s="10">
        <v>826</v>
      </c>
      <c r="C632" s="5">
        <v>1</v>
      </c>
      <c r="D632" s="10">
        <v>0</v>
      </c>
      <c r="E632" s="10">
        <v>1</v>
      </c>
      <c r="F632" s="10">
        <v>1973</v>
      </c>
      <c r="G632" s="10">
        <v>2021</v>
      </c>
      <c r="H632" s="7" t="str">
        <f t="shared" si="751"/>
        <v>No</v>
      </c>
      <c r="I632" s="54" t="s">
        <v>55</v>
      </c>
      <c r="J632" s="8">
        <v>1</v>
      </c>
      <c r="K632" s="8" t="s">
        <v>63</v>
      </c>
      <c r="L632" s="8" t="s">
        <v>123</v>
      </c>
      <c r="M632" s="8" t="s">
        <v>123</v>
      </c>
      <c r="N632" s="8">
        <v>1</v>
      </c>
      <c r="O632" s="8">
        <v>0</v>
      </c>
      <c r="P632" s="8">
        <v>0</v>
      </c>
      <c r="Q632" s="8" t="s">
        <v>192</v>
      </c>
      <c r="R632" s="6" t="s">
        <v>195</v>
      </c>
      <c r="S632" s="8">
        <v>1</v>
      </c>
      <c r="T632" s="8">
        <v>1</v>
      </c>
      <c r="U632" s="8">
        <v>1</v>
      </c>
      <c r="V632" s="8">
        <v>1</v>
      </c>
      <c r="W632" s="8">
        <v>1</v>
      </c>
      <c r="X632" s="8">
        <v>0</v>
      </c>
      <c r="Y632" s="8">
        <v>1</v>
      </c>
      <c r="Z632" s="8">
        <v>1</v>
      </c>
      <c r="AA632" s="8" t="s">
        <v>194</v>
      </c>
      <c r="AB632" s="8">
        <v>0</v>
      </c>
      <c r="AC632" s="8">
        <v>0</v>
      </c>
      <c r="AD632" s="8">
        <v>0</v>
      </c>
      <c r="AE632" s="8">
        <v>0</v>
      </c>
      <c r="AF632" s="8">
        <v>1</v>
      </c>
      <c r="AG632" s="8">
        <v>0</v>
      </c>
      <c r="AH632" s="8">
        <v>0</v>
      </c>
      <c r="AI632" s="8">
        <v>1</v>
      </c>
      <c r="AJ632" s="8">
        <v>0</v>
      </c>
      <c r="AK632" s="8">
        <v>0</v>
      </c>
      <c r="AL632" s="8">
        <v>0</v>
      </c>
      <c r="AM632" s="8">
        <v>0</v>
      </c>
      <c r="AN632" s="8">
        <v>1</v>
      </c>
      <c r="AO632" s="8">
        <v>0</v>
      </c>
      <c r="AP632" s="8">
        <v>0</v>
      </c>
      <c r="AQ632" s="8">
        <v>1</v>
      </c>
      <c r="AR632" s="8">
        <v>1</v>
      </c>
      <c r="AS632" s="8">
        <v>0</v>
      </c>
      <c r="AT632" s="8">
        <v>0</v>
      </c>
      <c r="AU632" s="8">
        <v>1</v>
      </c>
      <c r="AV632" s="8">
        <v>0</v>
      </c>
      <c r="AW632" s="8">
        <v>1</v>
      </c>
      <c r="AX632" s="8">
        <v>0</v>
      </c>
      <c r="AY632" s="8">
        <v>0</v>
      </c>
      <c r="AZ632" s="8">
        <v>1</v>
      </c>
      <c r="BA632" s="8">
        <v>0</v>
      </c>
      <c r="BB632" s="8">
        <v>1</v>
      </c>
      <c r="BC632" s="8">
        <v>0</v>
      </c>
      <c r="BD632" s="8">
        <v>0</v>
      </c>
      <c r="BE632" s="8">
        <v>0</v>
      </c>
      <c r="BF632" s="8">
        <v>0</v>
      </c>
      <c r="BG632" s="8">
        <v>0</v>
      </c>
      <c r="BH632" s="8">
        <v>1</v>
      </c>
      <c r="BI632" s="8">
        <v>0</v>
      </c>
      <c r="BJ632" s="8">
        <v>0</v>
      </c>
      <c r="BK632" s="8">
        <v>0</v>
      </c>
      <c r="BL632" s="8">
        <v>0</v>
      </c>
      <c r="BM632" s="8">
        <v>0</v>
      </c>
      <c r="BN632" s="8">
        <v>0</v>
      </c>
      <c r="BO632" s="8">
        <v>0</v>
      </c>
      <c r="BP632" s="8">
        <v>0</v>
      </c>
      <c r="BQ632" s="8">
        <v>0</v>
      </c>
      <c r="BR632" s="8">
        <v>0</v>
      </c>
      <c r="BS632" s="8">
        <f t="shared" si="526"/>
        <v>9</v>
      </c>
      <c r="BT632" s="8"/>
      <c r="BU632" s="2">
        <f t="shared" si="752"/>
        <v>1</v>
      </c>
      <c r="BV632" s="2">
        <f t="shared" si="753"/>
        <v>0</v>
      </c>
      <c r="BW632" s="2">
        <f t="shared" si="754"/>
        <v>1</v>
      </c>
      <c r="BX632" s="2">
        <f t="shared" si="755"/>
        <v>5</v>
      </c>
      <c r="BY632" s="2">
        <f t="shared" si="756"/>
        <v>0</v>
      </c>
      <c r="BZ632" s="2">
        <f t="shared" ref="BZ632:CA632" si="842">SUM(AQ632)</f>
        <v>1</v>
      </c>
      <c r="CA632" s="2">
        <f t="shared" si="842"/>
        <v>1</v>
      </c>
      <c r="CB632" s="2">
        <f t="shared" si="758"/>
        <v>0</v>
      </c>
    </row>
    <row r="633" spans="1:80" ht="16" x14ac:dyDescent="0.2">
      <c r="A633" s="3" t="s">
        <v>191</v>
      </c>
      <c r="B633" s="10">
        <v>826</v>
      </c>
      <c r="C633" s="5">
        <v>1</v>
      </c>
      <c r="D633" s="10">
        <v>0</v>
      </c>
      <c r="E633" s="10">
        <v>1</v>
      </c>
      <c r="F633" s="10">
        <v>1973</v>
      </c>
      <c r="G633" s="10">
        <v>2022</v>
      </c>
      <c r="H633" s="7" t="str">
        <f>IF($I633="1", "Yes", "No")</f>
        <v>Yes</v>
      </c>
      <c r="I633" s="54" t="s">
        <v>56</v>
      </c>
      <c r="J633" s="8">
        <v>2</v>
      </c>
      <c r="K633" s="8" t="s">
        <v>59</v>
      </c>
      <c r="L633" s="8" t="s">
        <v>52</v>
      </c>
      <c r="M633" s="8" t="s">
        <v>52</v>
      </c>
      <c r="N633" s="8">
        <v>1</v>
      </c>
      <c r="O633" s="8">
        <v>0</v>
      </c>
      <c r="P633" s="8">
        <v>1</v>
      </c>
      <c r="Q633" s="8" t="s">
        <v>120</v>
      </c>
      <c r="R633" s="9">
        <v>0.25</v>
      </c>
      <c r="S633" s="8">
        <v>1</v>
      </c>
      <c r="T633" s="8">
        <v>1</v>
      </c>
      <c r="U633" s="8">
        <v>1</v>
      </c>
      <c r="V633" s="8">
        <v>1</v>
      </c>
      <c r="W633" s="8">
        <v>0</v>
      </c>
      <c r="X633" s="8">
        <v>0</v>
      </c>
      <c r="Y633" s="8">
        <v>1</v>
      </c>
      <c r="Z633" s="8">
        <v>1</v>
      </c>
      <c r="AA633" s="8" t="s">
        <v>194</v>
      </c>
      <c r="AB633" s="8">
        <v>0</v>
      </c>
      <c r="AC633" s="8">
        <v>0</v>
      </c>
      <c r="AD633" s="8">
        <v>0</v>
      </c>
      <c r="AE633" s="8">
        <v>0</v>
      </c>
      <c r="AF633" s="8">
        <v>1</v>
      </c>
      <c r="AG633" s="8">
        <v>0</v>
      </c>
      <c r="AH633" s="8">
        <v>0</v>
      </c>
      <c r="AI633" s="8">
        <v>1</v>
      </c>
      <c r="AJ633" s="8">
        <v>1</v>
      </c>
      <c r="AK633" s="8">
        <v>0</v>
      </c>
      <c r="AL633" s="8">
        <v>1</v>
      </c>
      <c r="AM633" s="8">
        <v>1</v>
      </c>
      <c r="AN633" s="8">
        <v>1</v>
      </c>
      <c r="AO633" s="8">
        <v>1</v>
      </c>
      <c r="AP633" s="8">
        <v>0</v>
      </c>
      <c r="AQ633" s="8">
        <v>1</v>
      </c>
      <c r="AR633" s="8">
        <v>1</v>
      </c>
      <c r="AS633" s="8">
        <v>1</v>
      </c>
      <c r="AT633" s="8">
        <v>0</v>
      </c>
      <c r="AU633" s="8">
        <v>1</v>
      </c>
      <c r="AV633" s="8">
        <v>1</v>
      </c>
      <c r="AW633" s="8">
        <v>1</v>
      </c>
      <c r="AX633" s="8">
        <v>1</v>
      </c>
      <c r="AY633" s="8">
        <v>1</v>
      </c>
      <c r="AZ633" s="8">
        <v>1</v>
      </c>
      <c r="BA633" s="8">
        <v>1</v>
      </c>
      <c r="BB633" s="8">
        <v>1</v>
      </c>
      <c r="BC633" s="8">
        <v>1</v>
      </c>
      <c r="BD633" s="8">
        <v>0</v>
      </c>
      <c r="BE633" s="8">
        <v>1</v>
      </c>
      <c r="BF633" s="8">
        <v>0</v>
      </c>
      <c r="BG633" s="8">
        <v>0</v>
      </c>
      <c r="BH633" s="8">
        <v>1</v>
      </c>
      <c r="BI633" s="8">
        <v>0</v>
      </c>
      <c r="BJ633" s="8">
        <v>0</v>
      </c>
      <c r="BK633" s="8">
        <v>1</v>
      </c>
      <c r="BL633" s="8">
        <v>1</v>
      </c>
      <c r="BM633" s="8">
        <v>1</v>
      </c>
      <c r="BN633" s="8">
        <v>0</v>
      </c>
      <c r="BO633" s="8">
        <v>0</v>
      </c>
      <c r="BP633" s="8">
        <v>0</v>
      </c>
      <c r="BQ633" s="8">
        <v>1</v>
      </c>
      <c r="BR633" s="8">
        <v>1</v>
      </c>
      <c r="BS633" s="8">
        <f>SUM(AI633:BR633)</f>
        <v>25</v>
      </c>
      <c r="BT633" s="8"/>
      <c r="BU633" s="2">
        <f>SUM(AI633,BK633)</f>
        <v>2</v>
      </c>
      <c r="BV633" s="2">
        <f>SUM(AK633, AL633, AM633,AJ633,BL633,BO633, AP633)</f>
        <v>4</v>
      </c>
      <c r="BW633" s="2">
        <f>SUM(AN633, AO633, AS633)</f>
        <v>3</v>
      </c>
      <c r="BX633" s="2">
        <f>SUM(AU633,AV633,AW633,AX633,AY633,AZ633,BA633,BB633,BC633,BD633,BE633,BF633,BG633,BH633,BI633,BJ633,BQ633,BR633,BM633)</f>
        <v>14</v>
      </c>
      <c r="BY633" s="2">
        <f>SUM(BP633, BN633)</f>
        <v>0</v>
      </c>
      <c r="BZ633" s="2">
        <f t="shared" ref="BZ633:CA633" si="843">SUM(AQ633)</f>
        <v>1</v>
      </c>
      <c r="CA633" s="2">
        <f t="shared" si="843"/>
        <v>1</v>
      </c>
      <c r="CB633" s="2">
        <f>SUM(AT633)</f>
        <v>0</v>
      </c>
    </row>
    <row r="634" spans="1:80" ht="16" x14ac:dyDescent="0.2">
      <c r="A634" s="3" t="s">
        <v>191</v>
      </c>
      <c r="B634" s="10">
        <v>826</v>
      </c>
      <c r="C634" s="5">
        <v>1</v>
      </c>
      <c r="D634" s="10">
        <v>0</v>
      </c>
      <c r="E634" s="10">
        <v>1</v>
      </c>
      <c r="F634" s="10">
        <v>1973</v>
      </c>
      <c r="G634" s="10">
        <v>2023</v>
      </c>
      <c r="H634" s="7" t="s">
        <v>98</v>
      </c>
      <c r="I634" s="54" t="s">
        <v>55</v>
      </c>
      <c r="J634" s="8">
        <v>2</v>
      </c>
      <c r="K634" s="8" t="s">
        <v>59</v>
      </c>
      <c r="L634" s="8" t="s">
        <v>52</v>
      </c>
      <c r="M634" s="8" t="s">
        <v>52</v>
      </c>
      <c r="N634" s="8">
        <v>1</v>
      </c>
      <c r="O634" s="8">
        <v>0</v>
      </c>
      <c r="P634" s="8">
        <v>1</v>
      </c>
      <c r="Q634" s="8" t="s">
        <v>120</v>
      </c>
      <c r="R634" s="9">
        <v>0.25</v>
      </c>
      <c r="S634" s="8">
        <v>1</v>
      </c>
      <c r="T634" s="8">
        <v>1</v>
      </c>
      <c r="U634" s="8">
        <v>1</v>
      </c>
      <c r="V634" s="8">
        <v>1</v>
      </c>
      <c r="W634" s="8">
        <v>0</v>
      </c>
      <c r="X634" s="8">
        <v>0</v>
      </c>
      <c r="Y634" s="8">
        <v>1</v>
      </c>
      <c r="Z634" s="8">
        <v>1</v>
      </c>
      <c r="AA634" s="8" t="s">
        <v>194</v>
      </c>
      <c r="AB634" s="8">
        <v>0</v>
      </c>
      <c r="AC634" s="8">
        <v>0</v>
      </c>
      <c r="AD634" s="8">
        <v>0</v>
      </c>
      <c r="AE634" s="8">
        <v>0</v>
      </c>
      <c r="AF634" s="8">
        <v>1</v>
      </c>
      <c r="AG634" s="8">
        <v>0</v>
      </c>
      <c r="AH634" s="8">
        <v>0</v>
      </c>
      <c r="AI634" s="8">
        <v>1</v>
      </c>
      <c r="AJ634" s="8">
        <v>1</v>
      </c>
      <c r="AK634" s="8">
        <v>0</v>
      </c>
      <c r="AL634" s="8">
        <v>1</v>
      </c>
      <c r="AM634" s="8">
        <v>1</v>
      </c>
      <c r="AN634" s="8">
        <v>1</v>
      </c>
      <c r="AO634" s="8">
        <v>1</v>
      </c>
      <c r="AP634" s="8">
        <v>0</v>
      </c>
      <c r="AQ634" s="8">
        <v>1</v>
      </c>
      <c r="AR634" s="8">
        <v>1</v>
      </c>
      <c r="AS634" s="8">
        <v>1</v>
      </c>
      <c r="AT634" s="8">
        <v>0</v>
      </c>
      <c r="AU634" s="8">
        <v>1</v>
      </c>
      <c r="AV634" s="8">
        <v>1</v>
      </c>
      <c r="AW634" s="8">
        <v>1</v>
      </c>
      <c r="AX634" s="8">
        <v>1</v>
      </c>
      <c r="AY634" s="8">
        <v>1</v>
      </c>
      <c r="AZ634" s="8">
        <v>1</v>
      </c>
      <c r="BA634" s="8">
        <v>1</v>
      </c>
      <c r="BB634" s="8">
        <v>1</v>
      </c>
      <c r="BC634" s="8">
        <v>1</v>
      </c>
      <c r="BD634" s="8">
        <v>0</v>
      </c>
      <c r="BE634" s="8">
        <v>1</v>
      </c>
      <c r="BF634" s="8">
        <v>0</v>
      </c>
      <c r="BG634" s="8">
        <v>0</v>
      </c>
      <c r="BH634" s="8">
        <v>1</v>
      </c>
      <c r="BI634" s="8">
        <v>0</v>
      </c>
      <c r="BJ634" s="8">
        <v>0</v>
      </c>
      <c r="BK634" s="8">
        <v>1</v>
      </c>
      <c r="BL634" s="8">
        <v>1</v>
      </c>
      <c r="BM634" s="8">
        <v>1</v>
      </c>
      <c r="BN634" s="8">
        <v>0</v>
      </c>
      <c r="BO634" s="8">
        <v>0</v>
      </c>
      <c r="BP634" s="8">
        <v>0</v>
      </c>
      <c r="BQ634" s="8">
        <v>1</v>
      </c>
      <c r="BR634" s="8">
        <v>1</v>
      </c>
      <c r="BS634" s="8">
        <f>SUM(AI634:BR634)</f>
        <v>25</v>
      </c>
      <c r="BT634" s="8"/>
      <c r="BU634" s="2">
        <f>SUM(AI634,BK634)</f>
        <v>2</v>
      </c>
      <c r="BV634" s="2">
        <f>SUM(AK634, AL634, AM634,AJ634,BL634,BO634, AP634)</f>
        <v>4</v>
      </c>
      <c r="BW634" s="2">
        <f>SUM(AN634, AO634, AS634)</f>
        <v>3</v>
      </c>
      <c r="BX634" s="2">
        <f>SUM(AU634,AV634,AW634,AX634,AY634,AZ634,BA634,BB634,BC634,BD634,BE634,BF634,BG634,BH634,BI634,BJ634,BQ634,BR634,BM634)</f>
        <v>14</v>
      </c>
      <c r="BY634" s="2">
        <f>SUM(BP634, BN634)</f>
        <v>0</v>
      </c>
      <c r="BZ634" s="2">
        <f>SUM(AQ634)</f>
        <v>1</v>
      </c>
      <c r="CA634" s="2">
        <f>SUM(AR634)</f>
        <v>1</v>
      </c>
      <c r="CB634" s="2">
        <f>SUM(AT634)</f>
        <v>0</v>
      </c>
    </row>
    <row r="635" spans="1:80" ht="16" x14ac:dyDescent="0.2">
      <c r="A635" s="3" t="s">
        <v>196</v>
      </c>
      <c r="B635" s="10">
        <v>840</v>
      </c>
      <c r="C635" s="5">
        <v>1</v>
      </c>
      <c r="D635" s="10">
        <v>0</v>
      </c>
      <c r="E635" s="10">
        <v>1</v>
      </c>
      <c r="F635" s="10">
        <v>1975</v>
      </c>
      <c r="G635" s="10">
        <v>2007</v>
      </c>
      <c r="H635" s="7" t="str">
        <f t="shared" si="751"/>
        <v>Yes</v>
      </c>
      <c r="I635" s="54" t="s">
        <v>56</v>
      </c>
      <c r="J635" s="8">
        <v>1</v>
      </c>
      <c r="K635" s="8" t="s">
        <v>51</v>
      </c>
      <c r="L635" s="8" t="s">
        <v>123</v>
      </c>
      <c r="M635" s="8" t="s">
        <v>123</v>
      </c>
      <c r="N635" s="8">
        <v>1</v>
      </c>
      <c r="O635" s="8">
        <v>0</v>
      </c>
      <c r="P635" s="8">
        <v>0</v>
      </c>
      <c r="Q635" s="8" t="s">
        <v>67</v>
      </c>
      <c r="R635" s="9">
        <v>0.1</v>
      </c>
      <c r="S635" s="8">
        <v>0</v>
      </c>
      <c r="T635" s="8">
        <v>0</v>
      </c>
      <c r="U635" s="8">
        <v>1</v>
      </c>
      <c r="V635" s="8">
        <v>0</v>
      </c>
      <c r="W635" s="8">
        <v>1</v>
      </c>
      <c r="X635" s="8">
        <v>0</v>
      </c>
      <c r="Y635" s="8">
        <v>0</v>
      </c>
      <c r="Z635" s="8">
        <v>1</v>
      </c>
      <c r="AA635" s="8" t="s">
        <v>197</v>
      </c>
      <c r="AB635" s="8">
        <v>0</v>
      </c>
      <c r="AC635" s="8">
        <v>0</v>
      </c>
      <c r="AD635" s="8">
        <v>1</v>
      </c>
      <c r="AE635" s="8">
        <v>0</v>
      </c>
      <c r="AF635" s="8">
        <v>0</v>
      </c>
      <c r="AG635" s="8">
        <v>0</v>
      </c>
      <c r="AH635" s="8">
        <v>0</v>
      </c>
      <c r="AI635" s="8">
        <v>0</v>
      </c>
      <c r="AJ635" s="8">
        <v>0</v>
      </c>
      <c r="AK635" s="8">
        <v>0</v>
      </c>
      <c r="AL635" s="8">
        <v>0</v>
      </c>
      <c r="AM635" s="8">
        <v>0</v>
      </c>
      <c r="AN635" s="8">
        <v>0</v>
      </c>
      <c r="AO635" s="8">
        <v>0</v>
      </c>
      <c r="AP635" s="8">
        <v>0</v>
      </c>
      <c r="AQ635" s="8">
        <v>0</v>
      </c>
      <c r="AR635" s="8">
        <v>0</v>
      </c>
      <c r="AS635" s="8">
        <v>0</v>
      </c>
      <c r="AT635" s="8">
        <v>0</v>
      </c>
      <c r="AU635" s="8">
        <v>0</v>
      </c>
      <c r="AV635" s="8">
        <v>0</v>
      </c>
      <c r="AW635" s="8">
        <v>0</v>
      </c>
      <c r="AX635" s="8">
        <v>0</v>
      </c>
      <c r="AY635" s="8">
        <v>0</v>
      </c>
      <c r="AZ635" s="8">
        <v>0</v>
      </c>
      <c r="BA635" s="8">
        <v>0</v>
      </c>
      <c r="BB635" s="8">
        <v>0</v>
      </c>
      <c r="BC635" s="8">
        <v>0</v>
      </c>
      <c r="BD635" s="8">
        <v>0</v>
      </c>
      <c r="BE635" s="8">
        <v>0</v>
      </c>
      <c r="BF635" s="8">
        <v>0</v>
      </c>
      <c r="BG635" s="8">
        <v>0</v>
      </c>
      <c r="BH635" s="8">
        <v>0</v>
      </c>
      <c r="BI635" s="8">
        <v>0</v>
      </c>
      <c r="BJ635" s="8">
        <v>0</v>
      </c>
      <c r="BK635" s="8">
        <v>0</v>
      </c>
      <c r="BL635" s="8">
        <v>0</v>
      </c>
      <c r="BM635" s="8">
        <v>0</v>
      </c>
      <c r="BN635" s="8">
        <v>0</v>
      </c>
      <c r="BO635" s="8">
        <v>0</v>
      </c>
      <c r="BP635" s="8">
        <v>0</v>
      </c>
      <c r="BQ635" s="8">
        <v>0</v>
      </c>
      <c r="BR635" s="8">
        <v>0</v>
      </c>
      <c r="BS635" s="8">
        <f t="shared" si="526"/>
        <v>0</v>
      </c>
      <c r="BT635" s="8"/>
      <c r="BU635" s="2">
        <f t="shared" si="752"/>
        <v>0</v>
      </c>
      <c r="BV635" s="2">
        <f t="shared" si="753"/>
        <v>0</v>
      </c>
      <c r="BW635" s="2">
        <f t="shared" si="754"/>
        <v>0</v>
      </c>
      <c r="BX635" s="2">
        <f t="shared" si="755"/>
        <v>0</v>
      </c>
      <c r="BY635" s="2">
        <f t="shared" si="756"/>
        <v>0</v>
      </c>
      <c r="BZ635" s="2">
        <f t="shared" ref="BZ635:CA635" si="844">SUM(AQ635)</f>
        <v>0</v>
      </c>
      <c r="CA635" s="2">
        <f t="shared" si="844"/>
        <v>0</v>
      </c>
      <c r="CB635" s="2">
        <f t="shared" si="758"/>
        <v>0</v>
      </c>
    </row>
    <row r="636" spans="1:80" ht="16" x14ac:dyDescent="0.2">
      <c r="A636" s="3" t="s">
        <v>196</v>
      </c>
      <c r="B636" s="10">
        <v>840</v>
      </c>
      <c r="C636" s="5">
        <v>1</v>
      </c>
      <c r="D636" s="10">
        <v>0</v>
      </c>
      <c r="E636" s="10">
        <v>1</v>
      </c>
      <c r="F636" s="10">
        <v>1975</v>
      </c>
      <c r="G636" s="10">
        <v>2008</v>
      </c>
      <c r="H636" s="7" t="str">
        <f t="shared" si="751"/>
        <v>No</v>
      </c>
      <c r="I636" s="54" t="s">
        <v>55</v>
      </c>
      <c r="J636" s="8">
        <v>1</v>
      </c>
      <c r="K636" s="8" t="s">
        <v>51</v>
      </c>
      <c r="L636" s="8" t="s">
        <v>123</v>
      </c>
      <c r="M636" s="8" t="s">
        <v>123</v>
      </c>
      <c r="N636" s="8">
        <v>1</v>
      </c>
      <c r="O636" s="8">
        <v>0</v>
      </c>
      <c r="P636" s="8">
        <v>0</v>
      </c>
      <c r="Q636" s="8" t="s">
        <v>67</v>
      </c>
      <c r="R636" s="9">
        <v>0.1</v>
      </c>
      <c r="S636" s="8">
        <v>0</v>
      </c>
      <c r="T636" s="8">
        <v>0</v>
      </c>
      <c r="U636" s="8">
        <v>1</v>
      </c>
      <c r="V636" s="8">
        <v>0</v>
      </c>
      <c r="W636" s="8">
        <v>1</v>
      </c>
      <c r="X636" s="8">
        <v>0</v>
      </c>
      <c r="Y636" s="8">
        <v>0</v>
      </c>
      <c r="Z636" s="8">
        <v>1</v>
      </c>
      <c r="AA636" s="8" t="s">
        <v>197</v>
      </c>
      <c r="AB636" s="8">
        <v>0</v>
      </c>
      <c r="AC636" s="8">
        <v>0</v>
      </c>
      <c r="AD636" s="8">
        <v>1</v>
      </c>
      <c r="AE636" s="8">
        <v>0</v>
      </c>
      <c r="AF636" s="8">
        <v>0</v>
      </c>
      <c r="AG636" s="8">
        <v>0</v>
      </c>
      <c r="AH636" s="8">
        <v>0</v>
      </c>
      <c r="AI636" s="8">
        <v>0</v>
      </c>
      <c r="AJ636" s="8">
        <v>0</v>
      </c>
      <c r="AK636" s="8">
        <v>0</v>
      </c>
      <c r="AL636" s="8">
        <v>0</v>
      </c>
      <c r="AM636" s="8">
        <v>0</v>
      </c>
      <c r="AN636" s="8">
        <v>0</v>
      </c>
      <c r="AO636" s="8">
        <v>0</v>
      </c>
      <c r="AP636" s="8">
        <v>0</v>
      </c>
      <c r="AQ636" s="8">
        <v>0</v>
      </c>
      <c r="AR636" s="8">
        <v>0</v>
      </c>
      <c r="AS636" s="8">
        <v>0</v>
      </c>
      <c r="AT636" s="8">
        <v>0</v>
      </c>
      <c r="AU636" s="8">
        <v>0</v>
      </c>
      <c r="AV636" s="8">
        <v>0</v>
      </c>
      <c r="AW636" s="8">
        <v>0</v>
      </c>
      <c r="AX636" s="8">
        <v>0</v>
      </c>
      <c r="AY636" s="8">
        <v>0</v>
      </c>
      <c r="AZ636" s="8">
        <v>0</v>
      </c>
      <c r="BA636" s="8">
        <v>0</v>
      </c>
      <c r="BB636" s="8">
        <v>0</v>
      </c>
      <c r="BC636" s="8">
        <v>0</v>
      </c>
      <c r="BD636" s="8">
        <v>0</v>
      </c>
      <c r="BE636" s="8">
        <v>0</v>
      </c>
      <c r="BF636" s="8">
        <v>0</v>
      </c>
      <c r="BG636" s="8">
        <v>0</v>
      </c>
      <c r="BH636" s="8">
        <v>0</v>
      </c>
      <c r="BI636" s="8">
        <v>0</v>
      </c>
      <c r="BJ636" s="8">
        <v>0</v>
      </c>
      <c r="BK636" s="8">
        <v>0</v>
      </c>
      <c r="BL636" s="8">
        <v>0</v>
      </c>
      <c r="BM636" s="8">
        <v>0</v>
      </c>
      <c r="BN636" s="8">
        <v>0</v>
      </c>
      <c r="BO636" s="8">
        <v>0</v>
      </c>
      <c r="BP636" s="8">
        <v>0</v>
      </c>
      <c r="BQ636" s="8">
        <v>0</v>
      </c>
      <c r="BR636" s="8">
        <v>0</v>
      </c>
      <c r="BS636" s="8">
        <f t="shared" si="526"/>
        <v>0</v>
      </c>
      <c r="BT636" s="8"/>
      <c r="BU636" s="2">
        <f t="shared" si="752"/>
        <v>0</v>
      </c>
      <c r="BV636" s="2">
        <f t="shared" si="753"/>
        <v>0</v>
      </c>
      <c r="BW636" s="2">
        <f t="shared" si="754"/>
        <v>0</v>
      </c>
      <c r="BX636" s="2">
        <f t="shared" si="755"/>
        <v>0</v>
      </c>
      <c r="BY636" s="2">
        <f t="shared" si="756"/>
        <v>0</v>
      </c>
      <c r="BZ636" s="2">
        <f t="shared" ref="BZ636:CA636" si="845">SUM(AQ636)</f>
        <v>0</v>
      </c>
      <c r="CA636" s="2">
        <f t="shared" si="845"/>
        <v>0</v>
      </c>
      <c r="CB636" s="2">
        <f t="shared" si="758"/>
        <v>0</v>
      </c>
    </row>
    <row r="637" spans="1:80" ht="16" x14ac:dyDescent="0.2">
      <c r="A637" s="3" t="s">
        <v>196</v>
      </c>
      <c r="B637" s="10">
        <v>840</v>
      </c>
      <c r="C637" s="5">
        <v>1</v>
      </c>
      <c r="D637" s="10">
        <v>0</v>
      </c>
      <c r="E637" s="10">
        <v>1</v>
      </c>
      <c r="F637" s="10">
        <v>1975</v>
      </c>
      <c r="G637" s="10">
        <v>2009</v>
      </c>
      <c r="H637" s="7" t="str">
        <f t="shared" si="751"/>
        <v>No</v>
      </c>
      <c r="I637" s="54" t="s">
        <v>55</v>
      </c>
      <c r="J637" s="8">
        <v>1</v>
      </c>
      <c r="K637" s="8" t="s">
        <v>51</v>
      </c>
      <c r="L637" s="8" t="s">
        <v>123</v>
      </c>
      <c r="M637" s="8" t="s">
        <v>123</v>
      </c>
      <c r="N637" s="8">
        <v>1</v>
      </c>
      <c r="O637" s="8">
        <v>0</v>
      </c>
      <c r="P637" s="8">
        <v>0</v>
      </c>
      <c r="Q637" s="8" t="s">
        <v>67</v>
      </c>
      <c r="R637" s="9">
        <v>0.1</v>
      </c>
      <c r="S637" s="8">
        <v>0</v>
      </c>
      <c r="T637" s="8">
        <v>0</v>
      </c>
      <c r="U637" s="8">
        <v>1</v>
      </c>
      <c r="V637" s="8">
        <v>0</v>
      </c>
      <c r="W637" s="8">
        <v>1</v>
      </c>
      <c r="X637" s="8">
        <v>0</v>
      </c>
      <c r="Y637" s="8">
        <v>0</v>
      </c>
      <c r="Z637" s="8">
        <v>1</v>
      </c>
      <c r="AA637" s="8" t="s">
        <v>197</v>
      </c>
      <c r="AB637" s="8">
        <v>0</v>
      </c>
      <c r="AC637" s="8">
        <v>0</v>
      </c>
      <c r="AD637" s="8">
        <v>1</v>
      </c>
      <c r="AE637" s="8">
        <v>0</v>
      </c>
      <c r="AF637" s="8">
        <v>0</v>
      </c>
      <c r="AG637" s="8">
        <v>0</v>
      </c>
      <c r="AH637" s="8">
        <v>0</v>
      </c>
      <c r="AI637" s="8">
        <v>0</v>
      </c>
      <c r="AJ637" s="8">
        <v>0</v>
      </c>
      <c r="AK637" s="8">
        <v>0</v>
      </c>
      <c r="AL637" s="8">
        <v>0</v>
      </c>
      <c r="AM637" s="8">
        <v>0</v>
      </c>
      <c r="AN637" s="8">
        <v>0</v>
      </c>
      <c r="AO637" s="8">
        <v>0</v>
      </c>
      <c r="AP637" s="8">
        <v>0</v>
      </c>
      <c r="AQ637" s="8">
        <v>0</v>
      </c>
      <c r="AR637" s="8">
        <v>0</v>
      </c>
      <c r="AS637" s="8">
        <v>0</v>
      </c>
      <c r="AT637" s="8">
        <v>0</v>
      </c>
      <c r="AU637" s="8">
        <v>0</v>
      </c>
      <c r="AV637" s="8">
        <v>0</v>
      </c>
      <c r="AW637" s="8">
        <v>0</v>
      </c>
      <c r="AX637" s="8">
        <v>0</v>
      </c>
      <c r="AY637" s="8">
        <v>0</v>
      </c>
      <c r="AZ637" s="8">
        <v>0</v>
      </c>
      <c r="BA637" s="8">
        <v>0</v>
      </c>
      <c r="BB637" s="8">
        <v>0</v>
      </c>
      <c r="BC637" s="8">
        <v>0</v>
      </c>
      <c r="BD637" s="8">
        <v>0</v>
      </c>
      <c r="BE637" s="8">
        <v>0</v>
      </c>
      <c r="BF637" s="8">
        <v>0</v>
      </c>
      <c r="BG637" s="8">
        <v>0</v>
      </c>
      <c r="BH637" s="8">
        <v>0</v>
      </c>
      <c r="BI637" s="8">
        <v>0</v>
      </c>
      <c r="BJ637" s="8">
        <v>0</v>
      </c>
      <c r="BK637" s="8">
        <v>0</v>
      </c>
      <c r="BL637" s="8">
        <v>0</v>
      </c>
      <c r="BM637" s="8">
        <v>0</v>
      </c>
      <c r="BN637" s="8">
        <v>0</v>
      </c>
      <c r="BO637" s="8">
        <v>0</v>
      </c>
      <c r="BP637" s="8">
        <v>0</v>
      </c>
      <c r="BQ637" s="8">
        <v>0</v>
      </c>
      <c r="BR637" s="8">
        <v>0</v>
      </c>
      <c r="BS637" s="8">
        <f t="shared" si="526"/>
        <v>0</v>
      </c>
      <c r="BT637" s="8"/>
      <c r="BU637" s="2">
        <f t="shared" si="752"/>
        <v>0</v>
      </c>
      <c r="BV637" s="2">
        <f t="shared" si="753"/>
        <v>0</v>
      </c>
      <c r="BW637" s="2">
        <f t="shared" si="754"/>
        <v>0</v>
      </c>
      <c r="BX637" s="2">
        <f t="shared" si="755"/>
        <v>0</v>
      </c>
      <c r="BY637" s="2">
        <f t="shared" si="756"/>
        <v>0</v>
      </c>
      <c r="BZ637" s="2">
        <f t="shared" ref="BZ637:CA637" si="846">SUM(AQ637)</f>
        <v>0</v>
      </c>
      <c r="CA637" s="2">
        <f t="shared" si="846"/>
        <v>0</v>
      </c>
      <c r="CB637" s="2">
        <f t="shared" si="758"/>
        <v>0</v>
      </c>
    </row>
    <row r="638" spans="1:80" ht="16" x14ac:dyDescent="0.2">
      <c r="A638" s="3" t="s">
        <v>196</v>
      </c>
      <c r="B638" s="10">
        <v>840</v>
      </c>
      <c r="C638" s="5">
        <v>1</v>
      </c>
      <c r="D638" s="10">
        <v>0</v>
      </c>
      <c r="E638" s="10">
        <v>1</v>
      </c>
      <c r="F638" s="10">
        <v>1975</v>
      </c>
      <c r="G638" s="10">
        <v>2010</v>
      </c>
      <c r="H638" s="7" t="str">
        <f t="shared" si="751"/>
        <v>No</v>
      </c>
      <c r="I638" s="54" t="s">
        <v>55</v>
      </c>
      <c r="J638" s="8">
        <v>1</v>
      </c>
      <c r="K638" s="8" t="s">
        <v>51</v>
      </c>
      <c r="L638" s="8" t="s">
        <v>123</v>
      </c>
      <c r="M638" s="8" t="s">
        <v>123</v>
      </c>
      <c r="N638" s="8">
        <v>1</v>
      </c>
      <c r="O638" s="8">
        <v>0</v>
      </c>
      <c r="P638" s="8">
        <v>0</v>
      </c>
      <c r="Q638" s="8" t="s">
        <v>67</v>
      </c>
      <c r="R638" s="9">
        <v>0.1</v>
      </c>
      <c r="S638" s="8">
        <v>0</v>
      </c>
      <c r="T638" s="8">
        <v>0</v>
      </c>
      <c r="U638" s="8">
        <v>1</v>
      </c>
      <c r="V638" s="8">
        <v>0</v>
      </c>
      <c r="W638" s="8">
        <v>1</v>
      </c>
      <c r="X638" s="8">
        <v>0</v>
      </c>
      <c r="Y638" s="8">
        <v>0</v>
      </c>
      <c r="Z638" s="8">
        <v>1</v>
      </c>
      <c r="AA638" s="8" t="s">
        <v>197</v>
      </c>
      <c r="AB638" s="8">
        <v>0</v>
      </c>
      <c r="AC638" s="8">
        <v>0</v>
      </c>
      <c r="AD638" s="8">
        <v>1</v>
      </c>
      <c r="AE638" s="8">
        <v>0</v>
      </c>
      <c r="AF638" s="8">
        <v>0</v>
      </c>
      <c r="AG638" s="8">
        <v>0</v>
      </c>
      <c r="AH638" s="8">
        <v>0</v>
      </c>
      <c r="AI638" s="8">
        <v>0</v>
      </c>
      <c r="AJ638" s="8">
        <v>0</v>
      </c>
      <c r="AK638" s="8">
        <v>0</v>
      </c>
      <c r="AL638" s="8">
        <v>0</v>
      </c>
      <c r="AM638" s="8">
        <v>0</v>
      </c>
      <c r="AN638" s="8">
        <v>0</v>
      </c>
      <c r="AO638" s="8">
        <v>0</v>
      </c>
      <c r="AP638" s="8">
        <v>0</v>
      </c>
      <c r="AQ638" s="8">
        <v>0</v>
      </c>
      <c r="AR638" s="8">
        <v>0</v>
      </c>
      <c r="AS638" s="8">
        <v>0</v>
      </c>
      <c r="AT638" s="8">
        <v>0</v>
      </c>
      <c r="AU638" s="8">
        <v>0</v>
      </c>
      <c r="AV638" s="8">
        <v>0</v>
      </c>
      <c r="AW638" s="8">
        <v>0</v>
      </c>
      <c r="AX638" s="8">
        <v>0</v>
      </c>
      <c r="AY638" s="8">
        <v>0</v>
      </c>
      <c r="AZ638" s="8">
        <v>0</v>
      </c>
      <c r="BA638" s="8">
        <v>0</v>
      </c>
      <c r="BB638" s="8">
        <v>0</v>
      </c>
      <c r="BC638" s="8">
        <v>0</v>
      </c>
      <c r="BD638" s="8">
        <v>0</v>
      </c>
      <c r="BE638" s="8">
        <v>0</v>
      </c>
      <c r="BF638" s="8">
        <v>0</v>
      </c>
      <c r="BG638" s="8">
        <v>0</v>
      </c>
      <c r="BH638" s="8">
        <v>0</v>
      </c>
      <c r="BI638" s="8">
        <v>0</v>
      </c>
      <c r="BJ638" s="8">
        <v>0</v>
      </c>
      <c r="BK638" s="8">
        <v>0</v>
      </c>
      <c r="BL638" s="8">
        <v>0</v>
      </c>
      <c r="BM638" s="8">
        <v>0</v>
      </c>
      <c r="BN638" s="8">
        <v>0</v>
      </c>
      <c r="BO638" s="8">
        <v>0</v>
      </c>
      <c r="BP638" s="8">
        <v>0</v>
      </c>
      <c r="BQ638" s="8">
        <v>0</v>
      </c>
      <c r="BR638" s="8">
        <v>0</v>
      </c>
      <c r="BS638" s="8">
        <f t="shared" ref="BS638:BS650" si="847">SUM(AI638:BR638)</f>
        <v>0</v>
      </c>
      <c r="BT638" s="8"/>
      <c r="BU638" s="2">
        <f t="shared" si="752"/>
        <v>0</v>
      </c>
      <c r="BV638" s="2">
        <f t="shared" si="753"/>
        <v>0</v>
      </c>
      <c r="BW638" s="2">
        <f t="shared" si="754"/>
        <v>0</v>
      </c>
      <c r="BX638" s="2">
        <f t="shared" si="755"/>
        <v>0</v>
      </c>
      <c r="BY638" s="2">
        <f t="shared" si="756"/>
        <v>0</v>
      </c>
      <c r="BZ638" s="2">
        <f t="shared" ref="BZ638:CA638" si="848">SUM(AQ638)</f>
        <v>0</v>
      </c>
      <c r="CA638" s="2">
        <f t="shared" si="848"/>
        <v>0</v>
      </c>
      <c r="CB638" s="2">
        <f t="shared" si="758"/>
        <v>0</v>
      </c>
    </row>
    <row r="639" spans="1:80" ht="16" x14ac:dyDescent="0.2">
      <c r="A639" s="3" t="s">
        <v>196</v>
      </c>
      <c r="B639" s="10">
        <v>840</v>
      </c>
      <c r="C639" s="5">
        <v>1</v>
      </c>
      <c r="D639" s="10">
        <v>0</v>
      </c>
      <c r="E639" s="10">
        <v>1</v>
      </c>
      <c r="F639" s="10">
        <v>1975</v>
      </c>
      <c r="G639" s="10">
        <v>2011</v>
      </c>
      <c r="H639" s="7" t="str">
        <f t="shared" si="751"/>
        <v>No</v>
      </c>
      <c r="I639" s="54" t="s">
        <v>55</v>
      </c>
      <c r="J639" s="8">
        <v>1</v>
      </c>
      <c r="K639" s="8" t="s">
        <v>51</v>
      </c>
      <c r="L639" s="8" t="s">
        <v>123</v>
      </c>
      <c r="M639" s="8" t="s">
        <v>123</v>
      </c>
      <c r="N639" s="8">
        <v>1</v>
      </c>
      <c r="O639" s="8">
        <v>0</v>
      </c>
      <c r="P639" s="8">
        <v>0</v>
      </c>
      <c r="Q639" s="8" t="s">
        <v>67</v>
      </c>
      <c r="R639" s="9">
        <v>0.1</v>
      </c>
      <c r="S639" s="8">
        <v>0</v>
      </c>
      <c r="T639" s="8">
        <v>0</v>
      </c>
      <c r="U639" s="8">
        <v>1</v>
      </c>
      <c r="V639" s="8">
        <v>0</v>
      </c>
      <c r="W639" s="8">
        <v>1</v>
      </c>
      <c r="X639" s="8">
        <v>0</v>
      </c>
      <c r="Y639" s="8">
        <v>0</v>
      </c>
      <c r="Z639" s="8">
        <v>1</v>
      </c>
      <c r="AA639" s="8" t="s">
        <v>197</v>
      </c>
      <c r="AB639" s="8">
        <v>0</v>
      </c>
      <c r="AC639" s="8">
        <v>0</v>
      </c>
      <c r="AD639" s="8">
        <v>1</v>
      </c>
      <c r="AE639" s="8">
        <v>0</v>
      </c>
      <c r="AF639" s="8">
        <v>0</v>
      </c>
      <c r="AG639" s="8">
        <v>0</v>
      </c>
      <c r="AH639" s="8">
        <v>0</v>
      </c>
      <c r="AI639" s="8">
        <v>0</v>
      </c>
      <c r="AJ639" s="8">
        <v>0</v>
      </c>
      <c r="AK639" s="8">
        <v>0</v>
      </c>
      <c r="AL639" s="8">
        <v>0</v>
      </c>
      <c r="AM639" s="8">
        <v>0</v>
      </c>
      <c r="AN639" s="8">
        <v>0</v>
      </c>
      <c r="AO639" s="8">
        <v>0</v>
      </c>
      <c r="AP639" s="8">
        <v>0</v>
      </c>
      <c r="AQ639" s="8">
        <v>0</v>
      </c>
      <c r="AR639" s="8">
        <v>0</v>
      </c>
      <c r="AS639" s="8">
        <v>0</v>
      </c>
      <c r="AT639" s="8">
        <v>0</v>
      </c>
      <c r="AU639" s="8">
        <v>0</v>
      </c>
      <c r="AV639" s="8">
        <v>0</v>
      </c>
      <c r="AW639" s="8">
        <v>0</v>
      </c>
      <c r="AX639" s="8">
        <v>0</v>
      </c>
      <c r="AY639" s="8">
        <v>0</v>
      </c>
      <c r="AZ639" s="8">
        <v>0</v>
      </c>
      <c r="BA639" s="8">
        <v>0</v>
      </c>
      <c r="BB639" s="8">
        <v>0</v>
      </c>
      <c r="BC639" s="8">
        <v>0</v>
      </c>
      <c r="BD639" s="8">
        <v>0</v>
      </c>
      <c r="BE639" s="8">
        <v>0</v>
      </c>
      <c r="BF639" s="8">
        <v>0</v>
      </c>
      <c r="BG639" s="8">
        <v>0</v>
      </c>
      <c r="BH639" s="8">
        <v>0</v>
      </c>
      <c r="BI639" s="8">
        <v>0</v>
      </c>
      <c r="BJ639" s="8">
        <v>0</v>
      </c>
      <c r="BK639" s="8">
        <v>0</v>
      </c>
      <c r="BL639" s="8">
        <v>0</v>
      </c>
      <c r="BM639" s="8">
        <v>0</v>
      </c>
      <c r="BN639" s="8">
        <v>0</v>
      </c>
      <c r="BO639" s="8">
        <v>0</v>
      </c>
      <c r="BP639" s="8">
        <v>0</v>
      </c>
      <c r="BQ639" s="8">
        <v>0</v>
      </c>
      <c r="BR639" s="8">
        <v>0</v>
      </c>
      <c r="BS639" s="8">
        <f t="shared" si="847"/>
        <v>0</v>
      </c>
      <c r="BT639" s="8"/>
      <c r="BU639" s="2">
        <f t="shared" si="752"/>
        <v>0</v>
      </c>
      <c r="BV639" s="2">
        <f t="shared" si="753"/>
        <v>0</v>
      </c>
      <c r="BW639" s="2">
        <f t="shared" si="754"/>
        <v>0</v>
      </c>
      <c r="BX639" s="2">
        <f t="shared" si="755"/>
        <v>0</v>
      </c>
      <c r="BY639" s="2">
        <f t="shared" si="756"/>
        <v>0</v>
      </c>
      <c r="BZ639" s="2">
        <f t="shared" ref="BZ639:CA639" si="849">SUM(AQ639)</f>
        <v>0</v>
      </c>
      <c r="CA639" s="2">
        <f t="shared" si="849"/>
        <v>0</v>
      </c>
      <c r="CB639" s="2">
        <f t="shared" si="758"/>
        <v>0</v>
      </c>
    </row>
    <row r="640" spans="1:80" ht="16" x14ac:dyDescent="0.2">
      <c r="A640" s="3" t="s">
        <v>196</v>
      </c>
      <c r="B640" s="10">
        <v>840</v>
      </c>
      <c r="C640" s="5">
        <v>1</v>
      </c>
      <c r="D640" s="10">
        <v>0</v>
      </c>
      <c r="E640" s="10">
        <v>1</v>
      </c>
      <c r="F640" s="10">
        <v>1975</v>
      </c>
      <c r="G640" s="10">
        <v>2012</v>
      </c>
      <c r="H640" s="7" t="str">
        <f t="shared" si="751"/>
        <v>No</v>
      </c>
      <c r="I640" s="54" t="s">
        <v>55</v>
      </c>
      <c r="J640" s="8">
        <v>1</v>
      </c>
      <c r="K640" s="8" t="s">
        <v>51</v>
      </c>
      <c r="L640" s="8" t="s">
        <v>123</v>
      </c>
      <c r="M640" s="8" t="s">
        <v>123</v>
      </c>
      <c r="N640" s="8">
        <v>1</v>
      </c>
      <c r="O640" s="8">
        <v>0</v>
      </c>
      <c r="P640" s="8">
        <v>0</v>
      </c>
      <c r="Q640" s="8" t="s">
        <v>67</v>
      </c>
      <c r="R640" s="9">
        <v>0.1</v>
      </c>
      <c r="S640" s="8">
        <v>0</v>
      </c>
      <c r="T640" s="8">
        <v>0</v>
      </c>
      <c r="U640" s="8">
        <v>1</v>
      </c>
      <c r="V640" s="8">
        <v>0</v>
      </c>
      <c r="W640" s="8">
        <v>1</v>
      </c>
      <c r="X640" s="8">
        <v>0</v>
      </c>
      <c r="Y640" s="8">
        <v>0</v>
      </c>
      <c r="Z640" s="8">
        <v>1</v>
      </c>
      <c r="AA640" s="8" t="s">
        <v>197</v>
      </c>
      <c r="AB640" s="8">
        <v>0</v>
      </c>
      <c r="AC640" s="8">
        <v>0</v>
      </c>
      <c r="AD640" s="8">
        <v>1</v>
      </c>
      <c r="AE640" s="8">
        <v>0</v>
      </c>
      <c r="AF640" s="8">
        <v>0</v>
      </c>
      <c r="AG640" s="8">
        <v>0</v>
      </c>
      <c r="AH640" s="8">
        <v>0</v>
      </c>
      <c r="AI640" s="8">
        <v>0</v>
      </c>
      <c r="AJ640" s="8">
        <v>0</v>
      </c>
      <c r="AK640" s="8">
        <v>0</v>
      </c>
      <c r="AL640" s="8">
        <v>0</v>
      </c>
      <c r="AM640" s="8">
        <v>0</v>
      </c>
      <c r="AN640" s="8">
        <v>0</v>
      </c>
      <c r="AO640" s="8">
        <v>0</v>
      </c>
      <c r="AP640" s="8">
        <v>0</v>
      </c>
      <c r="AQ640" s="8">
        <v>0</v>
      </c>
      <c r="AR640" s="8">
        <v>0</v>
      </c>
      <c r="AS640" s="8">
        <v>0</v>
      </c>
      <c r="AT640" s="8">
        <v>0</v>
      </c>
      <c r="AU640" s="8">
        <v>0</v>
      </c>
      <c r="AV640" s="8">
        <v>0</v>
      </c>
      <c r="AW640" s="8">
        <v>0</v>
      </c>
      <c r="AX640" s="8">
        <v>0</v>
      </c>
      <c r="AY640" s="8">
        <v>0</v>
      </c>
      <c r="AZ640" s="8">
        <v>0</v>
      </c>
      <c r="BA640" s="8">
        <v>0</v>
      </c>
      <c r="BB640" s="8">
        <v>0</v>
      </c>
      <c r="BC640" s="8">
        <v>0</v>
      </c>
      <c r="BD640" s="8">
        <v>0</v>
      </c>
      <c r="BE640" s="8">
        <v>0</v>
      </c>
      <c r="BF640" s="8">
        <v>0</v>
      </c>
      <c r="BG640" s="8">
        <v>0</v>
      </c>
      <c r="BH640" s="8">
        <v>0</v>
      </c>
      <c r="BI640" s="8">
        <v>0</v>
      </c>
      <c r="BJ640" s="8">
        <v>0</v>
      </c>
      <c r="BK640" s="8">
        <v>0</v>
      </c>
      <c r="BL640" s="8">
        <v>0</v>
      </c>
      <c r="BM640" s="8">
        <v>0</v>
      </c>
      <c r="BN640" s="8">
        <v>0</v>
      </c>
      <c r="BO640" s="8">
        <v>0</v>
      </c>
      <c r="BP640" s="8">
        <v>0</v>
      </c>
      <c r="BQ640" s="8">
        <v>0</v>
      </c>
      <c r="BR640" s="8">
        <v>0</v>
      </c>
      <c r="BS640" s="8">
        <f t="shared" si="847"/>
        <v>0</v>
      </c>
      <c r="BT640" s="8"/>
      <c r="BU640" s="2">
        <f t="shared" si="752"/>
        <v>0</v>
      </c>
      <c r="BV640" s="2">
        <f t="shared" si="753"/>
        <v>0</v>
      </c>
      <c r="BW640" s="2">
        <f t="shared" si="754"/>
        <v>0</v>
      </c>
      <c r="BX640" s="2">
        <f t="shared" si="755"/>
        <v>0</v>
      </c>
      <c r="BY640" s="2">
        <f t="shared" si="756"/>
        <v>0</v>
      </c>
      <c r="BZ640" s="2">
        <f t="shared" ref="BZ640:CA640" si="850">SUM(AQ640)</f>
        <v>0</v>
      </c>
      <c r="CA640" s="2">
        <f t="shared" si="850"/>
        <v>0</v>
      </c>
      <c r="CB640" s="2">
        <f t="shared" si="758"/>
        <v>0</v>
      </c>
    </row>
    <row r="641" spans="1:80" ht="16" x14ac:dyDescent="0.2">
      <c r="A641" s="3" t="s">
        <v>196</v>
      </c>
      <c r="B641" s="10">
        <v>840</v>
      </c>
      <c r="C641" s="5">
        <v>1</v>
      </c>
      <c r="D641" s="10">
        <v>0</v>
      </c>
      <c r="E641" s="10">
        <v>1</v>
      </c>
      <c r="F641" s="10">
        <v>1975</v>
      </c>
      <c r="G641" s="10">
        <v>2013</v>
      </c>
      <c r="H641" s="7" t="str">
        <f t="shared" si="751"/>
        <v>No</v>
      </c>
      <c r="I641" s="54" t="s">
        <v>55</v>
      </c>
      <c r="J641" s="8">
        <v>1</v>
      </c>
      <c r="K641" s="8" t="s">
        <v>51</v>
      </c>
      <c r="L641" s="8" t="s">
        <v>123</v>
      </c>
      <c r="M641" s="8" t="s">
        <v>123</v>
      </c>
      <c r="N641" s="8">
        <v>1</v>
      </c>
      <c r="O641" s="8">
        <v>0</v>
      </c>
      <c r="P641" s="8">
        <v>0</v>
      </c>
      <c r="Q641" s="8" t="s">
        <v>67</v>
      </c>
      <c r="R641" s="9">
        <v>0.1</v>
      </c>
      <c r="S641" s="8">
        <v>0</v>
      </c>
      <c r="T641" s="8">
        <v>0</v>
      </c>
      <c r="U641" s="8">
        <v>1</v>
      </c>
      <c r="V641" s="8">
        <v>0</v>
      </c>
      <c r="W641" s="8">
        <v>1</v>
      </c>
      <c r="X641" s="8">
        <v>0</v>
      </c>
      <c r="Y641" s="8">
        <v>0</v>
      </c>
      <c r="Z641" s="8">
        <v>1</v>
      </c>
      <c r="AA641" s="8" t="s">
        <v>197</v>
      </c>
      <c r="AB641" s="8">
        <v>0</v>
      </c>
      <c r="AC641" s="8">
        <v>0</v>
      </c>
      <c r="AD641" s="8">
        <v>1</v>
      </c>
      <c r="AE641" s="8">
        <v>0</v>
      </c>
      <c r="AF641" s="8">
        <v>0</v>
      </c>
      <c r="AG641" s="8">
        <v>0</v>
      </c>
      <c r="AH641" s="8">
        <v>0</v>
      </c>
      <c r="AI641" s="8">
        <v>0</v>
      </c>
      <c r="AJ641" s="8">
        <v>0</v>
      </c>
      <c r="AK641" s="8">
        <v>0</v>
      </c>
      <c r="AL641" s="8">
        <v>0</v>
      </c>
      <c r="AM641" s="8">
        <v>0</v>
      </c>
      <c r="AN641" s="8">
        <v>0</v>
      </c>
      <c r="AO641" s="8">
        <v>0</v>
      </c>
      <c r="AP641" s="8">
        <v>0</v>
      </c>
      <c r="AQ641" s="8">
        <v>0</v>
      </c>
      <c r="AR641" s="8">
        <v>0</v>
      </c>
      <c r="AS641" s="8">
        <v>0</v>
      </c>
      <c r="AT641" s="8">
        <v>0</v>
      </c>
      <c r="AU641" s="8">
        <v>0</v>
      </c>
      <c r="AV641" s="8">
        <v>0</v>
      </c>
      <c r="AW641" s="8">
        <v>0</v>
      </c>
      <c r="AX641" s="8">
        <v>0</v>
      </c>
      <c r="AY641" s="8">
        <v>0</v>
      </c>
      <c r="AZ641" s="8">
        <v>0</v>
      </c>
      <c r="BA641" s="8">
        <v>0</v>
      </c>
      <c r="BB641" s="8">
        <v>0</v>
      </c>
      <c r="BC641" s="8">
        <v>0</v>
      </c>
      <c r="BD641" s="8">
        <v>0</v>
      </c>
      <c r="BE641" s="8">
        <v>0</v>
      </c>
      <c r="BF641" s="8">
        <v>0</v>
      </c>
      <c r="BG641" s="8">
        <v>0</v>
      </c>
      <c r="BH641" s="8">
        <v>0</v>
      </c>
      <c r="BI641" s="8">
        <v>0</v>
      </c>
      <c r="BJ641" s="8">
        <v>0</v>
      </c>
      <c r="BK641" s="8">
        <v>0</v>
      </c>
      <c r="BL641" s="8">
        <v>0</v>
      </c>
      <c r="BM641" s="8">
        <v>0</v>
      </c>
      <c r="BN641" s="8">
        <v>0</v>
      </c>
      <c r="BO641" s="8">
        <v>0</v>
      </c>
      <c r="BP641" s="8">
        <v>0</v>
      </c>
      <c r="BQ641" s="8">
        <v>0</v>
      </c>
      <c r="BR641" s="8">
        <v>0</v>
      </c>
      <c r="BS641" s="8">
        <f t="shared" si="847"/>
        <v>0</v>
      </c>
      <c r="BT641" s="8"/>
      <c r="BU641" s="2">
        <f t="shared" si="752"/>
        <v>0</v>
      </c>
      <c r="BV641" s="2">
        <f t="shared" si="753"/>
        <v>0</v>
      </c>
      <c r="BW641" s="2">
        <f t="shared" si="754"/>
        <v>0</v>
      </c>
      <c r="BX641" s="2">
        <f t="shared" si="755"/>
        <v>0</v>
      </c>
      <c r="BY641" s="2">
        <f t="shared" si="756"/>
        <v>0</v>
      </c>
      <c r="BZ641" s="2">
        <f t="shared" ref="BZ641:CA641" si="851">SUM(AQ641)</f>
        <v>0</v>
      </c>
      <c r="CA641" s="2">
        <f t="shared" si="851"/>
        <v>0</v>
      </c>
      <c r="CB641" s="2">
        <f t="shared" si="758"/>
        <v>0</v>
      </c>
    </row>
    <row r="642" spans="1:80" ht="16" x14ac:dyDescent="0.2">
      <c r="A642" s="3" t="s">
        <v>196</v>
      </c>
      <c r="B642" s="10">
        <v>840</v>
      </c>
      <c r="C642" s="5">
        <v>1</v>
      </c>
      <c r="D642" s="10">
        <v>0</v>
      </c>
      <c r="E642" s="10">
        <v>1</v>
      </c>
      <c r="F642" s="10">
        <v>1975</v>
      </c>
      <c r="G642" s="10">
        <v>2014</v>
      </c>
      <c r="H642" s="7" t="str">
        <f t="shared" si="751"/>
        <v>No</v>
      </c>
      <c r="I642" s="54" t="s">
        <v>55</v>
      </c>
      <c r="J642" s="8">
        <v>1</v>
      </c>
      <c r="K642" s="8" t="s">
        <v>51</v>
      </c>
      <c r="L642" s="8" t="s">
        <v>123</v>
      </c>
      <c r="M642" s="8" t="s">
        <v>123</v>
      </c>
      <c r="N642" s="8">
        <v>1</v>
      </c>
      <c r="O642" s="8">
        <v>0</v>
      </c>
      <c r="P642" s="8">
        <v>0</v>
      </c>
      <c r="Q642" s="8" t="s">
        <v>67</v>
      </c>
      <c r="R642" s="9">
        <v>0.1</v>
      </c>
      <c r="S642" s="8">
        <v>0</v>
      </c>
      <c r="T642" s="8">
        <v>0</v>
      </c>
      <c r="U642" s="8">
        <v>1</v>
      </c>
      <c r="V642" s="8">
        <v>0</v>
      </c>
      <c r="W642" s="8">
        <v>1</v>
      </c>
      <c r="X642" s="8">
        <v>0</v>
      </c>
      <c r="Y642" s="8">
        <v>0</v>
      </c>
      <c r="Z642" s="8">
        <v>1</v>
      </c>
      <c r="AA642" s="8" t="s">
        <v>197</v>
      </c>
      <c r="AB642" s="8">
        <v>0</v>
      </c>
      <c r="AC642" s="8">
        <v>0</v>
      </c>
      <c r="AD642" s="8">
        <v>1</v>
      </c>
      <c r="AE642" s="8">
        <v>0</v>
      </c>
      <c r="AF642" s="8">
        <v>0</v>
      </c>
      <c r="AG642" s="8">
        <v>0</v>
      </c>
      <c r="AH642" s="8">
        <v>0</v>
      </c>
      <c r="AI642" s="8">
        <v>0</v>
      </c>
      <c r="AJ642" s="8">
        <v>0</v>
      </c>
      <c r="AK642" s="8">
        <v>0</v>
      </c>
      <c r="AL642" s="8">
        <v>0</v>
      </c>
      <c r="AM642" s="8">
        <v>0</v>
      </c>
      <c r="AN642" s="8">
        <v>0</v>
      </c>
      <c r="AO642" s="8">
        <v>0</v>
      </c>
      <c r="AP642" s="8">
        <v>0</v>
      </c>
      <c r="AQ642" s="8">
        <v>0</v>
      </c>
      <c r="AR642" s="8">
        <v>0</v>
      </c>
      <c r="AS642" s="8">
        <v>0</v>
      </c>
      <c r="AT642" s="8">
        <v>0</v>
      </c>
      <c r="AU642" s="8">
        <v>0</v>
      </c>
      <c r="AV642" s="8">
        <v>0</v>
      </c>
      <c r="AW642" s="8">
        <v>0</v>
      </c>
      <c r="AX642" s="8">
        <v>0</v>
      </c>
      <c r="AY642" s="8">
        <v>0</v>
      </c>
      <c r="AZ642" s="8">
        <v>0</v>
      </c>
      <c r="BA642" s="8">
        <v>0</v>
      </c>
      <c r="BB642" s="8">
        <v>0</v>
      </c>
      <c r="BC642" s="8">
        <v>0</v>
      </c>
      <c r="BD642" s="8">
        <v>0</v>
      </c>
      <c r="BE642" s="8">
        <v>0</v>
      </c>
      <c r="BF642" s="8">
        <v>0</v>
      </c>
      <c r="BG642" s="8">
        <v>0</v>
      </c>
      <c r="BH642" s="8">
        <v>0</v>
      </c>
      <c r="BI642" s="8">
        <v>0</v>
      </c>
      <c r="BJ642" s="8">
        <v>0</v>
      </c>
      <c r="BK642" s="8">
        <v>0</v>
      </c>
      <c r="BL642" s="8">
        <v>0</v>
      </c>
      <c r="BM642" s="8">
        <v>0</v>
      </c>
      <c r="BN642" s="8">
        <v>0</v>
      </c>
      <c r="BO642" s="8">
        <v>0</v>
      </c>
      <c r="BP642" s="8">
        <v>0</v>
      </c>
      <c r="BQ642" s="8">
        <v>0</v>
      </c>
      <c r="BR642" s="8">
        <v>0</v>
      </c>
      <c r="BS642" s="8">
        <f t="shared" si="847"/>
        <v>0</v>
      </c>
      <c r="BT642" s="8"/>
      <c r="BU642" s="2">
        <f t="shared" si="752"/>
        <v>0</v>
      </c>
      <c r="BV642" s="2">
        <f t="shared" si="753"/>
        <v>0</v>
      </c>
      <c r="BW642" s="2">
        <f t="shared" si="754"/>
        <v>0</v>
      </c>
      <c r="BX642" s="2">
        <f t="shared" si="755"/>
        <v>0</v>
      </c>
      <c r="BY642" s="2">
        <f t="shared" si="756"/>
        <v>0</v>
      </c>
      <c r="BZ642" s="2">
        <f t="shared" ref="BZ642:CA642" si="852">SUM(AQ642)</f>
        <v>0</v>
      </c>
      <c r="CA642" s="2">
        <f t="shared" si="852"/>
        <v>0</v>
      </c>
      <c r="CB642" s="2">
        <f t="shared" si="758"/>
        <v>0</v>
      </c>
    </row>
    <row r="643" spans="1:80" ht="16" x14ac:dyDescent="0.2">
      <c r="A643" s="3" t="s">
        <v>196</v>
      </c>
      <c r="B643" s="10">
        <v>840</v>
      </c>
      <c r="C643" s="5">
        <v>1</v>
      </c>
      <c r="D643" s="10">
        <v>0</v>
      </c>
      <c r="E643" s="10">
        <v>1</v>
      </c>
      <c r="F643" s="10">
        <v>1975</v>
      </c>
      <c r="G643" s="10">
        <v>2015</v>
      </c>
      <c r="H643" s="7" t="str">
        <f t="shared" si="751"/>
        <v>No</v>
      </c>
      <c r="I643" s="54" t="s">
        <v>55</v>
      </c>
      <c r="J643" s="8">
        <v>1</v>
      </c>
      <c r="K643" s="8" t="s">
        <v>51</v>
      </c>
      <c r="L643" s="8" t="s">
        <v>123</v>
      </c>
      <c r="M643" s="8" t="s">
        <v>123</v>
      </c>
      <c r="N643" s="8">
        <v>1</v>
      </c>
      <c r="O643" s="8">
        <v>0</v>
      </c>
      <c r="P643" s="8">
        <v>0</v>
      </c>
      <c r="Q643" s="8" t="s">
        <v>67</v>
      </c>
      <c r="R643" s="9">
        <v>0.1</v>
      </c>
      <c r="S643" s="8">
        <v>0</v>
      </c>
      <c r="T643" s="8">
        <v>0</v>
      </c>
      <c r="U643" s="8">
        <v>1</v>
      </c>
      <c r="V643" s="8">
        <v>0</v>
      </c>
      <c r="W643" s="8">
        <v>1</v>
      </c>
      <c r="X643" s="8">
        <v>0</v>
      </c>
      <c r="Y643" s="8">
        <v>0</v>
      </c>
      <c r="Z643" s="8">
        <v>1</v>
      </c>
      <c r="AA643" s="8" t="s">
        <v>197</v>
      </c>
      <c r="AB643" s="8">
        <v>0</v>
      </c>
      <c r="AC643" s="8">
        <v>0</v>
      </c>
      <c r="AD643" s="8">
        <v>1</v>
      </c>
      <c r="AE643" s="8">
        <v>0</v>
      </c>
      <c r="AF643" s="8">
        <v>0</v>
      </c>
      <c r="AG643" s="8">
        <v>0</v>
      </c>
      <c r="AH643" s="8">
        <v>0</v>
      </c>
      <c r="AI643" s="8">
        <v>0</v>
      </c>
      <c r="AJ643" s="8">
        <v>0</v>
      </c>
      <c r="AK643" s="8">
        <v>0</v>
      </c>
      <c r="AL643" s="8">
        <v>0</v>
      </c>
      <c r="AM643" s="8">
        <v>0</v>
      </c>
      <c r="AN643" s="8">
        <v>0</v>
      </c>
      <c r="AO643" s="8">
        <v>0</v>
      </c>
      <c r="AP643" s="8">
        <v>0</v>
      </c>
      <c r="AQ643" s="8">
        <v>0</v>
      </c>
      <c r="AR643" s="8">
        <v>0</v>
      </c>
      <c r="AS643" s="8">
        <v>0</v>
      </c>
      <c r="AT643" s="8">
        <v>0</v>
      </c>
      <c r="AU643" s="8">
        <v>0</v>
      </c>
      <c r="AV643" s="8">
        <v>0</v>
      </c>
      <c r="AW643" s="8">
        <v>0</v>
      </c>
      <c r="AX643" s="8">
        <v>0</v>
      </c>
      <c r="AY643" s="8">
        <v>0</v>
      </c>
      <c r="AZ643" s="8">
        <v>0</v>
      </c>
      <c r="BA643" s="8">
        <v>0</v>
      </c>
      <c r="BB643" s="8">
        <v>0</v>
      </c>
      <c r="BC643" s="8">
        <v>0</v>
      </c>
      <c r="BD643" s="8">
        <v>0</v>
      </c>
      <c r="BE643" s="8">
        <v>0</v>
      </c>
      <c r="BF643" s="8">
        <v>0</v>
      </c>
      <c r="BG643" s="8">
        <v>0</v>
      </c>
      <c r="BH643" s="8">
        <v>0</v>
      </c>
      <c r="BI643" s="8">
        <v>0</v>
      </c>
      <c r="BJ643" s="8">
        <v>0</v>
      </c>
      <c r="BK643" s="8">
        <v>0</v>
      </c>
      <c r="BL643" s="8">
        <v>0</v>
      </c>
      <c r="BM643" s="8">
        <v>0</v>
      </c>
      <c r="BN643" s="8">
        <v>0</v>
      </c>
      <c r="BO643" s="8">
        <v>0</v>
      </c>
      <c r="BP643" s="8">
        <v>0</v>
      </c>
      <c r="BQ643" s="8">
        <v>0</v>
      </c>
      <c r="BR643" s="8">
        <v>0</v>
      </c>
      <c r="BS643" s="8">
        <f t="shared" si="847"/>
        <v>0</v>
      </c>
      <c r="BT643" s="8"/>
      <c r="BU643" s="2">
        <f t="shared" si="752"/>
        <v>0</v>
      </c>
      <c r="BV643" s="2">
        <f t="shared" si="753"/>
        <v>0</v>
      </c>
      <c r="BW643" s="2">
        <f t="shared" si="754"/>
        <v>0</v>
      </c>
      <c r="BX643" s="2">
        <f t="shared" si="755"/>
        <v>0</v>
      </c>
      <c r="BY643" s="2">
        <f t="shared" si="756"/>
        <v>0</v>
      </c>
      <c r="BZ643" s="2">
        <f t="shared" ref="BZ643:CA643" si="853">SUM(AQ643)</f>
        <v>0</v>
      </c>
      <c r="CA643" s="2">
        <f t="shared" si="853"/>
        <v>0</v>
      </c>
      <c r="CB643" s="2">
        <f t="shared" si="758"/>
        <v>0</v>
      </c>
    </row>
    <row r="644" spans="1:80" ht="16" x14ac:dyDescent="0.2">
      <c r="A644" s="3" t="s">
        <v>196</v>
      </c>
      <c r="B644" s="10">
        <v>840</v>
      </c>
      <c r="C644" s="5">
        <v>1</v>
      </c>
      <c r="D644" s="10">
        <v>0</v>
      </c>
      <c r="E644" s="10">
        <v>1</v>
      </c>
      <c r="F644" s="10">
        <v>1975</v>
      </c>
      <c r="G644" s="10">
        <v>2016</v>
      </c>
      <c r="H644" s="7" t="str">
        <f t="shared" si="751"/>
        <v>No</v>
      </c>
      <c r="I644" s="54" t="s">
        <v>55</v>
      </c>
      <c r="J644" s="8">
        <v>1</v>
      </c>
      <c r="K644" s="8" t="s">
        <v>51</v>
      </c>
      <c r="L644" s="8" t="s">
        <v>123</v>
      </c>
      <c r="M644" s="8" t="s">
        <v>123</v>
      </c>
      <c r="N644" s="8">
        <v>1</v>
      </c>
      <c r="O644" s="8">
        <v>0</v>
      </c>
      <c r="P644" s="8">
        <v>0</v>
      </c>
      <c r="Q644" s="8" t="s">
        <v>67</v>
      </c>
      <c r="R644" s="9">
        <v>0.1</v>
      </c>
      <c r="S644" s="8">
        <v>0</v>
      </c>
      <c r="T644" s="8">
        <v>0</v>
      </c>
      <c r="U644" s="8">
        <v>1</v>
      </c>
      <c r="V644" s="8">
        <v>0</v>
      </c>
      <c r="W644" s="8">
        <v>1</v>
      </c>
      <c r="X644" s="8">
        <v>0</v>
      </c>
      <c r="Y644" s="8">
        <v>0</v>
      </c>
      <c r="Z644" s="8">
        <v>1</v>
      </c>
      <c r="AA644" s="8" t="s">
        <v>197</v>
      </c>
      <c r="AB644" s="8">
        <v>0</v>
      </c>
      <c r="AC644" s="8">
        <v>0</v>
      </c>
      <c r="AD644" s="8">
        <v>1</v>
      </c>
      <c r="AE644" s="8">
        <v>0</v>
      </c>
      <c r="AF644" s="8">
        <v>0</v>
      </c>
      <c r="AG644" s="8">
        <v>0</v>
      </c>
      <c r="AH644" s="8">
        <v>0</v>
      </c>
      <c r="AI644" s="8">
        <v>0</v>
      </c>
      <c r="AJ644" s="8">
        <v>0</v>
      </c>
      <c r="AK644" s="8">
        <v>0</v>
      </c>
      <c r="AL644" s="8">
        <v>0</v>
      </c>
      <c r="AM644" s="8">
        <v>0</v>
      </c>
      <c r="AN644" s="8">
        <v>0</v>
      </c>
      <c r="AO644" s="8">
        <v>0</v>
      </c>
      <c r="AP644" s="8">
        <v>0</v>
      </c>
      <c r="AQ644" s="8">
        <v>0</v>
      </c>
      <c r="AR644" s="8">
        <v>0</v>
      </c>
      <c r="AS644" s="8">
        <v>0</v>
      </c>
      <c r="AT644" s="8">
        <v>0</v>
      </c>
      <c r="AU644" s="8">
        <v>0</v>
      </c>
      <c r="AV644" s="8">
        <v>0</v>
      </c>
      <c r="AW644" s="8">
        <v>0</v>
      </c>
      <c r="AX644" s="8">
        <v>0</v>
      </c>
      <c r="AY644" s="8">
        <v>0</v>
      </c>
      <c r="AZ644" s="8">
        <v>0</v>
      </c>
      <c r="BA644" s="8">
        <v>0</v>
      </c>
      <c r="BB644" s="8">
        <v>0</v>
      </c>
      <c r="BC644" s="8">
        <v>0</v>
      </c>
      <c r="BD644" s="8">
        <v>0</v>
      </c>
      <c r="BE644" s="8">
        <v>0</v>
      </c>
      <c r="BF644" s="8">
        <v>0</v>
      </c>
      <c r="BG644" s="8">
        <v>0</v>
      </c>
      <c r="BH644" s="8">
        <v>0</v>
      </c>
      <c r="BI644" s="8">
        <v>0</v>
      </c>
      <c r="BJ644" s="8">
        <v>0</v>
      </c>
      <c r="BK644" s="8">
        <v>0</v>
      </c>
      <c r="BL644" s="8">
        <v>0</v>
      </c>
      <c r="BM644" s="8">
        <v>0</v>
      </c>
      <c r="BN644" s="8">
        <v>0</v>
      </c>
      <c r="BO644" s="8">
        <v>0</v>
      </c>
      <c r="BP644" s="8">
        <v>0</v>
      </c>
      <c r="BQ644" s="8">
        <v>0</v>
      </c>
      <c r="BR644" s="8">
        <v>0</v>
      </c>
      <c r="BS644" s="8">
        <f t="shared" si="847"/>
        <v>0</v>
      </c>
      <c r="BT644" s="8"/>
      <c r="BU644" s="2">
        <f t="shared" si="752"/>
        <v>0</v>
      </c>
      <c r="BV644" s="2">
        <f t="shared" si="753"/>
        <v>0</v>
      </c>
      <c r="BW644" s="2">
        <f t="shared" si="754"/>
        <v>0</v>
      </c>
      <c r="BX644" s="2">
        <f t="shared" si="755"/>
        <v>0</v>
      </c>
      <c r="BY644" s="2">
        <f t="shared" si="756"/>
        <v>0</v>
      </c>
      <c r="BZ644" s="2">
        <f t="shared" ref="BZ644:CA644" si="854">SUM(AQ644)</f>
        <v>0</v>
      </c>
      <c r="CA644" s="2">
        <f t="shared" si="854"/>
        <v>0</v>
      </c>
      <c r="CB644" s="2">
        <f t="shared" si="758"/>
        <v>0</v>
      </c>
    </row>
    <row r="645" spans="1:80" ht="16" x14ac:dyDescent="0.2">
      <c r="A645" s="3" t="s">
        <v>196</v>
      </c>
      <c r="B645" s="10">
        <v>840</v>
      </c>
      <c r="C645" s="5">
        <v>1</v>
      </c>
      <c r="D645" s="10">
        <v>0</v>
      </c>
      <c r="E645" s="10">
        <v>1</v>
      </c>
      <c r="F645" s="10">
        <v>1975</v>
      </c>
      <c r="G645" s="10">
        <v>2017</v>
      </c>
      <c r="H645" s="7" t="str">
        <f t="shared" si="751"/>
        <v>No</v>
      </c>
      <c r="I645" s="54" t="s">
        <v>55</v>
      </c>
      <c r="J645" s="8">
        <v>1</v>
      </c>
      <c r="K645" s="8" t="s">
        <v>51</v>
      </c>
      <c r="L645" s="8" t="s">
        <v>123</v>
      </c>
      <c r="M645" s="8" t="s">
        <v>123</v>
      </c>
      <c r="N645" s="8">
        <v>1</v>
      </c>
      <c r="O645" s="8">
        <v>0</v>
      </c>
      <c r="P645" s="8">
        <v>0</v>
      </c>
      <c r="Q645" s="8" t="s">
        <v>67</v>
      </c>
      <c r="R645" s="9">
        <v>0.1</v>
      </c>
      <c r="S645" s="8">
        <v>0</v>
      </c>
      <c r="T645" s="8">
        <v>0</v>
      </c>
      <c r="U645" s="8">
        <v>1</v>
      </c>
      <c r="V645" s="8">
        <v>0</v>
      </c>
      <c r="W645" s="8">
        <v>1</v>
      </c>
      <c r="X645" s="8">
        <v>0</v>
      </c>
      <c r="Y645" s="8">
        <v>0</v>
      </c>
      <c r="Z645" s="8">
        <v>1</v>
      </c>
      <c r="AA645" s="8" t="s">
        <v>197</v>
      </c>
      <c r="AB645" s="8">
        <v>0</v>
      </c>
      <c r="AC645" s="8">
        <v>0</v>
      </c>
      <c r="AD645" s="8">
        <v>1</v>
      </c>
      <c r="AE645" s="8">
        <v>0</v>
      </c>
      <c r="AF645" s="8">
        <v>0</v>
      </c>
      <c r="AG645" s="8">
        <v>0</v>
      </c>
      <c r="AH645" s="8">
        <v>0</v>
      </c>
      <c r="AI645" s="8">
        <v>0</v>
      </c>
      <c r="AJ645" s="8">
        <v>0</v>
      </c>
      <c r="AK645" s="8">
        <v>0</v>
      </c>
      <c r="AL645" s="8">
        <v>0</v>
      </c>
      <c r="AM645" s="8">
        <v>0</v>
      </c>
      <c r="AN645" s="8">
        <v>0</v>
      </c>
      <c r="AO645" s="8">
        <v>0</v>
      </c>
      <c r="AP645" s="8">
        <v>0</v>
      </c>
      <c r="AQ645" s="8">
        <v>0</v>
      </c>
      <c r="AR645" s="8">
        <v>0</v>
      </c>
      <c r="AS645" s="8">
        <v>0</v>
      </c>
      <c r="AT645" s="8">
        <v>0</v>
      </c>
      <c r="AU645" s="8">
        <v>0</v>
      </c>
      <c r="AV645" s="8">
        <v>0</v>
      </c>
      <c r="AW645" s="8">
        <v>0</v>
      </c>
      <c r="AX645" s="8">
        <v>0</v>
      </c>
      <c r="AY645" s="8">
        <v>0</v>
      </c>
      <c r="AZ645" s="8">
        <v>0</v>
      </c>
      <c r="BA645" s="8">
        <v>0</v>
      </c>
      <c r="BB645" s="8">
        <v>0</v>
      </c>
      <c r="BC645" s="8">
        <v>0</v>
      </c>
      <c r="BD645" s="8">
        <v>0</v>
      </c>
      <c r="BE645" s="8">
        <v>0</v>
      </c>
      <c r="BF645" s="8">
        <v>0</v>
      </c>
      <c r="BG645" s="8">
        <v>0</v>
      </c>
      <c r="BH645" s="8">
        <v>0</v>
      </c>
      <c r="BI645" s="8">
        <v>0</v>
      </c>
      <c r="BJ645" s="8">
        <v>0</v>
      </c>
      <c r="BK645" s="8">
        <v>0</v>
      </c>
      <c r="BL645" s="8">
        <v>0</v>
      </c>
      <c r="BM645" s="8">
        <v>0</v>
      </c>
      <c r="BN645" s="8">
        <v>0</v>
      </c>
      <c r="BO645" s="8">
        <v>0</v>
      </c>
      <c r="BP645" s="8">
        <v>0</v>
      </c>
      <c r="BQ645" s="8">
        <v>0</v>
      </c>
      <c r="BR645" s="8">
        <v>0</v>
      </c>
      <c r="BS645" s="8">
        <f t="shared" si="847"/>
        <v>0</v>
      </c>
      <c r="BT645" s="8"/>
      <c r="BU645" s="2">
        <f t="shared" si="752"/>
        <v>0</v>
      </c>
      <c r="BV645" s="2">
        <f t="shared" si="753"/>
        <v>0</v>
      </c>
      <c r="BW645" s="2">
        <f t="shared" si="754"/>
        <v>0</v>
      </c>
      <c r="BX645" s="2">
        <f t="shared" si="755"/>
        <v>0</v>
      </c>
      <c r="BY645" s="2">
        <f t="shared" si="756"/>
        <v>0</v>
      </c>
      <c r="BZ645" s="2">
        <f t="shared" ref="BZ645:CA645" si="855">SUM(AQ645)</f>
        <v>0</v>
      </c>
      <c r="CA645" s="2">
        <f t="shared" si="855"/>
        <v>0</v>
      </c>
      <c r="CB645" s="2">
        <f t="shared" si="758"/>
        <v>0</v>
      </c>
    </row>
    <row r="646" spans="1:80" ht="16" x14ac:dyDescent="0.2">
      <c r="A646" s="3" t="s">
        <v>196</v>
      </c>
      <c r="B646" s="10">
        <v>840</v>
      </c>
      <c r="C646" s="5">
        <v>1</v>
      </c>
      <c r="D646" s="10">
        <v>0</v>
      </c>
      <c r="E646" s="10">
        <v>1</v>
      </c>
      <c r="F646" s="10">
        <v>1975</v>
      </c>
      <c r="G646" s="10">
        <v>2018</v>
      </c>
      <c r="H646" s="7" t="str">
        <f t="shared" si="751"/>
        <v>No</v>
      </c>
      <c r="I646" s="54" t="s">
        <v>55</v>
      </c>
      <c r="J646" s="8">
        <v>1</v>
      </c>
      <c r="K646" s="8" t="s">
        <v>51</v>
      </c>
      <c r="L646" s="8" t="s">
        <v>123</v>
      </c>
      <c r="M646" s="8" t="s">
        <v>123</v>
      </c>
      <c r="N646" s="8">
        <v>1</v>
      </c>
      <c r="O646" s="8">
        <v>0</v>
      </c>
      <c r="P646" s="8">
        <v>0</v>
      </c>
      <c r="Q646" s="8" t="s">
        <v>67</v>
      </c>
      <c r="R646" s="9">
        <v>0.1</v>
      </c>
      <c r="S646" s="8">
        <v>0</v>
      </c>
      <c r="T646" s="8">
        <v>0</v>
      </c>
      <c r="U646" s="8">
        <v>1</v>
      </c>
      <c r="V646" s="8">
        <v>0</v>
      </c>
      <c r="W646" s="8">
        <v>1</v>
      </c>
      <c r="X646" s="8">
        <v>0</v>
      </c>
      <c r="Y646" s="8">
        <v>0</v>
      </c>
      <c r="Z646" s="8">
        <v>1</v>
      </c>
      <c r="AA646" s="8" t="s">
        <v>197</v>
      </c>
      <c r="AB646" s="8">
        <v>0</v>
      </c>
      <c r="AC646" s="8">
        <v>0</v>
      </c>
      <c r="AD646" s="8">
        <v>1</v>
      </c>
      <c r="AE646" s="8">
        <v>0</v>
      </c>
      <c r="AF646" s="8">
        <v>0</v>
      </c>
      <c r="AG646" s="8">
        <v>0</v>
      </c>
      <c r="AH646" s="8">
        <v>0</v>
      </c>
      <c r="AI646" s="8">
        <v>0</v>
      </c>
      <c r="AJ646" s="8">
        <v>0</v>
      </c>
      <c r="AK646" s="8">
        <v>0</v>
      </c>
      <c r="AL646" s="8">
        <v>0</v>
      </c>
      <c r="AM646" s="8">
        <v>0</v>
      </c>
      <c r="AN646" s="8">
        <v>0</v>
      </c>
      <c r="AO646" s="8">
        <v>0</v>
      </c>
      <c r="AP646" s="8">
        <v>0</v>
      </c>
      <c r="AQ646" s="8">
        <v>0</v>
      </c>
      <c r="AR646" s="8">
        <v>0</v>
      </c>
      <c r="AS646" s="8">
        <v>0</v>
      </c>
      <c r="AT646" s="8">
        <v>0</v>
      </c>
      <c r="AU646" s="8">
        <v>0</v>
      </c>
      <c r="AV646" s="8">
        <v>0</v>
      </c>
      <c r="AW646" s="8">
        <v>0</v>
      </c>
      <c r="AX646" s="8">
        <v>0</v>
      </c>
      <c r="AY646" s="8">
        <v>0</v>
      </c>
      <c r="AZ646" s="8">
        <v>0</v>
      </c>
      <c r="BA646" s="8">
        <v>0</v>
      </c>
      <c r="BB646" s="8">
        <v>0</v>
      </c>
      <c r="BC646" s="8">
        <v>0</v>
      </c>
      <c r="BD646" s="8">
        <v>0</v>
      </c>
      <c r="BE646" s="8">
        <v>0</v>
      </c>
      <c r="BF646" s="8">
        <v>0</v>
      </c>
      <c r="BG646" s="8">
        <v>0</v>
      </c>
      <c r="BH646" s="8">
        <v>0</v>
      </c>
      <c r="BI646" s="8">
        <v>0</v>
      </c>
      <c r="BJ646" s="8">
        <v>0</v>
      </c>
      <c r="BK646" s="8">
        <v>0</v>
      </c>
      <c r="BL646" s="8">
        <v>0</v>
      </c>
      <c r="BM646" s="8">
        <v>0</v>
      </c>
      <c r="BN646" s="8">
        <v>0</v>
      </c>
      <c r="BO646" s="8">
        <v>0</v>
      </c>
      <c r="BP646" s="8">
        <v>0</v>
      </c>
      <c r="BQ646" s="8">
        <v>0</v>
      </c>
      <c r="BR646" s="8">
        <v>0</v>
      </c>
      <c r="BS646" s="8">
        <f t="shared" si="847"/>
        <v>0</v>
      </c>
      <c r="BT646" s="8"/>
      <c r="BU646" s="2">
        <f t="shared" si="752"/>
        <v>0</v>
      </c>
      <c r="BV646" s="2">
        <f t="shared" si="753"/>
        <v>0</v>
      </c>
      <c r="BW646" s="2">
        <f t="shared" si="754"/>
        <v>0</v>
      </c>
      <c r="BX646" s="2">
        <f t="shared" si="755"/>
        <v>0</v>
      </c>
      <c r="BY646" s="2">
        <f t="shared" si="756"/>
        <v>0</v>
      </c>
      <c r="BZ646" s="2">
        <f t="shared" ref="BZ646:CA646" si="856">SUM(AQ646)</f>
        <v>0</v>
      </c>
      <c r="CA646" s="2">
        <f t="shared" si="856"/>
        <v>0</v>
      </c>
      <c r="CB646" s="2">
        <f t="shared" si="758"/>
        <v>0</v>
      </c>
    </row>
    <row r="647" spans="1:80" ht="16" x14ac:dyDescent="0.2">
      <c r="A647" s="3" t="s">
        <v>196</v>
      </c>
      <c r="B647" s="10">
        <v>840</v>
      </c>
      <c r="C647" s="5">
        <v>1</v>
      </c>
      <c r="D647" s="10">
        <v>0</v>
      </c>
      <c r="E647" s="10">
        <v>1</v>
      </c>
      <c r="F647" s="10">
        <v>1975</v>
      </c>
      <c r="G647" s="10">
        <v>2019</v>
      </c>
      <c r="H647" s="7" t="s">
        <v>98</v>
      </c>
      <c r="I647" s="54" t="s">
        <v>55</v>
      </c>
      <c r="J647" s="8">
        <v>1</v>
      </c>
      <c r="K647" s="8" t="s">
        <v>51</v>
      </c>
      <c r="L647" s="8" t="s">
        <v>123</v>
      </c>
      <c r="M647" s="8" t="s">
        <v>123</v>
      </c>
      <c r="N647" s="8">
        <v>1</v>
      </c>
      <c r="O647" s="8">
        <v>0</v>
      </c>
      <c r="P647" s="8">
        <v>1</v>
      </c>
      <c r="Q647" s="8" t="s">
        <v>67</v>
      </c>
      <c r="R647" s="9">
        <v>0.1</v>
      </c>
      <c r="S647" s="8">
        <v>1</v>
      </c>
      <c r="T647" s="8">
        <v>1</v>
      </c>
      <c r="U647" s="8">
        <v>1</v>
      </c>
      <c r="V647" s="8">
        <v>1</v>
      </c>
      <c r="W647" s="8">
        <v>1</v>
      </c>
      <c r="X647" s="8">
        <v>0</v>
      </c>
      <c r="Y647" s="8">
        <v>0</v>
      </c>
      <c r="Z647" s="8">
        <v>1</v>
      </c>
      <c r="AA647" s="8" t="s">
        <v>197</v>
      </c>
      <c r="AB647" s="8">
        <v>0</v>
      </c>
      <c r="AC647" s="8">
        <v>0</v>
      </c>
      <c r="AD647" s="8">
        <v>1</v>
      </c>
      <c r="AE647" s="8">
        <v>1</v>
      </c>
      <c r="AF647" s="8">
        <v>0</v>
      </c>
      <c r="AG647" s="8">
        <v>0</v>
      </c>
      <c r="AH647" s="8">
        <v>0</v>
      </c>
      <c r="AI647" s="8">
        <v>0</v>
      </c>
      <c r="AJ647" s="8">
        <v>0</v>
      </c>
      <c r="AK647" s="8">
        <v>0</v>
      </c>
      <c r="AL647" s="8">
        <v>0</v>
      </c>
      <c r="AM647" s="8">
        <v>0</v>
      </c>
      <c r="AN647" s="8">
        <v>0</v>
      </c>
      <c r="AO647" s="8">
        <v>0</v>
      </c>
      <c r="AP647" s="8">
        <v>0</v>
      </c>
      <c r="AQ647" s="8">
        <v>0</v>
      </c>
      <c r="AR647" s="8">
        <v>0</v>
      </c>
      <c r="AS647" s="8">
        <v>0</v>
      </c>
      <c r="AT647" s="8">
        <v>0</v>
      </c>
      <c r="AU647" s="8">
        <v>0</v>
      </c>
      <c r="AV647" s="8">
        <v>0</v>
      </c>
      <c r="AW647" s="8">
        <v>0</v>
      </c>
      <c r="AX647" s="8">
        <v>0</v>
      </c>
      <c r="AY647" s="8">
        <v>0</v>
      </c>
      <c r="AZ647" s="8">
        <v>0</v>
      </c>
      <c r="BA647" s="8">
        <v>0</v>
      </c>
      <c r="BB647" s="8">
        <v>0</v>
      </c>
      <c r="BC647" s="8">
        <v>0</v>
      </c>
      <c r="BD647" s="8">
        <v>0</v>
      </c>
      <c r="BE647" s="8">
        <v>0</v>
      </c>
      <c r="BF647" s="8">
        <v>0</v>
      </c>
      <c r="BG647" s="8">
        <v>0</v>
      </c>
      <c r="BH647" s="8">
        <v>0</v>
      </c>
      <c r="BI647" s="8">
        <v>0</v>
      </c>
      <c r="BJ647" s="8">
        <v>0</v>
      </c>
      <c r="BK647" s="8">
        <v>0</v>
      </c>
      <c r="BL647" s="8">
        <v>0</v>
      </c>
      <c r="BM647" s="8">
        <v>0</v>
      </c>
      <c r="BN647" s="8">
        <v>0</v>
      </c>
      <c r="BO647" s="8">
        <v>0</v>
      </c>
      <c r="BP647" s="8">
        <v>0</v>
      </c>
      <c r="BQ647" s="8">
        <v>0</v>
      </c>
      <c r="BR647" s="8">
        <v>0</v>
      </c>
      <c r="BS647" s="8">
        <f t="shared" si="847"/>
        <v>0</v>
      </c>
      <c r="BT647" s="8"/>
      <c r="BU647" s="2">
        <f t="shared" si="752"/>
        <v>0</v>
      </c>
      <c r="BV647" s="2">
        <f t="shared" si="753"/>
        <v>0</v>
      </c>
      <c r="BW647" s="2">
        <f t="shared" si="754"/>
        <v>0</v>
      </c>
      <c r="BX647" s="2">
        <f t="shared" si="755"/>
        <v>0</v>
      </c>
      <c r="BY647" s="2">
        <f t="shared" si="756"/>
        <v>0</v>
      </c>
      <c r="BZ647" s="2">
        <f t="shared" ref="BZ647:CA647" si="857">SUM(AQ647)</f>
        <v>0</v>
      </c>
      <c r="CA647" s="2">
        <f t="shared" si="857"/>
        <v>0</v>
      </c>
      <c r="CB647" s="2">
        <f t="shared" si="758"/>
        <v>0</v>
      </c>
    </row>
    <row r="648" spans="1:80" ht="15" customHeight="1" x14ac:dyDescent="0.2">
      <c r="A648" s="3" t="s">
        <v>196</v>
      </c>
      <c r="B648" s="10">
        <v>840</v>
      </c>
      <c r="C648" s="5">
        <v>1</v>
      </c>
      <c r="D648" s="10">
        <v>0</v>
      </c>
      <c r="E648" s="10">
        <v>1</v>
      </c>
      <c r="F648" s="10">
        <v>1975</v>
      </c>
      <c r="G648" s="10">
        <v>2020</v>
      </c>
      <c r="H648" s="7" t="str">
        <f t="shared" si="751"/>
        <v>Yes</v>
      </c>
      <c r="I648" s="54" t="s">
        <v>56</v>
      </c>
      <c r="J648" s="8">
        <v>2</v>
      </c>
      <c r="K648" s="8" t="s">
        <v>59</v>
      </c>
      <c r="L648" s="8" t="s">
        <v>123</v>
      </c>
      <c r="M648" s="8" t="s">
        <v>123</v>
      </c>
      <c r="N648" s="8">
        <v>1</v>
      </c>
      <c r="O648" s="8">
        <v>0</v>
      </c>
      <c r="P648" s="8">
        <v>1</v>
      </c>
      <c r="Q648" s="8" t="s">
        <v>120</v>
      </c>
      <c r="R648" s="9">
        <v>0.1</v>
      </c>
      <c r="S648" s="8">
        <v>1</v>
      </c>
      <c r="T648" s="8">
        <v>1</v>
      </c>
      <c r="U648" s="8">
        <v>1</v>
      </c>
      <c r="V648" s="8">
        <v>1</v>
      </c>
      <c r="W648" s="8">
        <v>1</v>
      </c>
      <c r="X648" s="8">
        <v>0</v>
      </c>
      <c r="Y648" s="8">
        <v>0</v>
      </c>
      <c r="Z648" s="8">
        <v>1</v>
      </c>
      <c r="AA648" s="8" t="s">
        <v>197</v>
      </c>
      <c r="AB648" s="8">
        <v>0</v>
      </c>
      <c r="AC648" s="8">
        <v>0</v>
      </c>
      <c r="AD648" s="8">
        <v>1</v>
      </c>
      <c r="AE648" s="8">
        <v>1</v>
      </c>
      <c r="AF648" s="8">
        <v>1</v>
      </c>
      <c r="AG648" s="8">
        <v>0</v>
      </c>
      <c r="AH648" s="8">
        <v>0</v>
      </c>
      <c r="AI648" s="8">
        <v>0</v>
      </c>
      <c r="AJ648" s="8">
        <v>1</v>
      </c>
      <c r="AK648" s="8">
        <v>1</v>
      </c>
      <c r="AL648" s="8">
        <v>1</v>
      </c>
      <c r="AM648" s="8">
        <v>1</v>
      </c>
      <c r="AN648" s="8">
        <v>0</v>
      </c>
      <c r="AO648" s="8">
        <v>0</v>
      </c>
      <c r="AP648" s="8">
        <v>0</v>
      </c>
      <c r="AQ648" s="8">
        <v>0</v>
      </c>
      <c r="AR648" s="8">
        <v>0</v>
      </c>
      <c r="AS648" s="8">
        <v>0</v>
      </c>
      <c r="AT648" s="8">
        <v>1</v>
      </c>
      <c r="AU648" s="8">
        <v>1</v>
      </c>
      <c r="AV648" s="8">
        <v>0</v>
      </c>
      <c r="AW648" s="8">
        <v>0</v>
      </c>
      <c r="AX648" s="8">
        <v>0</v>
      </c>
      <c r="AY648" s="8">
        <v>0</v>
      </c>
      <c r="AZ648" s="8">
        <v>0</v>
      </c>
      <c r="BA648" s="8">
        <v>0</v>
      </c>
      <c r="BB648" s="8">
        <v>0</v>
      </c>
      <c r="BC648" s="8">
        <v>0</v>
      </c>
      <c r="BD648" s="8">
        <v>0</v>
      </c>
      <c r="BE648" s="8">
        <v>0</v>
      </c>
      <c r="BF648" s="8">
        <v>0</v>
      </c>
      <c r="BG648" s="8">
        <v>0</v>
      </c>
      <c r="BH648" s="8">
        <v>0</v>
      </c>
      <c r="BI648" s="8">
        <v>0</v>
      </c>
      <c r="BJ648" s="8">
        <v>0</v>
      </c>
      <c r="BK648" s="8">
        <v>0</v>
      </c>
      <c r="BL648" s="8">
        <v>0</v>
      </c>
      <c r="BM648" s="8">
        <v>0</v>
      </c>
      <c r="BN648" s="8">
        <v>0</v>
      </c>
      <c r="BO648" s="8">
        <v>0</v>
      </c>
      <c r="BP648" s="8">
        <v>0</v>
      </c>
      <c r="BQ648" s="8">
        <v>0</v>
      </c>
      <c r="BR648" s="8">
        <v>0</v>
      </c>
      <c r="BS648" s="8">
        <f t="shared" si="847"/>
        <v>6</v>
      </c>
      <c r="BT648" s="8"/>
      <c r="BU648" s="2">
        <f t="shared" si="752"/>
        <v>0</v>
      </c>
      <c r="BV648" s="2">
        <f t="shared" si="753"/>
        <v>4</v>
      </c>
      <c r="BW648" s="2">
        <f t="shared" si="754"/>
        <v>0</v>
      </c>
      <c r="BX648" s="2">
        <f t="shared" si="755"/>
        <v>1</v>
      </c>
      <c r="BY648" s="2">
        <f t="shared" si="756"/>
        <v>0</v>
      </c>
      <c r="BZ648" s="2">
        <f t="shared" ref="BZ648:CA648" si="858">SUM(AQ648)</f>
        <v>0</v>
      </c>
      <c r="CA648" s="2">
        <f t="shared" si="858"/>
        <v>0</v>
      </c>
      <c r="CB648" s="2">
        <f t="shared" si="758"/>
        <v>1</v>
      </c>
    </row>
    <row r="649" spans="1:80" ht="15" customHeight="1" x14ac:dyDescent="0.2">
      <c r="A649" s="3" t="s">
        <v>196</v>
      </c>
      <c r="B649" s="10">
        <v>840</v>
      </c>
      <c r="C649" s="5">
        <v>1</v>
      </c>
      <c r="D649" s="10">
        <v>0</v>
      </c>
      <c r="E649" s="10">
        <v>1</v>
      </c>
      <c r="F649" s="10">
        <v>1975</v>
      </c>
      <c r="G649" s="10">
        <v>2021</v>
      </c>
      <c r="H649" s="7" t="str">
        <f t="shared" si="751"/>
        <v>No</v>
      </c>
      <c r="I649" s="54" t="s">
        <v>55</v>
      </c>
      <c r="J649" s="8">
        <v>2</v>
      </c>
      <c r="K649" s="8" t="s">
        <v>59</v>
      </c>
      <c r="L649" s="8" t="s">
        <v>123</v>
      </c>
      <c r="M649" s="8" t="s">
        <v>123</v>
      </c>
      <c r="N649" s="8">
        <v>1</v>
      </c>
      <c r="O649" s="8">
        <v>0</v>
      </c>
      <c r="P649" s="8">
        <v>1</v>
      </c>
      <c r="Q649" s="8" t="s">
        <v>120</v>
      </c>
      <c r="R649" s="9">
        <v>0.1</v>
      </c>
      <c r="S649" s="8">
        <v>1</v>
      </c>
      <c r="T649" s="8">
        <v>1</v>
      </c>
      <c r="U649" s="8">
        <v>1</v>
      </c>
      <c r="V649" s="8">
        <v>1</v>
      </c>
      <c r="W649" s="8">
        <v>1</v>
      </c>
      <c r="X649" s="8">
        <v>0</v>
      </c>
      <c r="Y649" s="8">
        <v>0</v>
      </c>
      <c r="Z649" s="8">
        <v>1</v>
      </c>
      <c r="AA649" s="8" t="s">
        <v>197</v>
      </c>
      <c r="AB649" s="8">
        <v>0</v>
      </c>
      <c r="AC649" s="8">
        <v>0</v>
      </c>
      <c r="AD649" s="8">
        <v>1</v>
      </c>
      <c r="AE649" s="8">
        <v>1</v>
      </c>
      <c r="AF649" s="8">
        <v>1</v>
      </c>
      <c r="AG649" s="8">
        <v>0</v>
      </c>
      <c r="AH649" s="8">
        <v>0</v>
      </c>
      <c r="AI649" s="8">
        <v>0</v>
      </c>
      <c r="AJ649" s="8">
        <v>1</v>
      </c>
      <c r="AK649" s="8">
        <v>1</v>
      </c>
      <c r="AL649" s="8">
        <v>1</v>
      </c>
      <c r="AM649" s="8">
        <v>1</v>
      </c>
      <c r="AN649" s="8">
        <v>0</v>
      </c>
      <c r="AO649" s="8">
        <v>0</v>
      </c>
      <c r="AP649" s="8">
        <v>0</v>
      </c>
      <c r="AQ649" s="8">
        <v>0</v>
      </c>
      <c r="AR649" s="8">
        <v>0</v>
      </c>
      <c r="AS649" s="8">
        <v>0</v>
      </c>
      <c r="AT649" s="8">
        <v>1</v>
      </c>
      <c r="AU649" s="8">
        <v>1</v>
      </c>
      <c r="AV649" s="8">
        <v>0</v>
      </c>
      <c r="AW649" s="8">
        <v>0</v>
      </c>
      <c r="AX649" s="8">
        <v>0</v>
      </c>
      <c r="AY649" s="8">
        <v>0</v>
      </c>
      <c r="AZ649" s="8">
        <v>0</v>
      </c>
      <c r="BA649" s="8">
        <v>0</v>
      </c>
      <c r="BB649" s="8">
        <v>0</v>
      </c>
      <c r="BC649" s="8">
        <v>0</v>
      </c>
      <c r="BD649" s="8">
        <v>0</v>
      </c>
      <c r="BE649" s="8">
        <v>0</v>
      </c>
      <c r="BF649" s="8">
        <v>0</v>
      </c>
      <c r="BG649" s="8">
        <v>0</v>
      </c>
      <c r="BH649" s="8">
        <v>0</v>
      </c>
      <c r="BI649" s="8">
        <v>0</v>
      </c>
      <c r="BJ649" s="8">
        <v>0</v>
      </c>
      <c r="BK649" s="8">
        <v>0</v>
      </c>
      <c r="BL649" s="8">
        <v>0</v>
      </c>
      <c r="BM649" s="8">
        <v>0</v>
      </c>
      <c r="BN649" s="8">
        <v>0</v>
      </c>
      <c r="BO649" s="8">
        <v>0</v>
      </c>
      <c r="BP649" s="8">
        <v>0</v>
      </c>
      <c r="BQ649" s="8">
        <v>0</v>
      </c>
      <c r="BR649" s="8">
        <v>0</v>
      </c>
      <c r="BS649" s="8">
        <f t="shared" si="847"/>
        <v>6</v>
      </c>
      <c r="BT649" s="8"/>
      <c r="BU649" s="2">
        <f t="shared" si="752"/>
        <v>0</v>
      </c>
      <c r="BV649" s="2">
        <f t="shared" si="753"/>
        <v>4</v>
      </c>
      <c r="BW649" s="2">
        <f t="shared" si="754"/>
        <v>0</v>
      </c>
      <c r="BX649" s="2">
        <f t="shared" si="755"/>
        <v>1</v>
      </c>
      <c r="BY649" s="2">
        <f t="shared" si="756"/>
        <v>0</v>
      </c>
      <c r="BZ649" s="2">
        <f t="shared" ref="BZ649:CA649" si="859">SUM(AQ649)</f>
        <v>0</v>
      </c>
      <c r="CA649" s="2">
        <f t="shared" si="859"/>
        <v>0</v>
      </c>
      <c r="CB649" s="2">
        <f t="shared" si="758"/>
        <v>1</v>
      </c>
    </row>
    <row r="650" spans="1:80" ht="15" customHeight="1" x14ac:dyDescent="0.2">
      <c r="A650" s="3" t="s">
        <v>196</v>
      </c>
      <c r="B650" s="10">
        <v>840</v>
      </c>
      <c r="C650" s="5">
        <v>1</v>
      </c>
      <c r="D650" s="10">
        <v>0</v>
      </c>
      <c r="E650" s="10">
        <v>1</v>
      </c>
      <c r="F650" s="10">
        <v>1975</v>
      </c>
      <c r="G650" s="10">
        <v>2022</v>
      </c>
      <c r="H650" s="7" t="str">
        <f t="shared" si="751"/>
        <v>No</v>
      </c>
      <c r="I650" s="54" t="s">
        <v>55</v>
      </c>
      <c r="J650" s="8">
        <v>2</v>
      </c>
      <c r="K650" s="8" t="s">
        <v>59</v>
      </c>
      <c r="L650" s="8" t="s">
        <v>123</v>
      </c>
      <c r="M650" s="8" t="s">
        <v>123</v>
      </c>
      <c r="N650" s="8">
        <v>1</v>
      </c>
      <c r="O650" s="8">
        <v>0</v>
      </c>
      <c r="P650" s="8">
        <v>1</v>
      </c>
      <c r="Q650" s="8" t="s">
        <v>120</v>
      </c>
      <c r="R650" s="9">
        <v>0.1</v>
      </c>
      <c r="S650" s="8">
        <v>1</v>
      </c>
      <c r="T650" s="8">
        <v>1</v>
      </c>
      <c r="U650" s="8">
        <v>1</v>
      </c>
      <c r="V650" s="8">
        <v>1</v>
      </c>
      <c r="W650" s="8">
        <v>1</v>
      </c>
      <c r="X650" s="8">
        <v>0</v>
      </c>
      <c r="Y650" s="8">
        <v>0</v>
      </c>
      <c r="Z650" s="8">
        <v>1</v>
      </c>
      <c r="AA650" s="8" t="s">
        <v>197</v>
      </c>
      <c r="AB650" s="8">
        <v>0</v>
      </c>
      <c r="AC650" s="8">
        <v>0</v>
      </c>
      <c r="AD650" s="8">
        <v>1</v>
      </c>
      <c r="AE650" s="8">
        <v>1</v>
      </c>
      <c r="AF650" s="8">
        <v>1</v>
      </c>
      <c r="AG650" s="8">
        <v>0</v>
      </c>
      <c r="AH650" s="8">
        <v>0</v>
      </c>
      <c r="AI650" s="8">
        <v>0</v>
      </c>
      <c r="AJ650" s="8">
        <v>1</v>
      </c>
      <c r="AK650" s="8">
        <v>1</v>
      </c>
      <c r="AL650" s="8">
        <v>1</v>
      </c>
      <c r="AM650" s="8">
        <v>1</v>
      </c>
      <c r="AN650" s="8">
        <v>0</v>
      </c>
      <c r="AO650" s="8">
        <v>0</v>
      </c>
      <c r="AP650" s="8">
        <v>0</v>
      </c>
      <c r="AQ650" s="8">
        <v>0</v>
      </c>
      <c r="AR650" s="8">
        <v>0</v>
      </c>
      <c r="AS650" s="8">
        <v>0</v>
      </c>
      <c r="AT650" s="8">
        <v>1</v>
      </c>
      <c r="AU650" s="8">
        <v>1</v>
      </c>
      <c r="AV650" s="8">
        <v>0</v>
      </c>
      <c r="AW650" s="8">
        <v>0</v>
      </c>
      <c r="AX650" s="8">
        <v>0</v>
      </c>
      <c r="AY650" s="8">
        <v>0</v>
      </c>
      <c r="AZ650" s="8">
        <v>0</v>
      </c>
      <c r="BA650" s="8">
        <v>0</v>
      </c>
      <c r="BB650" s="8">
        <v>0</v>
      </c>
      <c r="BC650" s="8">
        <v>0</v>
      </c>
      <c r="BD650" s="8">
        <v>0</v>
      </c>
      <c r="BE650" s="8">
        <v>0</v>
      </c>
      <c r="BF650" s="8">
        <v>0</v>
      </c>
      <c r="BG650" s="8">
        <v>0</v>
      </c>
      <c r="BH650" s="8">
        <v>0</v>
      </c>
      <c r="BI650" s="8">
        <v>0</v>
      </c>
      <c r="BJ650" s="8">
        <v>0</v>
      </c>
      <c r="BK650" s="8">
        <v>0</v>
      </c>
      <c r="BL650" s="8">
        <v>0</v>
      </c>
      <c r="BM650" s="8">
        <v>0</v>
      </c>
      <c r="BN650" s="8">
        <v>0</v>
      </c>
      <c r="BO650" s="8">
        <v>0</v>
      </c>
      <c r="BP650" s="8">
        <v>0</v>
      </c>
      <c r="BQ650" s="8">
        <v>0</v>
      </c>
      <c r="BR650" s="8">
        <v>0</v>
      </c>
      <c r="BS650" s="8">
        <f t="shared" si="847"/>
        <v>6</v>
      </c>
      <c r="BT650" s="8"/>
      <c r="BU650" s="2">
        <f t="shared" si="752"/>
        <v>0</v>
      </c>
      <c r="BV650" s="2">
        <f t="shared" si="753"/>
        <v>4</v>
      </c>
      <c r="BW650" s="2">
        <f t="shared" si="754"/>
        <v>0</v>
      </c>
      <c r="BX650" s="2">
        <f t="shared" si="755"/>
        <v>1</v>
      </c>
      <c r="BY650" s="2">
        <f t="shared" si="756"/>
        <v>0</v>
      </c>
      <c r="BZ650" s="2">
        <f t="shared" ref="BZ650:CA650" si="860">SUM(AQ650)</f>
        <v>0</v>
      </c>
      <c r="CA650" s="2">
        <f t="shared" si="860"/>
        <v>0</v>
      </c>
      <c r="CB650" s="2">
        <f t="shared" si="758"/>
        <v>1</v>
      </c>
    </row>
    <row r="651" spans="1:80" ht="15" customHeight="1" x14ac:dyDescent="0.2">
      <c r="A651" s="3" t="s">
        <v>196</v>
      </c>
      <c r="B651" s="10">
        <v>840</v>
      </c>
      <c r="C651" s="5">
        <v>1</v>
      </c>
      <c r="D651" s="10">
        <v>0</v>
      </c>
      <c r="E651" s="10">
        <v>1</v>
      </c>
      <c r="F651" s="10">
        <v>1975</v>
      </c>
      <c r="G651" s="10">
        <v>2023</v>
      </c>
      <c r="H651" s="7" t="str">
        <f t="shared" si="751"/>
        <v>No</v>
      </c>
      <c r="I651" s="54" t="s">
        <v>55</v>
      </c>
      <c r="J651" s="8">
        <v>2</v>
      </c>
      <c r="K651" s="8" t="s">
        <v>59</v>
      </c>
      <c r="L651" s="8" t="s">
        <v>123</v>
      </c>
      <c r="M651" s="8" t="s">
        <v>123</v>
      </c>
      <c r="N651" s="8">
        <v>1</v>
      </c>
      <c r="O651" s="8">
        <v>0</v>
      </c>
      <c r="P651" s="8">
        <v>1</v>
      </c>
      <c r="Q651" s="8" t="s">
        <v>120</v>
      </c>
      <c r="R651" s="9">
        <v>0.1</v>
      </c>
      <c r="S651" s="8">
        <v>1</v>
      </c>
      <c r="T651" s="8">
        <v>1</v>
      </c>
      <c r="U651" s="8">
        <v>1</v>
      </c>
      <c r="V651" s="8">
        <v>1</v>
      </c>
      <c r="W651" s="8">
        <v>1</v>
      </c>
      <c r="X651" s="8">
        <v>0</v>
      </c>
      <c r="Y651" s="8">
        <v>0</v>
      </c>
      <c r="Z651" s="8">
        <v>1</v>
      </c>
      <c r="AA651" s="8" t="s">
        <v>197</v>
      </c>
      <c r="AB651" s="8">
        <v>0</v>
      </c>
      <c r="AC651" s="8">
        <v>0</v>
      </c>
      <c r="AD651" s="8">
        <v>1</v>
      </c>
      <c r="AE651" s="8">
        <v>1</v>
      </c>
      <c r="AF651" s="8">
        <v>1</v>
      </c>
      <c r="AG651" s="8">
        <v>0</v>
      </c>
      <c r="AH651" s="8">
        <v>0</v>
      </c>
      <c r="AI651" s="8">
        <v>0</v>
      </c>
      <c r="AJ651" s="8">
        <v>1</v>
      </c>
      <c r="AK651" s="8">
        <v>1</v>
      </c>
      <c r="AL651" s="8">
        <v>1</v>
      </c>
      <c r="AM651" s="8">
        <v>1</v>
      </c>
      <c r="AN651" s="8">
        <v>0</v>
      </c>
      <c r="AO651" s="8">
        <v>0</v>
      </c>
      <c r="AP651" s="8">
        <v>0</v>
      </c>
      <c r="AQ651" s="8">
        <v>0</v>
      </c>
      <c r="AR651" s="8">
        <v>0</v>
      </c>
      <c r="AS651" s="8">
        <v>0</v>
      </c>
      <c r="AT651" s="8">
        <v>1</v>
      </c>
      <c r="AU651" s="8">
        <v>1</v>
      </c>
      <c r="AV651" s="8">
        <v>0</v>
      </c>
      <c r="AW651" s="8">
        <v>0</v>
      </c>
      <c r="AX651" s="8">
        <v>0</v>
      </c>
      <c r="AY651" s="8">
        <v>0</v>
      </c>
      <c r="AZ651" s="8">
        <v>0</v>
      </c>
      <c r="BA651" s="8">
        <v>0</v>
      </c>
      <c r="BB651" s="8">
        <v>0</v>
      </c>
      <c r="BC651" s="8">
        <v>0</v>
      </c>
      <c r="BD651" s="8">
        <v>0</v>
      </c>
      <c r="BE651" s="8">
        <v>0</v>
      </c>
      <c r="BF651" s="8">
        <v>0</v>
      </c>
      <c r="BG651" s="8">
        <v>0</v>
      </c>
      <c r="BH651" s="8">
        <v>0</v>
      </c>
      <c r="BI651" s="8">
        <v>0</v>
      </c>
      <c r="BJ651" s="8">
        <v>0</v>
      </c>
      <c r="BK651" s="8">
        <v>0</v>
      </c>
      <c r="BL651" s="8">
        <v>0</v>
      </c>
      <c r="BM651" s="8">
        <v>0</v>
      </c>
      <c r="BN651" s="8">
        <v>0</v>
      </c>
      <c r="BO651" s="8">
        <v>0</v>
      </c>
      <c r="BP651" s="8">
        <v>0</v>
      </c>
      <c r="BQ651" s="8">
        <v>0</v>
      </c>
      <c r="BR651" s="8">
        <v>0</v>
      </c>
      <c r="BS651" s="8">
        <f t="shared" ref="BS651" si="861">SUM(AI651:BR651)</f>
        <v>6</v>
      </c>
      <c r="BT651" s="8"/>
      <c r="BU651" s="2">
        <f t="shared" ref="BU651" si="862">SUM(AI651,BK651)</f>
        <v>0</v>
      </c>
      <c r="BV651" s="2">
        <f t="shared" ref="BV651" si="863">SUM(AK651, AL651, AM651,AJ651,BL651,BO651, AP651)</f>
        <v>4</v>
      </c>
      <c r="BW651" s="2">
        <f t="shared" ref="BW651" si="864">SUM(AN651, AO651, AS651)</f>
        <v>0</v>
      </c>
      <c r="BX651" s="2">
        <f t="shared" ref="BX651" si="865">SUM(AU651,AV651,AW651,AX651,AY651,AZ651,BA651,BB651,BC651,BD651,BE651,BF651,BG651,BH651,BI651,BJ651,BQ651,BR651,BM651)</f>
        <v>1</v>
      </c>
      <c r="BY651" s="2">
        <f t="shared" ref="BY651" si="866">SUM(BP651, BN651)</f>
        <v>0</v>
      </c>
      <c r="BZ651" s="2">
        <f t="shared" ref="BZ651" si="867">SUM(AQ651)</f>
        <v>0</v>
      </c>
      <c r="CA651" s="2">
        <f t="shared" ref="CA651" si="868">SUM(AR651)</f>
        <v>0</v>
      </c>
      <c r="CB651" s="2">
        <f t="shared" ref="CB651" si="869">SUM(AT651)</f>
        <v>1</v>
      </c>
    </row>
    <row r="653" spans="1:80" ht="15" customHeight="1" x14ac:dyDescent="0.2">
      <c r="A653" s="28"/>
    </row>
  </sheetData>
  <autoFilter ref="A1:CB650" xr:uid="{00000000-0001-0000-0000-000000000000}"/>
  <phoneticPr fontId="33" type="noConversion"/>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1047"/>
  <sheetViews>
    <sheetView tabSelected="1" workbookViewId="0">
      <pane ySplit="1" topLeftCell="A2" activePane="bottomLeft" state="frozen"/>
      <selection pane="bottomLeft" activeCell="B26" sqref="B26"/>
    </sheetView>
  </sheetViews>
  <sheetFormatPr baseColWidth="10" defaultColWidth="11.1640625" defaultRowHeight="15" customHeight="1" x14ac:dyDescent="0.2"/>
  <cols>
    <col min="2" max="2" width="119.33203125" customWidth="1"/>
    <col min="3" max="3" width="20.1640625" customWidth="1"/>
    <col min="4" max="4" width="9.6640625" customWidth="1"/>
    <col min="5" max="5" width="14.1640625" customWidth="1"/>
    <col min="6" max="6" width="56.6640625" customWidth="1"/>
    <col min="7" max="7" width="21.1640625" customWidth="1"/>
    <col min="8" max="8" width="24.6640625" customWidth="1"/>
    <col min="9" max="9" width="18.6640625" customWidth="1"/>
    <col min="10" max="23" width="23" customWidth="1"/>
    <col min="24" max="25" width="25" customWidth="1"/>
    <col min="26" max="27" width="23" customWidth="1"/>
    <col min="28" max="30" width="13.1640625" customWidth="1"/>
    <col min="31" max="44" width="23" customWidth="1"/>
    <col min="45" max="63" width="16.6640625" customWidth="1"/>
    <col min="64" max="82" width="13.6640625" customWidth="1"/>
  </cols>
  <sheetData>
    <row r="1" spans="1:82" ht="15" customHeight="1" x14ac:dyDescent="0.2">
      <c r="A1" s="28" t="s">
        <v>659</v>
      </c>
      <c r="B1" s="110" t="s">
        <v>663</v>
      </c>
      <c r="C1" s="61" t="s">
        <v>661</v>
      </c>
      <c r="D1" s="61" t="s">
        <v>198</v>
      </c>
      <c r="E1" s="61" t="s">
        <v>199</v>
      </c>
      <c r="F1" s="61" t="s">
        <v>660</v>
      </c>
      <c r="G1" s="62" t="s">
        <v>13</v>
      </c>
      <c r="H1" s="62" t="s">
        <v>14</v>
      </c>
      <c r="I1" s="62" t="s">
        <v>15</v>
      </c>
      <c r="J1" s="62" t="s">
        <v>16</v>
      </c>
      <c r="K1" s="62" t="s">
        <v>17</v>
      </c>
      <c r="L1" s="62" t="s">
        <v>18</v>
      </c>
      <c r="M1" s="62" t="s">
        <v>19</v>
      </c>
      <c r="N1" s="63" t="s">
        <v>20</v>
      </c>
      <c r="O1" s="62" t="s">
        <v>21</v>
      </c>
      <c r="P1" s="62" t="s">
        <v>22</v>
      </c>
      <c r="Q1" s="62" t="s">
        <v>23</v>
      </c>
      <c r="R1" s="62" t="s">
        <v>24</v>
      </c>
      <c r="S1" s="62" t="s">
        <v>25</v>
      </c>
      <c r="T1" s="62" t="s">
        <v>26</v>
      </c>
      <c r="U1" s="62" t="s">
        <v>27</v>
      </c>
      <c r="V1" s="62" t="s">
        <v>28</v>
      </c>
      <c r="W1" s="62" t="s">
        <v>29</v>
      </c>
      <c r="X1" s="62" t="s">
        <v>30</v>
      </c>
      <c r="Y1" s="62" t="s">
        <v>31</v>
      </c>
      <c r="Z1" s="62" t="s">
        <v>32</v>
      </c>
      <c r="AA1" s="62" t="s">
        <v>33</v>
      </c>
      <c r="AB1" s="62" t="s">
        <v>200</v>
      </c>
      <c r="AC1" s="62" t="s">
        <v>35</v>
      </c>
      <c r="AD1" s="62" t="s">
        <v>36</v>
      </c>
      <c r="AE1" s="62" t="s">
        <v>201</v>
      </c>
      <c r="AF1" s="62" t="s">
        <v>202</v>
      </c>
      <c r="AG1" s="62" t="s">
        <v>203</v>
      </c>
      <c r="AH1" s="62" t="s">
        <v>204</v>
      </c>
      <c r="AI1" s="62" t="s">
        <v>205</v>
      </c>
      <c r="AJ1" s="62" t="s">
        <v>206</v>
      </c>
      <c r="AK1" s="62" t="s">
        <v>207</v>
      </c>
      <c r="AL1" s="62" t="s">
        <v>208</v>
      </c>
      <c r="AM1" s="62" t="s">
        <v>209</v>
      </c>
      <c r="AN1" s="62" t="s">
        <v>210</v>
      </c>
      <c r="AO1" s="62" t="s">
        <v>211</v>
      </c>
      <c r="AP1" s="62" t="s">
        <v>212</v>
      </c>
      <c r="AQ1" s="62" t="s">
        <v>213</v>
      </c>
      <c r="AR1" s="62" t="s">
        <v>214</v>
      </c>
      <c r="AS1" s="62" t="s">
        <v>37</v>
      </c>
      <c r="AT1" s="62" t="s">
        <v>215</v>
      </c>
      <c r="AU1" s="62" t="s">
        <v>216</v>
      </c>
      <c r="AV1" s="62" t="s">
        <v>217</v>
      </c>
      <c r="AW1" s="62" t="s">
        <v>218</v>
      </c>
      <c r="AX1" s="62" t="s">
        <v>219</v>
      </c>
      <c r="AY1" s="62" t="s">
        <v>215</v>
      </c>
      <c r="AZ1" s="62" t="s">
        <v>41</v>
      </c>
      <c r="BA1" s="62" t="s">
        <v>42</v>
      </c>
      <c r="BB1" s="62" t="s">
        <v>220</v>
      </c>
      <c r="BC1" s="62" t="s">
        <v>44</v>
      </c>
      <c r="BD1" s="62" t="s">
        <v>45</v>
      </c>
      <c r="BE1" s="62" t="s">
        <v>221</v>
      </c>
      <c r="BF1" s="62" t="s">
        <v>222</v>
      </c>
      <c r="BG1" s="62" t="s">
        <v>48</v>
      </c>
      <c r="BH1" s="62" t="s">
        <v>223</v>
      </c>
      <c r="BI1" s="62" t="s">
        <v>224</v>
      </c>
      <c r="BJ1" s="62" t="s">
        <v>225</v>
      </c>
      <c r="BK1" s="62" t="s">
        <v>226</v>
      </c>
      <c r="BL1" s="62" t="s">
        <v>227</v>
      </c>
      <c r="BM1" s="62" t="s">
        <v>228</v>
      </c>
      <c r="BN1" s="62" t="s">
        <v>229</v>
      </c>
      <c r="BO1" s="61" t="s">
        <v>230</v>
      </c>
      <c r="BP1" s="64"/>
      <c r="BQ1" s="64"/>
      <c r="BR1" s="64"/>
      <c r="BS1" s="64"/>
      <c r="BT1" s="64"/>
      <c r="BU1" s="64"/>
      <c r="BV1" s="64"/>
      <c r="BW1" s="64"/>
      <c r="BX1" s="64"/>
      <c r="BY1" s="64"/>
      <c r="BZ1" s="64"/>
      <c r="CA1" s="64"/>
      <c r="CB1" s="64"/>
      <c r="CC1" s="64"/>
      <c r="CD1" s="64"/>
    </row>
    <row r="2" spans="1:82" ht="15" customHeight="1" x14ac:dyDescent="0.2">
      <c r="A2">
        <v>1</v>
      </c>
      <c r="B2" t="s">
        <v>664</v>
      </c>
      <c r="C2" s="65" t="s">
        <v>231</v>
      </c>
      <c r="D2" s="7" t="s">
        <v>232</v>
      </c>
      <c r="E2" s="7" t="s">
        <v>233</v>
      </c>
      <c r="F2" s="3" t="s">
        <v>234</v>
      </c>
      <c r="G2" s="8" t="s">
        <v>51</v>
      </c>
      <c r="H2" s="8" t="s">
        <v>52</v>
      </c>
      <c r="I2" s="8" t="s">
        <v>52</v>
      </c>
      <c r="J2" s="8">
        <v>0</v>
      </c>
      <c r="K2" s="8">
        <v>0</v>
      </c>
      <c r="L2" s="8">
        <v>1</v>
      </c>
      <c r="M2" s="8" t="s">
        <v>53</v>
      </c>
      <c r="N2" s="9">
        <v>0.15</v>
      </c>
      <c r="O2" s="8">
        <v>0</v>
      </c>
      <c r="P2" s="8">
        <v>0</v>
      </c>
      <c r="Q2" s="8">
        <v>1</v>
      </c>
      <c r="R2" s="8">
        <v>1</v>
      </c>
      <c r="S2" s="8">
        <v>1</v>
      </c>
      <c r="T2" s="8">
        <v>1</v>
      </c>
      <c r="U2" s="8">
        <v>0</v>
      </c>
      <c r="V2" s="8">
        <v>1</v>
      </c>
      <c r="W2" s="8" t="s">
        <v>54</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3">
        <v>0</v>
      </c>
      <c r="BP2" s="3"/>
      <c r="BQ2" s="3"/>
      <c r="BR2" s="3"/>
      <c r="BS2" s="3"/>
      <c r="BT2" s="3"/>
      <c r="BU2" s="3"/>
      <c r="BV2" s="3"/>
      <c r="BW2" s="3"/>
      <c r="BX2" s="3"/>
      <c r="BY2" s="3"/>
      <c r="BZ2" s="3"/>
      <c r="CA2" s="3"/>
      <c r="CB2" s="3"/>
      <c r="CC2" s="3"/>
      <c r="CD2" s="3"/>
    </row>
    <row r="3" spans="1:82" ht="15" customHeight="1" x14ac:dyDescent="0.2">
      <c r="A3">
        <v>2</v>
      </c>
      <c r="B3" t="s">
        <v>665</v>
      </c>
      <c r="C3" s="65" t="s">
        <v>231</v>
      </c>
      <c r="D3" s="7" t="s">
        <v>93</v>
      </c>
      <c r="E3" s="7" t="s">
        <v>93</v>
      </c>
      <c r="F3" s="3" t="s">
        <v>235</v>
      </c>
      <c r="G3" s="8" t="s">
        <v>51</v>
      </c>
      <c r="H3" s="8" t="s">
        <v>52</v>
      </c>
      <c r="I3" s="8" t="s">
        <v>52</v>
      </c>
      <c r="J3" s="8">
        <v>0</v>
      </c>
      <c r="K3" s="8">
        <v>0</v>
      </c>
      <c r="L3" s="8">
        <v>1</v>
      </c>
      <c r="M3" s="8" t="s">
        <v>53</v>
      </c>
      <c r="N3" s="9">
        <v>0.15</v>
      </c>
      <c r="O3" s="8">
        <v>0</v>
      </c>
      <c r="P3" s="8">
        <v>0</v>
      </c>
      <c r="Q3" s="8">
        <v>1</v>
      </c>
      <c r="R3" s="8">
        <v>1</v>
      </c>
      <c r="S3" s="8">
        <v>1</v>
      </c>
      <c r="T3" s="8">
        <v>1</v>
      </c>
      <c r="U3" s="8">
        <v>0</v>
      </c>
      <c r="V3" s="8">
        <v>1</v>
      </c>
      <c r="W3" s="8" t="s">
        <v>54</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3">
        <f t="shared" ref="BO3:BO8" si="0">SUM(AE3:BN3)</f>
        <v>0</v>
      </c>
      <c r="BP3" s="3"/>
      <c r="BQ3" s="3"/>
      <c r="BR3" s="3"/>
      <c r="BS3" s="3"/>
      <c r="BT3" s="3"/>
      <c r="BU3" s="3"/>
      <c r="BV3" s="3"/>
      <c r="BW3" s="3"/>
      <c r="BX3" s="3"/>
      <c r="BY3" s="3"/>
      <c r="BZ3" s="3"/>
      <c r="CA3" s="3"/>
      <c r="CB3" s="3"/>
      <c r="CC3" s="3"/>
      <c r="CD3" s="3"/>
    </row>
    <row r="4" spans="1:82" ht="15" customHeight="1" x14ac:dyDescent="0.2">
      <c r="A4">
        <v>3</v>
      </c>
      <c r="B4" t="s">
        <v>666</v>
      </c>
      <c r="C4" s="65" t="s">
        <v>231</v>
      </c>
      <c r="D4" s="7" t="s">
        <v>74</v>
      </c>
      <c r="E4" s="7" t="s">
        <v>74</v>
      </c>
      <c r="F4" s="3" t="s">
        <v>236</v>
      </c>
      <c r="G4" s="8" t="s">
        <v>51</v>
      </c>
      <c r="H4" s="8" t="s">
        <v>52</v>
      </c>
      <c r="I4" s="8" t="s">
        <v>52</v>
      </c>
      <c r="J4" s="8">
        <v>0</v>
      </c>
      <c r="K4" s="8">
        <v>0</v>
      </c>
      <c r="L4" s="8">
        <v>1</v>
      </c>
      <c r="M4" s="8" t="s">
        <v>58</v>
      </c>
      <c r="N4" s="9">
        <v>0.15</v>
      </c>
      <c r="O4" s="8">
        <v>1</v>
      </c>
      <c r="P4" s="8">
        <v>0</v>
      </c>
      <c r="Q4" s="8">
        <v>1</v>
      </c>
      <c r="R4" s="8">
        <v>1</v>
      </c>
      <c r="S4" s="8">
        <v>1</v>
      </c>
      <c r="T4" s="8">
        <v>1</v>
      </c>
      <c r="U4" s="8">
        <v>0</v>
      </c>
      <c r="V4" s="8">
        <v>1</v>
      </c>
      <c r="W4" s="8" t="s">
        <v>237</v>
      </c>
      <c r="X4" s="8">
        <v>0</v>
      </c>
      <c r="Y4" s="8">
        <v>0</v>
      </c>
      <c r="Z4" s="8">
        <v>1</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3">
        <f t="shared" si="0"/>
        <v>0</v>
      </c>
      <c r="BP4" s="3"/>
      <c r="BQ4" s="3"/>
      <c r="BR4" s="3"/>
      <c r="BS4" s="3"/>
      <c r="BT4" s="3"/>
      <c r="BU4" s="3"/>
      <c r="BV4" s="3"/>
      <c r="BW4" s="3"/>
      <c r="BX4" s="3"/>
      <c r="BY4" s="3"/>
      <c r="BZ4" s="3"/>
      <c r="CA4" s="3"/>
      <c r="CB4" s="3"/>
      <c r="CC4" s="3"/>
      <c r="CD4" s="3"/>
    </row>
    <row r="5" spans="1:82" ht="15" customHeight="1" x14ac:dyDescent="0.2">
      <c r="A5">
        <v>4</v>
      </c>
      <c r="B5" t="s">
        <v>667</v>
      </c>
      <c r="C5" s="65" t="s">
        <v>231</v>
      </c>
      <c r="D5" s="7" t="s">
        <v>74</v>
      </c>
      <c r="E5" s="7" t="s">
        <v>74</v>
      </c>
      <c r="F5" s="3" t="s">
        <v>238</v>
      </c>
      <c r="G5" s="8" t="s">
        <v>51</v>
      </c>
      <c r="H5" s="8" t="s">
        <v>52</v>
      </c>
      <c r="I5" s="8" t="s">
        <v>52</v>
      </c>
      <c r="J5" s="8">
        <v>0</v>
      </c>
      <c r="K5" s="8">
        <v>0</v>
      </c>
      <c r="L5" s="8">
        <v>1</v>
      </c>
      <c r="M5" s="8" t="s">
        <v>58</v>
      </c>
      <c r="N5" s="9">
        <v>0.15</v>
      </c>
      <c r="O5" s="8">
        <v>1</v>
      </c>
      <c r="P5" s="8">
        <v>1</v>
      </c>
      <c r="Q5" s="8">
        <v>1</v>
      </c>
      <c r="R5" s="8">
        <v>1</v>
      </c>
      <c r="S5" s="8">
        <v>1</v>
      </c>
      <c r="T5" s="8">
        <v>1</v>
      </c>
      <c r="U5" s="8">
        <v>0</v>
      </c>
      <c r="V5" s="8">
        <v>1</v>
      </c>
      <c r="W5" s="8" t="s">
        <v>237</v>
      </c>
      <c r="X5" s="8">
        <v>0</v>
      </c>
      <c r="Y5" s="8">
        <v>0</v>
      </c>
      <c r="Z5" s="8">
        <v>1</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3">
        <f t="shared" si="0"/>
        <v>0</v>
      </c>
      <c r="BP5" s="3"/>
      <c r="BQ5" s="3"/>
      <c r="BR5" s="3"/>
      <c r="BS5" s="3"/>
      <c r="BT5" s="3"/>
      <c r="BU5" s="3"/>
      <c r="BV5" s="3"/>
      <c r="BW5" s="3"/>
      <c r="BX5" s="3"/>
      <c r="BY5" s="3"/>
      <c r="BZ5" s="3"/>
      <c r="CA5" s="3"/>
      <c r="CB5" s="3"/>
      <c r="CC5" s="3"/>
      <c r="CD5" s="3"/>
    </row>
    <row r="6" spans="1:82" ht="15" customHeight="1" x14ac:dyDescent="0.2">
      <c r="A6">
        <v>5</v>
      </c>
      <c r="B6" t="s">
        <v>668</v>
      </c>
      <c r="C6" s="65" t="s">
        <v>231</v>
      </c>
      <c r="D6" s="7" t="s">
        <v>76</v>
      </c>
      <c r="E6" s="7" t="s">
        <v>76</v>
      </c>
      <c r="F6" s="3" t="s">
        <v>239</v>
      </c>
      <c r="G6" s="8" t="s">
        <v>63</v>
      </c>
      <c r="H6" s="8" t="s">
        <v>52</v>
      </c>
      <c r="I6" s="8" t="s">
        <v>52</v>
      </c>
      <c r="J6" s="8">
        <v>0</v>
      </c>
      <c r="K6" s="8">
        <v>0</v>
      </c>
      <c r="L6" s="8">
        <v>1</v>
      </c>
      <c r="M6" s="8" t="s">
        <v>58</v>
      </c>
      <c r="N6" s="9">
        <v>0.2</v>
      </c>
      <c r="O6" s="8">
        <v>1</v>
      </c>
      <c r="P6" s="8">
        <v>1</v>
      </c>
      <c r="Q6" s="8">
        <v>1</v>
      </c>
      <c r="R6" s="8">
        <v>1</v>
      </c>
      <c r="S6" s="8">
        <v>1</v>
      </c>
      <c r="T6" s="8">
        <v>1</v>
      </c>
      <c r="U6" s="8">
        <v>0</v>
      </c>
      <c r="V6" s="8">
        <v>1</v>
      </c>
      <c r="W6" s="8" t="s">
        <v>237</v>
      </c>
      <c r="X6" s="8">
        <v>0</v>
      </c>
      <c r="Y6" s="8">
        <v>0</v>
      </c>
      <c r="Z6" s="8">
        <v>1</v>
      </c>
      <c r="AA6" s="8">
        <v>0</v>
      </c>
      <c r="AB6" s="8">
        <v>0</v>
      </c>
      <c r="AC6" s="8">
        <v>0</v>
      </c>
      <c r="AD6" s="8">
        <v>0</v>
      </c>
      <c r="AE6" s="8">
        <v>0</v>
      </c>
      <c r="AF6" s="8">
        <v>0</v>
      </c>
      <c r="AG6" s="8">
        <v>0</v>
      </c>
      <c r="AH6" s="8">
        <v>0</v>
      </c>
      <c r="AI6" s="8">
        <v>1</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3">
        <f t="shared" si="0"/>
        <v>1</v>
      </c>
      <c r="BP6" s="3"/>
      <c r="BQ6" s="3"/>
      <c r="BR6" s="3"/>
      <c r="BS6" s="3"/>
      <c r="BT6" s="3"/>
      <c r="BU6" s="3"/>
      <c r="BV6" s="3"/>
      <c r="BW6" s="3"/>
      <c r="BX6" s="3"/>
      <c r="BY6" s="3"/>
      <c r="BZ6" s="3"/>
      <c r="CA6" s="3"/>
      <c r="CB6" s="3"/>
      <c r="CC6" s="3"/>
      <c r="CD6" s="3"/>
    </row>
    <row r="7" spans="1:82" ht="15" customHeight="1" x14ac:dyDescent="0.2">
      <c r="A7">
        <v>6</v>
      </c>
      <c r="B7" t="s">
        <v>669</v>
      </c>
      <c r="C7" s="65" t="s">
        <v>231</v>
      </c>
      <c r="D7" s="7" t="s">
        <v>77</v>
      </c>
      <c r="E7" s="7" t="s">
        <v>77</v>
      </c>
      <c r="F7" s="3" t="s">
        <v>240</v>
      </c>
      <c r="G7" s="8" t="s">
        <v>63</v>
      </c>
      <c r="H7" s="8" t="s">
        <v>52</v>
      </c>
      <c r="I7" s="8" t="s">
        <v>52</v>
      </c>
      <c r="J7" s="8">
        <v>0</v>
      </c>
      <c r="K7" s="8">
        <v>0</v>
      </c>
      <c r="L7" s="8">
        <v>1</v>
      </c>
      <c r="M7" s="8" t="s">
        <v>58</v>
      </c>
      <c r="N7" s="9">
        <v>0.2</v>
      </c>
      <c r="O7" s="8">
        <v>1</v>
      </c>
      <c r="P7" s="8">
        <v>1</v>
      </c>
      <c r="Q7" s="8">
        <v>1</v>
      </c>
      <c r="R7" s="8">
        <v>1</v>
      </c>
      <c r="S7" s="8">
        <v>1</v>
      </c>
      <c r="T7" s="8">
        <v>1</v>
      </c>
      <c r="U7" s="8">
        <v>0</v>
      </c>
      <c r="V7" s="8">
        <v>1</v>
      </c>
      <c r="W7" s="8" t="s">
        <v>237</v>
      </c>
      <c r="X7" s="8">
        <v>0</v>
      </c>
      <c r="Y7" s="8">
        <v>0</v>
      </c>
      <c r="Z7" s="8">
        <v>1</v>
      </c>
      <c r="AA7" s="8">
        <v>0</v>
      </c>
      <c r="AB7" s="8">
        <v>0</v>
      </c>
      <c r="AC7" s="8">
        <v>0</v>
      </c>
      <c r="AD7" s="8">
        <v>0</v>
      </c>
      <c r="AE7" s="8">
        <v>0</v>
      </c>
      <c r="AF7" s="8">
        <v>1</v>
      </c>
      <c r="AG7" s="8">
        <v>1</v>
      </c>
      <c r="AH7" s="8">
        <v>0</v>
      </c>
      <c r="AI7" s="8">
        <v>1</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3">
        <f t="shared" si="0"/>
        <v>3</v>
      </c>
      <c r="BP7" s="3"/>
      <c r="BQ7" s="3"/>
      <c r="BR7" s="3"/>
      <c r="BS7" s="3"/>
      <c r="BT7" s="3"/>
      <c r="BU7" s="3"/>
      <c r="BV7" s="3"/>
      <c r="BW7" s="3"/>
      <c r="BX7" s="3"/>
      <c r="BY7" s="3"/>
      <c r="BZ7" s="3"/>
      <c r="CA7" s="3"/>
      <c r="CB7" s="3"/>
      <c r="CC7" s="3"/>
      <c r="CD7" s="3"/>
    </row>
    <row r="8" spans="1:82" ht="15" customHeight="1" x14ac:dyDescent="0.2">
      <c r="A8">
        <v>7</v>
      </c>
      <c r="B8" t="s">
        <v>670</v>
      </c>
      <c r="C8" s="65" t="s">
        <v>231</v>
      </c>
      <c r="D8" s="7" t="s">
        <v>79</v>
      </c>
      <c r="E8" s="7" t="s">
        <v>79</v>
      </c>
      <c r="F8" s="3" t="s">
        <v>241</v>
      </c>
      <c r="G8" s="8" t="s">
        <v>51</v>
      </c>
      <c r="H8" s="8" t="s">
        <v>52</v>
      </c>
      <c r="I8" s="8" t="s">
        <v>52</v>
      </c>
      <c r="J8" s="8">
        <v>0</v>
      </c>
      <c r="K8" s="8">
        <v>0</v>
      </c>
      <c r="L8" s="8">
        <v>1</v>
      </c>
      <c r="M8" s="8" t="s">
        <v>60</v>
      </c>
      <c r="N8" s="9">
        <v>0.2</v>
      </c>
      <c r="O8" s="8">
        <v>1</v>
      </c>
      <c r="P8" s="8">
        <v>1</v>
      </c>
      <c r="Q8" s="8">
        <v>1</v>
      </c>
      <c r="R8" s="8">
        <v>1</v>
      </c>
      <c r="S8" s="8">
        <v>1</v>
      </c>
      <c r="T8" s="8">
        <v>1</v>
      </c>
      <c r="U8" s="8">
        <v>0</v>
      </c>
      <c r="V8" s="8">
        <v>1</v>
      </c>
      <c r="W8" s="8" t="s">
        <v>54</v>
      </c>
      <c r="X8" s="8">
        <v>0</v>
      </c>
      <c r="Y8" s="8">
        <v>0</v>
      </c>
      <c r="Z8" s="8">
        <v>1</v>
      </c>
      <c r="AA8" s="8">
        <v>0</v>
      </c>
      <c r="AB8" s="8">
        <v>0</v>
      </c>
      <c r="AC8" s="8">
        <v>0</v>
      </c>
      <c r="AD8" s="8">
        <v>1</v>
      </c>
      <c r="AE8" s="8">
        <v>1</v>
      </c>
      <c r="AF8" s="8">
        <v>1</v>
      </c>
      <c r="AG8" s="8">
        <v>1</v>
      </c>
      <c r="AH8" s="8">
        <v>1</v>
      </c>
      <c r="AI8" s="8">
        <v>1</v>
      </c>
      <c r="AJ8" s="8">
        <v>1</v>
      </c>
      <c r="AK8" s="8">
        <v>0</v>
      </c>
      <c r="AL8" s="8">
        <v>0</v>
      </c>
      <c r="AM8" s="8">
        <v>0</v>
      </c>
      <c r="AN8" s="8">
        <v>0</v>
      </c>
      <c r="AO8" s="8">
        <v>0</v>
      </c>
      <c r="AP8" s="8">
        <v>1</v>
      </c>
      <c r="AQ8" s="8">
        <v>0</v>
      </c>
      <c r="AR8" s="8">
        <v>0</v>
      </c>
      <c r="AS8" s="8">
        <v>0</v>
      </c>
      <c r="AT8" s="8">
        <v>0</v>
      </c>
      <c r="AU8" s="8">
        <v>0</v>
      </c>
      <c r="AV8" s="8">
        <v>0</v>
      </c>
      <c r="AW8" s="8">
        <v>0</v>
      </c>
      <c r="AX8" s="8">
        <v>0</v>
      </c>
      <c r="AY8" s="8">
        <v>0</v>
      </c>
      <c r="AZ8" s="8">
        <v>0</v>
      </c>
      <c r="BA8" s="8">
        <v>0</v>
      </c>
      <c r="BB8" s="8">
        <v>0</v>
      </c>
      <c r="BC8" s="8">
        <v>0</v>
      </c>
      <c r="BD8" s="8">
        <v>0</v>
      </c>
      <c r="BE8" s="8">
        <v>0</v>
      </c>
      <c r="BF8" s="8">
        <v>0</v>
      </c>
      <c r="BG8" s="8">
        <v>1</v>
      </c>
      <c r="BH8" s="8">
        <v>0</v>
      </c>
      <c r="BI8" s="8">
        <v>0</v>
      </c>
      <c r="BJ8" s="8">
        <v>0</v>
      </c>
      <c r="BK8" s="8">
        <v>1</v>
      </c>
      <c r="BL8" s="8">
        <v>0</v>
      </c>
      <c r="BM8" s="8">
        <v>0</v>
      </c>
      <c r="BN8" s="8">
        <v>0</v>
      </c>
      <c r="BO8" s="3">
        <f t="shared" si="0"/>
        <v>9</v>
      </c>
      <c r="BP8" s="3"/>
      <c r="BQ8" s="3"/>
      <c r="BR8" s="3"/>
      <c r="BS8" s="3"/>
      <c r="BT8" s="3"/>
      <c r="BU8" s="3"/>
      <c r="BV8" s="3"/>
      <c r="BW8" s="3"/>
      <c r="BX8" s="3"/>
      <c r="BY8" s="3"/>
      <c r="BZ8" s="3"/>
      <c r="CA8" s="3"/>
      <c r="CB8" s="3"/>
      <c r="CC8" s="3"/>
      <c r="CD8" s="3"/>
    </row>
    <row r="9" spans="1:82" ht="15" customHeight="1" x14ac:dyDescent="0.2">
      <c r="A9">
        <v>8</v>
      </c>
      <c r="B9" t="s">
        <v>671</v>
      </c>
      <c r="C9" s="65" t="s">
        <v>231</v>
      </c>
      <c r="D9" s="7" t="s">
        <v>79</v>
      </c>
      <c r="E9" s="7" t="s">
        <v>80</v>
      </c>
      <c r="F9" s="3" t="s">
        <v>242</v>
      </c>
      <c r="G9" s="8" t="s">
        <v>51</v>
      </c>
      <c r="H9" s="8" t="s">
        <v>52</v>
      </c>
      <c r="I9" s="8" t="s">
        <v>52</v>
      </c>
      <c r="J9" s="8">
        <v>1</v>
      </c>
      <c r="K9" s="8">
        <v>1</v>
      </c>
      <c r="L9" s="8">
        <v>1</v>
      </c>
      <c r="M9" s="8" t="s">
        <v>61</v>
      </c>
      <c r="N9" s="9">
        <v>0.2</v>
      </c>
      <c r="O9" s="8">
        <v>1</v>
      </c>
      <c r="P9" s="8">
        <v>1</v>
      </c>
      <c r="Q9" s="8">
        <v>1</v>
      </c>
      <c r="R9" s="8">
        <v>1</v>
      </c>
      <c r="S9" s="8">
        <v>1</v>
      </c>
      <c r="T9" s="8">
        <v>1</v>
      </c>
      <c r="U9" s="8">
        <v>0</v>
      </c>
      <c r="V9" s="8">
        <v>1</v>
      </c>
      <c r="W9" s="8" t="s">
        <v>54</v>
      </c>
      <c r="X9" s="8">
        <v>0</v>
      </c>
      <c r="Y9" s="8">
        <v>0</v>
      </c>
      <c r="Z9" s="8">
        <v>1</v>
      </c>
      <c r="AA9" s="8">
        <v>0</v>
      </c>
      <c r="AB9" s="8">
        <v>0</v>
      </c>
      <c r="AC9" s="8">
        <v>0</v>
      </c>
      <c r="AD9" s="8">
        <v>0</v>
      </c>
      <c r="AE9" s="8">
        <v>1</v>
      </c>
      <c r="AF9" s="8">
        <v>1</v>
      </c>
      <c r="AG9" s="8">
        <v>1</v>
      </c>
      <c r="AH9" s="8">
        <v>1</v>
      </c>
      <c r="AI9" s="8">
        <v>1</v>
      </c>
      <c r="AJ9" s="8">
        <v>1</v>
      </c>
      <c r="AK9" s="8">
        <v>0</v>
      </c>
      <c r="AL9" s="8">
        <v>1</v>
      </c>
      <c r="AM9" s="8">
        <v>1</v>
      </c>
      <c r="AN9" s="8">
        <v>1</v>
      </c>
      <c r="AO9" s="8">
        <v>0</v>
      </c>
      <c r="AP9" s="8">
        <v>1</v>
      </c>
      <c r="AQ9" s="8">
        <v>0</v>
      </c>
      <c r="AR9" s="8">
        <v>0</v>
      </c>
      <c r="AS9" s="8">
        <v>0</v>
      </c>
      <c r="AT9" s="8">
        <v>0</v>
      </c>
      <c r="AU9" s="8">
        <v>0</v>
      </c>
      <c r="AV9" s="8">
        <v>0</v>
      </c>
      <c r="AW9" s="8">
        <v>0</v>
      </c>
      <c r="AX9" s="8">
        <v>0</v>
      </c>
      <c r="AY9" s="8">
        <v>0</v>
      </c>
      <c r="AZ9" s="8">
        <v>0</v>
      </c>
      <c r="BA9" s="8">
        <v>0</v>
      </c>
      <c r="BB9" s="8">
        <v>0</v>
      </c>
      <c r="BC9" s="8">
        <v>0</v>
      </c>
      <c r="BD9" s="8">
        <v>0</v>
      </c>
      <c r="BE9" s="8">
        <v>0</v>
      </c>
      <c r="BF9" s="8">
        <v>0</v>
      </c>
      <c r="BG9" s="8">
        <v>1</v>
      </c>
      <c r="BH9" s="8">
        <v>1</v>
      </c>
      <c r="BI9" s="8">
        <v>0</v>
      </c>
      <c r="BJ9" s="8">
        <v>0</v>
      </c>
      <c r="BK9" s="8">
        <v>1</v>
      </c>
      <c r="BL9" s="8">
        <v>0</v>
      </c>
      <c r="BM9" s="8">
        <v>0</v>
      </c>
      <c r="BN9" s="8">
        <v>0</v>
      </c>
      <c r="BO9" s="7">
        <f t="shared" ref="BO9:BO11" si="1">SUM(D9:BN9)</f>
        <v>24.2</v>
      </c>
      <c r="BP9" s="3"/>
      <c r="BQ9" s="3"/>
      <c r="BR9" s="3"/>
      <c r="BS9" s="3"/>
      <c r="BT9" s="3"/>
      <c r="BU9" s="3"/>
      <c r="BV9" s="3"/>
      <c r="BW9" s="3"/>
      <c r="BX9" s="3"/>
      <c r="BY9" s="3"/>
      <c r="BZ9" s="3"/>
      <c r="CA9" s="3"/>
      <c r="CB9" s="3"/>
      <c r="CC9" s="3"/>
      <c r="CD9" s="3"/>
    </row>
    <row r="10" spans="1:82" ht="15" customHeight="1" x14ac:dyDescent="0.2">
      <c r="A10">
        <v>9</v>
      </c>
      <c r="B10" t="s">
        <v>672</v>
      </c>
      <c r="C10" s="65" t="s">
        <v>231</v>
      </c>
      <c r="D10" s="7" t="s">
        <v>80</v>
      </c>
      <c r="E10" s="7" t="s">
        <v>80</v>
      </c>
      <c r="F10" s="3" t="s">
        <v>243</v>
      </c>
      <c r="G10" s="8" t="s">
        <v>63</v>
      </c>
      <c r="H10" s="8" t="s">
        <v>52</v>
      </c>
      <c r="I10" s="8" t="s">
        <v>52</v>
      </c>
      <c r="J10" s="8">
        <v>1</v>
      </c>
      <c r="K10" s="8">
        <v>0</v>
      </c>
      <c r="L10" s="8">
        <v>1</v>
      </c>
      <c r="M10" s="8" t="s">
        <v>60</v>
      </c>
      <c r="N10" s="9">
        <v>0.1</v>
      </c>
      <c r="O10" s="8">
        <v>1</v>
      </c>
      <c r="P10" s="8">
        <v>1</v>
      </c>
      <c r="Q10" s="8">
        <v>1</v>
      </c>
      <c r="R10" s="8">
        <v>1</v>
      </c>
      <c r="S10" s="8">
        <v>1</v>
      </c>
      <c r="T10" s="8">
        <v>1</v>
      </c>
      <c r="U10" s="8">
        <v>0</v>
      </c>
      <c r="V10" s="8">
        <v>1</v>
      </c>
      <c r="W10" s="8" t="s">
        <v>54</v>
      </c>
      <c r="X10" s="8">
        <v>0</v>
      </c>
      <c r="Y10" s="8">
        <v>0</v>
      </c>
      <c r="Z10" s="8">
        <v>1</v>
      </c>
      <c r="AA10" s="8">
        <v>0</v>
      </c>
      <c r="AB10" s="8">
        <v>0</v>
      </c>
      <c r="AC10" s="8">
        <v>0</v>
      </c>
      <c r="AD10" s="8">
        <v>0</v>
      </c>
      <c r="AE10" s="8">
        <v>1</v>
      </c>
      <c r="AF10" s="8">
        <v>1</v>
      </c>
      <c r="AG10" s="8">
        <v>1</v>
      </c>
      <c r="AH10" s="8">
        <v>1</v>
      </c>
      <c r="AI10" s="8">
        <v>1</v>
      </c>
      <c r="AJ10" s="8">
        <v>1</v>
      </c>
      <c r="AK10" s="8">
        <v>0</v>
      </c>
      <c r="AL10" s="8">
        <v>1</v>
      </c>
      <c r="AM10" s="8">
        <v>1</v>
      </c>
      <c r="AN10" s="8">
        <v>1</v>
      </c>
      <c r="AO10" s="8">
        <v>0</v>
      </c>
      <c r="AP10" s="8">
        <v>1</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1</v>
      </c>
      <c r="BH10" s="8">
        <v>1</v>
      </c>
      <c r="BI10" s="8">
        <v>0</v>
      </c>
      <c r="BJ10" s="8">
        <v>0</v>
      </c>
      <c r="BK10" s="8">
        <v>1</v>
      </c>
      <c r="BL10" s="8">
        <v>0</v>
      </c>
      <c r="BM10" s="8">
        <v>0</v>
      </c>
      <c r="BN10" s="8">
        <v>0</v>
      </c>
      <c r="BO10" s="7">
        <f t="shared" si="1"/>
        <v>23.1</v>
      </c>
      <c r="BP10" s="3"/>
      <c r="BQ10" s="3"/>
      <c r="BR10" s="3"/>
      <c r="BS10" s="3"/>
      <c r="BT10" s="3"/>
      <c r="BU10" s="3"/>
      <c r="BV10" s="3"/>
      <c r="BW10" s="3"/>
      <c r="BX10" s="3"/>
      <c r="BY10" s="3"/>
      <c r="BZ10" s="3"/>
      <c r="CA10" s="3"/>
      <c r="CB10" s="3"/>
      <c r="CC10" s="3"/>
      <c r="CD10" s="3"/>
    </row>
    <row r="11" spans="1:82" ht="15" customHeight="1" x14ac:dyDescent="0.2">
      <c r="A11">
        <v>10</v>
      </c>
      <c r="B11" t="s">
        <v>673</v>
      </c>
      <c r="C11" s="65" t="s">
        <v>231</v>
      </c>
      <c r="D11" s="7" t="s">
        <v>244</v>
      </c>
      <c r="E11" s="7" t="s">
        <v>244</v>
      </c>
      <c r="F11" s="3" t="s">
        <v>245</v>
      </c>
      <c r="G11" s="8" t="s">
        <v>51</v>
      </c>
      <c r="H11" s="8" t="s">
        <v>52</v>
      </c>
      <c r="I11" s="8" t="s">
        <v>52</v>
      </c>
      <c r="J11" s="8">
        <v>1</v>
      </c>
      <c r="K11" s="8">
        <v>0</v>
      </c>
      <c r="L11" s="8">
        <v>1</v>
      </c>
      <c r="M11" s="8" t="s">
        <v>60</v>
      </c>
      <c r="N11" s="9">
        <v>0.1</v>
      </c>
      <c r="O11" s="8">
        <v>1</v>
      </c>
      <c r="P11" s="8">
        <v>1</v>
      </c>
      <c r="Q11" s="8">
        <v>1</v>
      </c>
      <c r="R11" s="8">
        <v>1</v>
      </c>
      <c r="S11" s="8">
        <v>1</v>
      </c>
      <c r="T11" s="8">
        <v>1</v>
      </c>
      <c r="U11" s="8">
        <v>0</v>
      </c>
      <c r="V11" s="8">
        <v>1</v>
      </c>
      <c r="W11" s="8" t="s">
        <v>54</v>
      </c>
      <c r="X11" s="8">
        <v>0</v>
      </c>
      <c r="Y11" s="8">
        <v>0</v>
      </c>
      <c r="Z11" s="8">
        <v>1</v>
      </c>
      <c r="AA11" s="8">
        <v>0</v>
      </c>
      <c r="AB11" s="8">
        <v>0</v>
      </c>
      <c r="AC11" s="8">
        <v>0</v>
      </c>
      <c r="AD11" s="8">
        <v>0</v>
      </c>
      <c r="AE11" s="8">
        <v>1</v>
      </c>
      <c r="AF11" s="8">
        <v>1</v>
      </c>
      <c r="AG11" s="8">
        <v>1</v>
      </c>
      <c r="AH11" s="8">
        <v>1</v>
      </c>
      <c r="AI11" s="8">
        <v>1</v>
      </c>
      <c r="AJ11" s="8">
        <v>1</v>
      </c>
      <c r="AK11" s="8">
        <v>0</v>
      </c>
      <c r="AL11" s="8">
        <v>1</v>
      </c>
      <c r="AM11" s="8">
        <v>1</v>
      </c>
      <c r="AN11" s="8">
        <v>1</v>
      </c>
      <c r="AO11" s="8">
        <v>0</v>
      </c>
      <c r="AP11" s="8">
        <v>1</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1</v>
      </c>
      <c r="BH11" s="8">
        <v>1</v>
      </c>
      <c r="BI11" s="8">
        <v>0</v>
      </c>
      <c r="BJ11" s="8">
        <v>0</v>
      </c>
      <c r="BK11" s="8">
        <v>1</v>
      </c>
      <c r="BL11" s="8">
        <v>0</v>
      </c>
      <c r="BM11" s="8">
        <v>0</v>
      </c>
      <c r="BN11" s="8">
        <v>0</v>
      </c>
      <c r="BO11" s="7">
        <f t="shared" si="1"/>
        <v>23.1</v>
      </c>
      <c r="BP11" s="3"/>
      <c r="BQ11" s="3"/>
      <c r="BR11" s="3"/>
      <c r="BS11" s="3"/>
      <c r="BT11" s="3"/>
      <c r="BU11" s="3"/>
      <c r="BV11" s="3"/>
      <c r="BW11" s="3"/>
      <c r="BX11" s="3"/>
      <c r="BY11" s="3"/>
      <c r="BZ11" s="3"/>
      <c r="CA11" s="3"/>
      <c r="CB11" s="3"/>
      <c r="CC11" s="3"/>
      <c r="CD11" s="3"/>
    </row>
    <row r="12" spans="1:82" ht="15" customHeight="1" x14ac:dyDescent="0.2">
      <c r="A12">
        <v>11</v>
      </c>
      <c r="B12" t="s">
        <v>674</v>
      </c>
      <c r="C12" s="65" t="s">
        <v>62</v>
      </c>
      <c r="D12" s="7" t="s">
        <v>70</v>
      </c>
      <c r="E12" s="7" t="s">
        <v>70</v>
      </c>
      <c r="F12" s="3" t="s">
        <v>246</v>
      </c>
      <c r="G12" s="8" t="s">
        <v>63</v>
      </c>
      <c r="H12" s="8" t="s">
        <v>64</v>
      </c>
      <c r="I12" s="8" t="s">
        <v>247</v>
      </c>
      <c r="J12" s="8">
        <v>0</v>
      </c>
      <c r="K12" s="8">
        <v>0</v>
      </c>
      <c r="L12" s="8">
        <v>0</v>
      </c>
      <c r="M12" s="8" t="s">
        <v>65</v>
      </c>
      <c r="N12" s="9">
        <v>0.25</v>
      </c>
      <c r="O12" s="8">
        <v>0</v>
      </c>
      <c r="P12" s="8">
        <v>0</v>
      </c>
      <c r="Q12" s="8">
        <v>0</v>
      </c>
      <c r="R12" s="8">
        <v>0</v>
      </c>
      <c r="S12" s="8">
        <v>1</v>
      </c>
      <c r="T12" s="8">
        <v>0</v>
      </c>
      <c r="U12" s="8">
        <v>0</v>
      </c>
      <c r="V12" s="8">
        <v>0</v>
      </c>
      <c r="W12" s="8" t="s">
        <v>66</v>
      </c>
      <c r="X12" s="8">
        <v>0</v>
      </c>
      <c r="Y12" s="8">
        <v>0</v>
      </c>
      <c r="Z12" s="8">
        <v>0</v>
      </c>
      <c r="AA12" s="8">
        <v>0</v>
      </c>
      <c r="AB12" s="8">
        <v>0</v>
      </c>
      <c r="AC12" s="8">
        <v>0</v>
      </c>
      <c r="AD12" s="8">
        <v>0</v>
      </c>
      <c r="AE12" s="8">
        <v>1</v>
      </c>
      <c r="AF12" s="8">
        <v>1</v>
      </c>
      <c r="AG12" s="8">
        <v>1</v>
      </c>
      <c r="AH12" s="8">
        <v>1</v>
      </c>
      <c r="AI12" s="8">
        <v>1</v>
      </c>
      <c r="AJ12" s="8">
        <v>1</v>
      </c>
      <c r="AK12" s="8">
        <v>1</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3">
        <f t="shared" ref="BO12:BO24" si="2">SUM(AE12:BN12)</f>
        <v>7</v>
      </c>
      <c r="BP12" s="3"/>
      <c r="BQ12" s="3"/>
      <c r="BR12" s="3"/>
      <c r="BS12" s="3"/>
      <c r="BT12" s="3"/>
      <c r="BU12" s="3"/>
      <c r="BV12" s="3"/>
      <c r="BW12" s="3"/>
      <c r="BX12" s="3"/>
      <c r="BY12" s="3"/>
      <c r="BZ12" s="3"/>
      <c r="CA12" s="3"/>
      <c r="CB12" s="3"/>
      <c r="CC12" s="3"/>
      <c r="CD12" s="3"/>
    </row>
    <row r="13" spans="1:82" ht="15" customHeight="1" x14ac:dyDescent="0.2">
      <c r="A13">
        <v>12</v>
      </c>
      <c r="B13" t="s">
        <v>674</v>
      </c>
      <c r="C13" s="65" t="s">
        <v>62</v>
      </c>
      <c r="D13" s="7" t="s">
        <v>71</v>
      </c>
      <c r="E13" s="7" t="s">
        <v>72</v>
      </c>
      <c r="F13" s="3" t="s">
        <v>248</v>
      </c>
      <c r="G13" s="8" t="s">
        <v>63</v>
      </c>
      <c r="H13" s="8" t="s">
        <v>249</v>
      </c>
      <c r="I13" s="8" t="s">
        <v>247</v>
      </c>
      <c r="J13" s="8">
        <v>0</v>
      </c>
      <c r="K13" s="8">
        <v>0</v>
      </c>
      <c r="L13" s="8">
        <v>0</v>
      </c>
      <c r="M13" s="8" t="s">
        <v>67</v>
      </c>
      <c r="N13" s="9">
        <v>0.25</v>
      </c>
      <c r="O13" s="8">
        <v>0</v>
      </c>
      <c r="P13" s="8">
        <v>0</v>
      </c>
      <c r="Q13" s="8">
        <v>0</v>
      </c>
      <c r="R13" s="8">
        <v>0</v>
      </c>
      <c r="S13" s="8">
        <v>1</v>
      </c>
      <c r="T13" s="8">
        <v>0</v>
      </c>
      <c r="U13" s="8">
        <v>0</v>
      </c>
      <c r="V13" s="8">
        <v>0</v>
      </c>
      <c r="W13" s="8" t="s">
        <v>66</v>
      </c>
      <c r="X13" s="8">
        <v>0</v>
      </c>
      <c r="Y13" s="8">
        <v>0</v>
      </c>
      <c r="Z13" s="8">
        <v>0</v>
      </c>
      <c r="AA13" s="8">
        <v>0</v>
      </c>
      <c r="AB13" s="8">
        <v>0</v>
      </c>
      <c r="AC13" s="8">
        <v>0</v>
      </c>
      <c r="AD13" s="8">
        <v>0</v>
      </c>
      <c r="AE13" s="8">
        <v>1</v>
      </c>
      <c r="AF13" s="8">
        <v>1</v>
      </c>
      <c r="AG13" s="8">
        <v>1</v>
      </c>
      <c r="AH13" s="8">
        <v>1</v>
      </c>
      <c r="AI13" s="8">
        <v>1</v>
      </c>
      <c r="AJ13" s="8">
        <v>1</v>
      </c>
      <c r="AK13" s="8">
        <v>1</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3">
        <f t="shared" si="2"/>
        <v>7</v>
      </c>
      <c r="BP13" s="3"/>
      <c r="BQ13" s="3"/>
      <c r="BR13" s="3"/>
      <c r="BS13" s="3"/>
      <c r="BT13" s="3"/>
      <c r="BU13" s="3"/>
      <c r="BV13" s="3"/>
      <c r="BW13" s="3"/>
      <c r="BX13" s="3"/>
      <c r="BY13" s="3"/>
      <c r="BZ13" s="3"/>
      <c r="CA13" s="3"/>
      <c r="CB13" s="3"/>
      <c r="CC13" s="3"/>
      <c r="CD13" s="3"/>
    </row>
    <row r="14" spans="1:82" ht="15" customHeight="1" x14ac:dyDescent="0.2">
      <c r="A14">
        <v>13</v>
      </c>
      <c r="B14" t="s">
        <v>674</v>
      </c>
      <c r="C14" s="65" t="s">
        <v>62</v>
      </c>
      <c r="D14" s="7" t="s">
        <v>78</v>
      </c>
      <c r="E14" s="7" t="s">
        <v>79</v>
      </c>
      <c r="F14" s="3" t="s">
        <v>250</v>
      </c>
      <c r="G14" s="8" t="s">
        <v>63</v>
      </c>
      <c r="H14" s="8" t="s">
        <v>64</v>
      </c>
      <c r="I14" s="8" t="s">
        <v>247</v>
      </c>
      <c r="J14" s="8">
        <v>0</v>
      </c>
      <c r="K14" s="8">
        <v>0</v>
      </c>
      <c r="L14" s="8">
        <v>0</v>
      </c>
      <c r="M14" s="8" t="s">
        <v>67</v>
      </c>
      <c r="N14" s="9">
        <v>0.1</v>
      </c>
      <c r="O14" s="8">
        <v>0</v>
      </c>
      <c r="P14" s="8">
        <v>0</v>
      </c>
      <c r="Q14" s="8">
        <v>0</v>
      </c>
      <c r="R14" s="8">
        <v>1</v>
      </c>
      <c r="S14" s="8">
        <v>1</v>
      </c>
      <c r="T14" s="8">
        <v>0</v>
      </c>
      <c r="U14" s="8">
        <v>0</v>
      </c>
      <c r="V14" s="8">
        <v>1</v>
      </c>
      <c r="W14" s="8" t="s">
        <v>68</v>
      </c>
      <c r="X14" s="8">
        <v>0</v>
      </c>
      <c r="Y14" s="8">
        <v>0</v>
      </c>
      <c r="Z14" s="8">
        <v>0</v>
      </c>
      <c r="AA14" s="8">
        <v>0</v>
      </c>
      <c r="AB14" s="8">
        <v>1</v>
      </c>
      <c r="AC14" s="8">
        <v>0</v>
      </c>
      <c r="AD14" s="8">
        <v>0</v>
      </c>
      <c r="AE14" s="8">
        <v>1</v>
      </c>
      <c r="AF14" s="8">
        <v>1</v>
      </c>
      <c r="AG14" s="8">
        <v>1</v>
      </c>
      <c r="AH14" s="8">
        <v>1</v>
      </c>
      <c r="AI14" s="8">
        <v>1</v>
      </c>
      <c r="AJ14" s="8">
        <v>1</v>
      </c>
      <c r="AK14" s="8">
        <v>1</v>
      </c>
      <c r="AL14" s="8">
        <v>1</v>
      </c>
      <c r="AM14" s="8">
        <v>1</v>
      </c>
      <c r="AN14" s="8">
        <v>1</v>
      </c>
      <c r="AO14" s="8">
        <v>1</v>
      </c>
      <c r="AP14" s="8">
        <v>1</v>
      </c>
      <c r="AQ14" s="8">
        <v>0</v>
      </c>
      <c r="AR14" s="8">
        <v>1</v>
      </c>
      <c r="AS14" s="8">
        <v>1</v>
      </c>
      <c r="AT14" s="8">
        <v>0</v>
      </c>
      <c r="AU14" s="8">
        <v>1</v>
      </c>
      <c r="AV14" s="8">
        <v>0</v>
      </c>
      <c r="AW14" s="8">
        <v>0</v>
      </c>
      <c r="AX14" s="8">
        <v>1</v>
      </c>
      <c r="AY14" s="8">
        <v>0</v>
      </c>
      <c r="AZ14" s="8">
        <v>0</v>
      </c>
      <c r="BA14" s="8">
        <v>1</v>
      </c>
      <c r="BB14" s="8">
        <v>0</v>
      </c>
      <c r="BC14" s="8">
        <v>0</v>
      </c>
      <c r="BD14" s="8">
        <v>0</v>
      </c>
      <c r="BE14" s="8">
        <v>0</v>
      </c>
      <c r="BF14" s="8">
        <v>1</v>
      </c>
      <c r="BG14" s="8">
        <v>1</v>
      </c>
      <c r="BH14" s="8">
        <v>1</v>
      </c>
      <c r="BI14" s="8">
        <v>1</v>
      </c>
      <c r="BJ14" s="8">
        <v>0</v>
      </c>
      <c r="BK14" s="8">
        <v>0</v>
      </c>
      <c r="BL14" s="8">
        <v>0</v>
      </c>
      <c r="BM14" s="8">
        <v>0</v>
      </c>
      <c r="BN14" s="8">
        <v>1</v>
      </c>
      <c r="BO14" s="3">
        <f t="shared" si="2"/>
        <v>22</v>
      </c>
      <c r="BP14" s="3"/>
      <c r="BQ14" s="3"/>
      <c r="BR14" s="3"/>
      <c r="BS14" s="3"/>
      <c r="BT14" s="3"/>
      <c r="BU14" s="3"/>
      <c r="BV14" s="3"/>
      <c r="BW14" s="3"/>
      <c r="BX14" s="3"/>
      <c r="BY14" s="3"/>
      <c r="BZ14" s="3"/>
      <c r="CA14" s="3"/>
      <c r="CB14" s="3"/>
      <c r="CC14" s="3"/>
      <c r="CD14" s="3"/>
    </row>
    <row r="15" spans="1:82" ht="15" customHeight="1" x14ac:dyDescent="0.2">
      <c r="A15">
        <v>14</v>
      </c>
      <c r="B15" t="s">
        <v>675</v>
      </c>
      <c r="C15" s="66" t="s">
        <v>69</v>
      </c>
      <c r="D15" s="22" t="s">
        <v>244</v>
      </c>
      <c r="E15" s="22" t="s">
        <v>251</v>
      </c>
      <c r="F15" s="21" t="s">
        <v>252</v>
      </c>
      <c r="G15" s="23" t="s">
        <v>63</v>
      </c>
      <c r="H15" s="23" t="s">
        <v>64</v>
      </c>
      <c r="I15" s="23" t="s">
        <v>64</v>
      </c>
      <c r="J15" s="23">
        <v>1</v>
      </c>
      <c r="K15" s="23">
        <v>0</v>
      </c>
      <c r="L15" s="23">
        <v>1</v>
      </c>
      <c r="M15" s="23" t="s">
        <v>65</v>
      </c>
      <c r="N15" s="25">
        <v>0.1</v>
      </c>
      <c r="O15" s="23">
        <v>0</v>
      </c>
      <c r="P15" s="23">
        <v>0</v>
      </c>
      <c r="Q15" s="23">
        <v>1</v>
      </c>
      <c r="R15" s="23">
        <v>1</v>
      </c>
      <c r="S15" s="23">
        <v>1</v>
      </c>
      <c r="T15" s="23">
        <v>0</v>
      </c>
      <c r="U15" s="23">
        <v>0</v>
      </c>
      <c r="V15" s="23">
        <v>1</v>
      </c>
      <c r="W15" s="23" t="s">
        <v>84</v>
      </c>
      <c r="X15" s="23">
        <v>0</v>
      </c>
      <c r="Y15" s="23">
        <v>1</v>
      </c>
      <c r="Z15" s="23">
        <v>0</v>
      </c>
      <c r="AA15" s="23">
        <v>1</v>
      </c>
      <c r="AB15" s="23">
        <v>0</v>
      </c>
      <c r="AC15" s="23">
        <v>1</v>
      </c>
      <c r="AD15" s="23">
        <v>0</v>
      </c>
      <c r="AE15" s="23">
        <v>1</v>
      </c>
      <c r="AF15" s="23">
        <v>1</v>
      </c>
      <c r="AG15" s="23">
        <v>1</v>
      </c>
      <c r="AH15" s="23">
        <v>1</v>
      </c>
      <c r="AI15" s="23">
        <v>1</v>
      </c>
      <c r="AJ15" s="23">
        <v>1</v>
      </c>
      <c r="AK15" s="23">
        <v>0</v>
      </c>
      <c r="AL15" s="23">
        <v>1</v>
      </c>
      <c r="AM15" s="23">
        <v>1</v>
      </c>
      <c r="AN15" s="23">
        <v>1</v>
      </c>
      <c r="AO15" s="23">
        <v>0</v>
      </c>
      <c r="AP15" s="23">
        <v>1</v>
      </c>
      <c r="AQ15" s="23">
        <v>1</v>
      </c>
      <c r="AR15" s="23">
        <v>1</v>
      </c>
      <c r="AS15" s="23">
        <v>1</v>
      </c>
      <c r="AT15" s="23">
        <v>0</v>
      </c>
      <c r="AU15" s="23">
        <v>1</v>
      </c>
      <c r="AV15" s="23">
        <v>1</v>
      </c>
      <c r="AW15" s="23">
        <v>0</v>
      </c>
      <c r="AX15" s="23">
        <v>1</v>
      </c>
      <c r="AY15" s="23">
        <v>0</v>
      </c>
      <c r="AZ15" s="23">
        <v>0</v>
      </c>
      <c r="BA15" s="23">
        <v>1</v>
      </c>
      <c r="BB15" s="23">
        <v>0</v>
      </c>
      <c r="BC15" s="23">
        <v>0</v>
      </c>
      <c r="BD15" s="23">
        <v>0</v>
      </c>
      <c r="BE15" s="23">
        <v>0</v>
      </c>
      <c r="BF15" s="23">
        <v>1</v>
      </c>
      <c r="BG15" s="23">
        <v>1</v>
      </c>
      <c r="BH15" s="23">
        <v>1</v>
      </c>
      <c r="BI15" s="23">
        <v>1</v>
      </c>
      <c r="BJ15" s="23">
        <v>0</v>
      </c>
      <c r="BK15" s="23">
        <v>1</v>
      </c>
      <c r="BL15" s="23">
        <v>0</v>
      </c>
      <c r="BM15" s="23">
        <v>1</v>
      </c>
      <c r="BN15" s="23">
        <v>0</v>
      </c>
      <c r="BO15" s="21">
        <f t="shared" si="2"/>
        <v>23</v>
      </c>
      <c r="BP15" s="3"/>
      <c r="BQ15" s="3"/>
      <c r="BR15" s="3"/>
      <c r="BS15" s="3"/>
      <c r="BT15" s="3"/>
      <c r="BU15" s="3"/>
      <c r="BV15" s="3"/>
      <c r="BW15" s="3"/>
      <c r="BX15" s="3"/>
      <c r="BY15" s="3"/>
      <c r="BZ15" s="3"/>
      <c r="CA15" s="3"/>
      <c r="CB15" s="3"/>
      <c r="CC15" s="3"/>
      <c r="CD15" s="3"/>
    </row>
    <row r="16" spans="1:82" ht="15" customHeight="1" x14ac:dyDescent="0.2">
      <c r="A16">
        <v>15</v>
      </c>
      <c r="B16" t="s">
        <v>676</v>
      </c>
      <c r="C16" s="65" t="s">
        <v>85</v>
      </c>
      <c r="D16" s="7" t="s">
        <v>253</v>
      </c>
      <c r="E16" s="7" t="s">
        <v>253</v>
      </c>
      <c r="F16" s="3" t="s">
        <v>254</v>
      </c>
      <c r="G16" s="8" t="s">
        <v>51</v>
      </c>
      <c r="H16" s="8" t="s">
        <v>64</v>
      </c>
      <c r="I16" s="8" t="s">
        <v>52</v>
      </c>
      <c r="J16" s="8">
        <v>1</v>
      </c>
      <c r="K16" s="8">
        <v>1</v>
      </c>
      <c r="L16" s="8">
        <v>0</v>
      </c>
      <c r="M16" s="8" t="s">
        <v>87</v>
      </c>
      <c r="N16" s="6" t="s">
        <v>88</v>
      </c>
      <c r="O16" s="8">
        <v>0</v>
      </c>
      <c r="P16" s="8">
        <v>1</v>
      </c>
      <c r="Q16" s="8">
        <v>1</v>
      </c>
      <c r="R16" s="8">
        <v>0</v>
      </c>
      <c r="S16" s="8">
        <v>0</v>
      </c>
      <c r="T16" s="8">
        <v>1</v>
      </c>
      <c r="U16" s="8">
        <v>0</v>
      </c>
      <c r="V16" s="8">
        <v>1</v>
      </c>
      <c r="W16" s="8" t="s">
        <v>89</v>
      </c>
      <c r="X16" s="8">
        <v>0</v>
      </c>
      <c r="Y16" s="8">
        <v>0</v>
      </c>
      <c r="Z16" s="8">
        <v>1</v>
      </c>
      <c r="AA16" s="8">
        <v>0</v>
      </c>
      <c r="AB16" s="8">
        <v>0</v>
      </c>
      <c r="AC16" s="8">
        <v>0</v>
      </c>
      <c r="AD16" s="8">
        <v>0</v>
      </c>
      <c r="AE16" s="8">
        <v>0</v>
      </c>
      <c r="AF16" s="8">
        <v>0</v>
      </c>
      <c r="AG16" s="8">
        <v>0</v>
      </c>
      <c r="AH16" s="8">
        <v>0</v>
      </c>
      <c r="AI16" s="8">
        <v>0</v>
      </c>
      <c r="AJ16" s="8">
        <v>0</v>
      </c>
      <c r="AK16" s="8">
        <v>0</v>
      </c>
      <c r="AL16" s="8">
        <v>0</v>
      </c>
      <c r="AM16" s="8">
        <v>0</v>
      </c>
      <c r="AN16" s="8">
        <v>0</v>
      </c>
      <c r="AO16" s="8">
        <v>0</v>
      </c>
      <c r="AP16" s="8">
        <v>0</v>
      </c>
      <c r="AQ16" s="8">
        <v>0</v>
      </c>
      <c r="AR16" s="8">
        <v>0</v>
      </c>
      <c r="AS16" s="8">
        <v>0</v>
      </c>
      <c r="AT16" s="8">
        <v>0</v>
      </c>
      <c r="AU16" s="8">
        <v>0</v>
      </c>
      <c r="AV16" s="8">
        <v>0</v>
      </c>
      <c r="AW16" s="8">
        <v>0</v>
      </c>
      <c r="AX16" s="8">
        <v>0</v>
      </c>
      <c r="AY16" s="8">
        <v>0</v>
      </c>
      <c r="AZ16" s="8">
        <v>0</v>
      </c>
      <c r="BA16" s="8">
        <v>0</v>
      </c>
      <c r="BB16" s="8">
        <v>0</v>
      </c>
      <c r="BC16" s="8">
        <v>0</v>
      </c>
      <c r="BD16" s="8">
        <v>0</v>
      </c>
      <c r="BE16" s="8">
        <v>0</v>
      </c>
      <c r="BF16" s="8">
        <v>0</v>
      </c>
      <c r="BG16" s="8">
        <v>0</v>
      </c>
      <c r="BH16" s="8">
        <v>0</v>
      </c>
      <c r="BI16" s="8">
        <v>0</v>
      </c>
      <c r="BJ16" s="8">
        <v>0</v>
      </c>
      <c r="BK16" s="8">
        <v>0</v>
      </c>
      <c r="BL16" s="8">
        <v>0</v>
      </c>
      <c r="BM16" s="8">
        <v>0</v>
      </c>
      <c r="BN16" s="8">
        <v>0</v>
      </c>
      <c r="BO16" s="3">
        <f t="shared" si="2"/>
        <v>0</v>
      </c>
      <c r="BP16" s="3"/>
      <c r="BQ16" s="3"/>
      <c r="BR16" s="3"/>
      <c r="BS16" s="3"/>
      <c r="BT16" s="3"/>
      <c r="BU16" s="3"/>
      <c r="BV16" s="3"/>
      <c r="BW16" s="3"/>
      <c r="BX16" s="3"/>
      <c r="BY16" s="3"/>
      <c r="BZ16" s="3"/>
      <c r="CA16" s="3"/>
      <c r="CB16" s="3"/>
      <c r="CC16" s="3"/>
      <c r="CD16" s="3"/>
    </row>
    <row r="17" spans="1:82" ht="15" customHeight="1" x14ac:dyDescent="0.2">
      <c r="A17">
        <v>16</v>
      </c>
      <c r="B17" t="s">
        <v>677</v>
      </c>
      <c r="C17" s="65" t="s">
        <v>85</v>
      </c>
      <c r="D17" s="7" t="s">
        <v>255</v>
      </c>
      <c r="E17" s="7" t="s">
        <v>255</v>
      </c>
      <c r="F17" s="3" t="s">
        <v>256</v>
      </c>
      <c r="G17" s="8" t="s">
        <v>63</v>
      </c>
      <c r="H17" s="8" t="s">
        <v>64</v>
      </c>
      <c r="I17" s="8" t="s">
        <v>52</v>
      </c>
      <c r="J17" s="8">
        <v>1</v>
      </c>
      <c r="K17" s="8">
        <v>1</v>
      </c>
      <c r="L17" s="8">
        <v>0</v>
      </c>
      <c r="M17" s="8" t="s">
        <v>87</v>
      </c>
      <c r="N17" s="6" t="s">
        <v>88</v>
      </c>
      <c r="O17" s="8">
        <v>0</v>
      </c>
      <c r="P17" s="8">
        <v>1</v>
      </c>
      <c r="Q17" s="8">
        <v>1</v>
      </c>
      <c r="R17" s="8">
        <v>0</v>
      </c>
      <c r="S17" s="8">
        <v>0</v>
      </c>
      <c r="T17" s="8">
        <v>1</v>
      </c>
      <c r="U17" s="8">
        <v>0</v>
      </c>
      <c r="V17" s="8">
        <v>1</v>
      </c>
      <c r="W17" s="8" t="s">
        <v>89</v>
      </c>
      <c r="X17" s="8">
        <v>0</v>
      </c>
      <c r="Y17" s="8">
        <v>0</v>
      </c>
      <c r="Z17" s="8">
        <v>1</v>
      </c>
      <c r="AA17" s="8">
        <v>0</v>
      </c>
      <c r="AB17" s="8">
        <v>0</v>
      </c>
      <c r="AC17" s="8">
        <v>0</v>
      </c>
      <c r="AD17" s="8">
        <v>0</v>
      </c>
      <c r="AE17" s="8">
        <v>0</v>
      </c>
      <c r="AF17" s="8">
        <v>0</v>
      </c>
      <c r="AG17" s="8">
        <v>0</v>
      </c>
      <c r="AH17" s="8">
        <v>0</v>
      </c>
      <c r="AI17" s="8">
        <v>0</v>
      </c>
      <c r="AJ17" s="8">
        <v>0</v>
      </c>
      <c r="AK17" s="8">
        <v>0</v>
      </c>
      <c r="AL17" s="8">
        <v>0</v>
      </c>
      <c r="AM17" s="8">
        <v>1</v>
      </c>
      <c r="AN17" s="8">
        <v>1</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3">
        <f t="shared" si="2"/>
        <v>2</v>
      </c>
      <c r="BP17" s="3"/>
      <c r="BQ17" s="3"/>
      <c r="BR17" s="3"/>
      <c r="BS17" s="3"/>
      <c r="BT17" s="3"/>
      <c r="BU17" s="3"/>
      <c r="BV17" s="3"/>
      <c r="BW17" s="3"/>
      <c r="BX17" s="3"/>
      <c r="BY17" s="3"/>
      <c r="BZ17" s="3"/>
      <c r="CA17" s="3"/>
      <c r="CB17" s="3"/>
      <c r="CC17" s="3"/>
      <c r="CD17" s="3"/>
    </row>
    <row r="18" spans="1:82" ht="15" customHeight="1" x14ac:dyDescent="0.2">
      <c r="A18">
        <v>17</v>
      </c>
      <c r="B18" t="s">
        <v>678</v>
      </c>
      <c r="C18" s="65" t="s">
        <v>85</v>
      </c>
      <c r="D18" s="7" t="s">
        <v>257</v>
      </c>
      <c r="E18" s="7" t="s">
        <v>257</v>
      </c>
      <c r="F18" s="3" t="s">
        <v>258</v>
      </c>
      <c r="G18" s="8" t="s">
        <v>63</v>
      </c>
      <c r="H18" s="8" t="s">
        <v>64</v>
      </c>
      <c r="I18" s="8" t="s">
        <v>52</v>
      </c>
      <c r="J18" s="8">
        <v>1</v>
      </c>
      <c r="K18" s="8">
        <v>1</v>
      </c>
      <c r="L18" s="8">
        <v>0</v>
      </c>
      <c r="M18" s="8" t="s">
        <v>87</v>
      </c>
      <c r="N18" s="6" t="s">
        <v>88</v>
      </c>
      <c r="O18" s="8">
        <v>0</v>
      </c>
      <c r="P18" s="8">
        <v>1</v>
      </c>
      <c r="Q18" s="8">
        <v>1</v>
      </c>
      <c r="R18" s="8">
        <v>0</v>
      </c>
      <c r="S18" s="8">
        <v>0</v>
      </c>
      <c r="T18" s="8">
        <v>1</v>
      </c>
      <c r="U18" s="8">
        <v>0</v>
      </c>
      <c r="V18" s="8">
        <v>1</v>
      </c>
      <c r="W18" s="8" t="s">
        <v>89</v>
      </c>
      <c r="X18" s="8">
        <v>0</v>
      </c>
      <c r="Y18" s="8">
        <v>0</v>
      </c>
      <c r="Z18" s="8">
        <v>1</v>
      </c>
      <c r="AA18" s="8">
        <v>0</v>
      </c>
      <c r="AB18" s="8">
        <v>0</v>
      </c>
      <c r="AC18" s="8">
        <v>0</v>
      </c>
      <c r="AD18" s="8">
        <v>0</v>
      </c>
      <c r="AE18" s="8">
        <v>0</v>
      </c>
      <c r="AF18" s="8">
        <v>0</v>
      </c>
      <c r="AG18" s="8">
        <v>0</v>
      </c>
      <c r="AH18" s="8">
        <v>0</v>
      </c>
      <c r="AI18" s="8">
        <v>1</v>
      </c>
      <c r="AJ18" s="8">
        <v>0</v>
      </c>
      <c r="AK18" s="8">
        <v>0</v>
      </c>
      <c r="AL18" s="8">
        <v>0</v>
      </c>
      <c r="AM18" s="8">
        <v>1</v>
      </c>
      <c r="AN18" s="8">
        <v>1</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3">
        <f t="shared" si="2"/>
        <v>3</v>
      </c>
      <c r="BP18" s="3"/>
      <c r="BQ18" s="3"/>
      <c r="BR18" s="3"/>
      <c r="BS18" s="3"/>
      <c r="BT18" s="3"/>
      <c r="BU18" s="3"/>
      <c r="BV18" s="3"/>
      <c r="BW18" s="3"/>
      <c r="BX18" s="3"/>
      <c r="BY18" s="3"/>
      <c r="BZ18" s="3"/>
      <c r="CA18" s="3"/>
      <c r="CB18" s="3"/>
      <c r="CC18" s="3"/>
      <c r="CD18" s="3"/>
    </row>
    <row r="19" spans="1:82" ht="15" customHeight="1" x14ac:dyDescent="0.2">
      <c r="A19">
        <v>18</v>
      </c>
      <c r="B19" t="s">
        <v>679</v>
      </c>
      <c r="C19" s="65" t="s">
        <v>85</v>
      </c>
      <c r="D19" s="7" t="s">
        <v>259</v>
      </c>
      <c r="E19" s="7" t="s">
        <v>259</v>
      </c>
      <c r="F19" s="3" t="s">
        <v>260</v>
      </c>
      <c r="G19" s="8" t="s">
        <v>63</v>
      </c>
      <c r="H19" s="8" t="s">
        <v>64</v>
      </c>
      <c r="I19" s="8" t="s">
        <v>52</v>
      </c>
      <c r="J19" s="8">
        <v>1</v>
      </c>
      <c r="K19" s="8">
        <v>1</v>
      </c>
      <c r="L19" s="8">
        <v>0</v>
      </c>
      <c r="M19" s="8" t="s">
        <v>87</v>
      </c>
      <c r="N19" s="6" t="s">
        <v>88</v>
      </c>
      <c r="O19" s="8">
        <v>0</v>
      </c>
      <c r="P19" s="8">
        <v>1</v>
      </c>
      <c r="Q19" s="8">
        <v>1</v>
      </c>
      <c r="R19" s="8">
        <v>0</v>
      </c>
      <c r="S19" s="8">
        <v>0</v>
      </c>
      <c r="T19" s="8">
        <v>1</v>
      </c>
      <c r="U19" s="8">
        <v>0</v>
      </c>
      <c r="V19" s="8">
        <v>1</v>
      </c>
      <c r="W19" s="8" t="s">
        <v>89</v>
      </c>
      <c r="X19" s="8">
        <v>0</v>
      </c>
      <c r="Y19" s="8">
        <v>0</v>
      </c>
      <c r="Z19" s="8">
        <v>1</v>
      </c>
      <c r="AA19" s="8">
        <v>0</v>
      </c>
      <c r="AB19" s="8">
        <v>0</v>
      </c>
      <c r="AC19" s="8">
        <v>0</v>
      </c>
      <c r="AD19" s="8">
        <v>0</v>
      </c>
      <c r="AE19" s="8">
        <v>0</v>
      </c>
      <c r="AF19" s="8">
        <v>0</v>
      </c>
      <c r="AG19" s="8">
        <v>0</v>
      </c>
      <c r="AH19" s="8">
        <v>1</v>
      </c>
      <c r="AI19" s="8">
        <v>1</v>
      </c>
      <c r="AJ19" s="8">
        <v>0</v>
      </c>
      <c r="AK19" s="8">
        <v>0</v>
      </c>
      <c r="AL19" s="8">
        <v>0</v>
      </c>
      <c r="AM19" s="8">
        <v>1</v>
      </c>
      <c r="AN19" s="8">
        <v>1</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3">
        <f t="shared" si="2"/>
        <v>4</v>
      </c>
      <c r="BP19" s="3"/>
      <c r="BQ19" s="3"/>
      <c r="BR19" s="3"/>
      <c r="BS19" s="3"/>
      <c r="BT19" s="3"/>
      <c r="BU19" s="3"/>
      <c r="BV19" s="3"/>
      <c r="BW19" s="3"/>
      <c r="BX19" s="3"/>
      <c r="BY19" s="3"/>
      <c r="BZ19" s="3"/>
      <c r="CA19" s="3"/>
      <c r="CB19" s="3"/>
      <c r="CC19" s="3"/>
      <c r="CD19" s="3"/>
    </row>
    <row r="20" spans="1:82" ht="15" customHeight="1" x14ac:dyDescent="0.2">
      <c r="A20">
        <v>19</v>
      </c>
      <c r="B20" t="s">
        <v>680</v>
      </c>
      <c r="C20" s="65" t="s">
        <v>85</v>
      </c>
      <c r="D20" s="7" t="s">
        <v>91</v>
      </c>
      <c r="E20" s="7" t="s">
        <v>261</v>
      </c>
      <c r="F20" s="3" t="s">
        <v>262</v>
      </c>
      <c r="G20" s="8" t="s">
        <v>51</v>
      </c>
      <c r="H20" s="8" t="s">
        <v>64</v>
      </c>
      <c r="I20" s="8" t="s">
        <v>52</v>
      </c>
      <c r="J20" s="8">
        <v>1</v>
      </c>
      <c r="K20" s="8">
        <v>1</v>
      </c>
      <c r="L20" s="8">
        <v>0</v>
      </c>
      <c r="M20" s="8" t="s">
        <v>92</v>
      </c>
      <c r="N20" s="8" t="s">
        <v>88</v>
      </c>
      <c r="O20" s="8">
        <v>0</v>
      </c>
      <c r="P20" s="8">
        <v>1</v>
      </c>
      <c r="Q20" s="8">
        <v>1</v>
      </c>
      <c r="R20" s="8">
        <v>0</v>
      </c>
      <c r="S20" s="8">
        <v>1</v>
      </c>
      <c r="T20" s="8">
        <v>1</v>
      </c>
      <c r="U20" s="8">
        <v>0</v>
      </c>
      <c r="V20" s="8">
        <v>1</v>
      </c>
      <c r="W20" s="8" t="s">
        <v>89</v>
      </c>
      <c r="X20" s="8">
        <v>0</v>
      </c>
      <c r="Y20" s="8">
        <v>0</v>
      </c>
      <c r="Z20" s="8">
        <v>1</v>
      </c>
      <c r="AA20" s="8">
        <v>0</v>
      </c>
      <c r="AB20" s="8">
        <v>0</v>
      </c>
      <c r="AC20" s="8">
        <v>0</v>
      </c>
      <c r="AD20" s="8">
        <v>0</v>
      </c>
      <c r="AE20" s="8">
        <v>0</v>
      </c>
      <c r="AF20" s="8">
        <v>0</v>
      </c>
      <c r="AG20" s="8">
        <v>0</v>
      </c>
      <c r="AH20" s="8">
        <v>1</v>
      </c>
      <c r="AI20" s="8">
        <v>1</v>
      </c>
      <c r="AJ20" s="8">
        <v>0</v>
      </c>
      <c r="AK20" s="8">
        <v>0</v>
      </c>
      <c r="AL20" s="8">
        <v>0</v>
      </c>
      <c r="AM20" s="8">
        <v>1</v>
      </c>
      <c r="AN20" s="8">
        <v>1</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3">
        <f t="shared" si="2"/>
        <v>4</v>
      </c>
      <c r="BP20" s="3"/>
      <c r="BQ20" s="3"/>
      <c r="BR20" s="3"/>
      <c r="BS20" s="3"/>
      <c r="BT20" s="3"/>
      <c r="BU20" s="3"/>
      <c r="BV20" s="3"/>
      <c r="BW20" s="3"/>
      <c r="BX20" s="3"/>
      <c r="BY20" s="3"/>
      <c r="BZ20" s="3"/>
      <c r="CA20" s="3"/>
      <c r="CB20" s="3"/>
      <c r="CC20" s="3"/>
      <c r="CD20" s="3"/>
    </row>
    <row r="21" spans="1:82" ht="15" customHeight="1" x14ac:dyDescent="0.2">
      <c r="A21">
        <v>20</v>
      </c>
      <c r="B21" t="s">
        <v>681</v>
      </c>
      <c r="C21" s="65" t="s">
        <v>85</v>
      </c>
      <c r="D21" s="7" t="s">
        <v>74</v>
      </c>
      <c r="E21" s="7" t="s">
        <v>74</v>
      </c>
      <c r="F21" s="3" t="s">
        <v>263</v>
      </c>
      <c r="G21" s="8" t="s">
        <v>51</v>
      </c>
      <c r="H21" s="8" t="s">
        <v>64</v>
      </c>
      <c r="I21" s="8" t="s">
        <v>52</v>
      </c>
      <c r="J21" s="8">
        <v>1</v>
      </c>
      <c r="K21" s="8">
        <v>1</v>
      </c>
      <c r="L21" s="8">
        <v>0</v>
      </c>
      <c r="M21" s="8" t="s">
        <v>94</v>
      </c>
      <c r="N21" s="6" t="s">
        <v>88</v>
      </c>
      <c r="O21" s="8">
        <v>0</v>
      </c>
      <c r="P21" s="8">
        <v>1</v>
      </c>
      <c r="Q21" s="8">
        <v>1</v>
      </c>
      <c r="R21" s="8">
        <v>0</v>
      </c>
      <c r="S21" s="8">
        <v>1</v>
      </c>
      <c r="T21" s="8">
        <v>1</v>
      </c>
      <c r="U21" s="8">
        <v>0</v>
      </c>
      <c r="V21" s="8">
        <v>1</v>
      </c>
      <c r="W21" s="8" t="s">
        <v>89</v>
      </c>
      <c r="X21" s="8">
        <v>0</v>
      </c>
      <c r="Y21" s="8">
        <v>0</v>
      </c>
      <c r="Z21" s="8">
        <v>1</v>
      </c>
      <c r="AA21" s="8">
        <v>0</v>
      </c>
      <c r="AB21" s="8">
        <v>0</v>
      </c>
      <c r="AC21" s="8">
        <v>0</v>
      </c>
      <c r="AD21" s="8">
        <v>0</v>
      </c>
      <c r="AE21" s="8">
        <v>0</v>
      </c>
      <c r="AF21" s="8">
        <v>0</v>
      </c>
      <c r="AG21" s="8">
        <v>0</v>
      </c>
      <c r="AH21" s="8">
        <v>1</v>
      </c>
      <c r="AI21" s="8">
        <v>1</v>
      </c>
      <c r="AJ21" s="8">
        <v>0</v>
      </c>
      <c r="AK21" s="8">
        <v>0</v>
      </c>
      <c r="AL21" s="8">
        <v>0</v>
      </c>
      <c r="AM21" s="8">
        <v>1</v>
      </c>
      <c r="AN21" s="8">
        <v>1</v>
      </c>
      <c r="AO21" s="8">
        <v>0</v>
      </c>
      <c r="AP21" s="8">
        <v>0</v>
      </c>
      <c r="AQ21" s="8">
        <v>0</v>
      </c>
      <c r="AR21" s="8">
        <v>0</v>
      </c>
      <c r="AS21" s="8">
        <v>0</v>
      </c>
      <c r="AT21" s="8">
        <v>0</v>
      </c>
      <c r="AU21" s="8">
        <v>0</v>
      </c>
      <c r="AV21" s="8">
        <v>0</v>
      </c>
      <c r="AW21" s="8">
        <v>0</v>
      </c>
      <c r="AX21" s="8">
        <v>0</v>
      </c>
      <c r="AY21" s="8">
        <v>0</v>
      </c>
      <c r="AZ21" s="8">
        <v>0</v>
      </c>
      <c r="BA21" s="8">
        <v>0</v>
      </c>
      <c r="BB21" s="8">
        <v>0</v>
      </c>
      <c r="BC21" s="8">
        <v>0</v>
      </c>
      <c r="BD21" s="8">
        <v>0</v>
      </c>
      <c r="BE21" s="8">
        <v>0</v>
      </c>
      <c r="BF21" s="8">
        <v>0</v>
      </c>
      <c r="BG21" s="8">
        <v>0</v>
      </c>
      <c r="BH21" s="8">
        <v>0</v>
      </c>
      <c r="BI21" s="8">
        <v>0</v>
      </c>
      <c r="BJ21" s="8">
        <v>0</v>
      </c>
      <c r="BK21" s="8">
        <v>0</v>
      </c>
      <c r="BL21" s="8">
        <v>0</v>
      </c>
      <c r="BM21" s="8">
        <v>0</v>
      </c>
      <c r="BN21" s="8">
        <v>0</v>
      </c>
      <c r="BO21" s="3">
        <f t="shared" si="2"/>
        <v>4</v>
      </c>
      <c r="BP21" s="3"/>
      <c r="BQ21" s="3"/>
      <c r="BR21" s="3"/>
      <c r="BS21" s="3"/>
      <c r="BT21" s="3"/>
      <c r="BU21" s="3"/>
      <c r="BV21" s="3"/>
      <c r="BW21" s="3"/>
      <c r="BX21" s="3"/>
      <c r="BY21" s="3"/>
      <c r="BZ21" s="3"/>
      <c r="CA21" s="3"/>
      <c r="CB21" s="3"/>
      <c r="CC21" s="3"/>
      <c r="CD21" s="3"/>
    </row>
    <row r="22" spans="1:82" ht="15" customHeight="1" x14ac:dyDescent="0.2">
      <c r="A22">
        <v>21</v>
      </c>
      <c r="B22" t="s">
        <v>681</v>
      </c>
      <c r="C22" s="65" t="s">
        <v>85</v>
      </c>
      <c r="D22" s="7" t="s">
        <v>79</v>
      </c>
      <c r="E22" s="7" t="s">
        <v>79</v>
      </c>
      <c r="F22" s="3" t="s">
        <v>264</v>
      </c>
      <c r="G22" s="8" t="s">
        <v>51</v>
      </c>
      <c r="H22" s="8" t="s">
        <v>64</v>
      </c>
      <c r="I22" s="8" t="s">
        <v>52</v>
      </c>
      <c r="J22" s="8">
        <v>1</v>
      </c>
      <c r="K22" s="8">
        <v>1</v>
      </c>
      <c r="L22" s="8">
        <v>0</v>
      </c>
      <c r="M22" s="8" t="s">
        <v>94</v>
      </c>
      <c r="N22" s="6" t="s">
        <v>88</v>
      </c>
      <c r="O22" s="8">
        <v>0</v>
      </c>
      <c r="P22" s="8">
        <v>1</v>
      </c>
      <c r="Q22" s="8">
        <v>1</v>
      </c>
      <c r="R22" s="8">
        <v>0</v>
      </c>
      <c r="S22" s="8">
        <v>1</v>
      </c>
      <c r="T22" s="8">
        <v>1</v>
      </c>
      <c r="U22" s="8">
        <v>0</v>
      </c>
      <c r="V22" s="8">
        <v>1</v>
      </c>
      <c r="W22" s="8" t="s">
        <v>89</v>
      </c>
      <c r="X22" s="8">
        <v>0</v>
      </c>
      <c r="Y22" s="8">
        <v>0</v>
      </c>
      <c r="Z22" s="8">
        <v>1</v>
      </c>
      <c r="AA22" s="8">
        <v>0</v>
      </c>
      <c r="AB22" s="8">
        <v>0</v>
      </c>
      <c r="AC22" s="8">
        <v>0</v>
      </c>
      <c r="AD22" s="8">
        <v>0</v>
      </c>
      <c r="AE22" s="8">
        <v>0</v>
      </c>
      <c r="AF22" s="8">
        <v>0</v>
      </c>
      <c r="AG22" s="8">
        <v>0</v>
      </c>
      <c r="AH22" s="8">
        <v>1</v>
      </c>
      <c r="AI22" s="8">
        <v>1</v>
      </c>
      <c r="AJ22" s="8">
        <v>0</v>
      </c>
      <c r="AK22" s="8">
        <v>0</v>
      </c>
      <c r="AL22" s="8">
        <v>0</v>
      </c>
      <c r="AM22" s="8">
        <v>1</v>
      </c>
      <c r="AN22" s="8">
        <v>1</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3">
        <f t="shared" si="2"/>
        <v>4</v>
      </c>
      <c r="BP22" s="3"/>
      <c r="BQ22" s="3"/>
      <c r="BR22" s="3"/>
      <c r="BS22" s="3"/>
      <c r="BT22" s="3"/>
      <c r="BU22" s="3"/>
      <c r="BV22" s="3"/>
      <c r="BW22" s="3"/>
      <c r="BX22" s="3"/>
      <c r="BY22" s="3"/>
      <c r="BZ22" s="3"/>
      <c r="CA22" s="3"/>
      <c r="CB22" s="3"/>
      <c r="CC22" s="3"/>
      <c r="CD22" s="3"/>
    </row>
    <row r="23" spans="1:82" ht="15" customHeight="1" x14ac:dyDescent="0.2">
      <c r="A23">
        <v>22</v>
      </c>
      <c r="B23" t="s">
        <v>682</v>
      </c>
      <c r="C23" s="65" t="s">
        <v>85</v>
      </c>
      <c r="D23" s="13" t="s">
        <v>79</v>
      </c>
      <c r="E23" s="13" t="s">
        <v>79</v>
      </c>
      <c r="F23" s="8" t="s">
        <v>265</v>
      </c>
      <c r="G23" s="8" t="s">
        <v>51</v>
      </c>
      <c r="H23" s="8" t="s">
        <v>64</v>
      </c>
      <c r="I23" s="8" t="s">
        <v>52</v>
      </c>
      <c r="J23" s="8">
        <v>1</v>
      </c>
      <c r="K23" s="8">
        <v>1</v>
      </c>
      <c r="L23" s="8">
        <v>0</v>
      </c>
      <c r="M23" s="8" t="s">
        <v>60</v>
      </c>
      <c r="N23" s="6" t="s">
        <v>88</v>
      </c>
      <c r="O23" s="8">
        <v>0</v>
      </c>
      <c r="P23" s="8">
        <v>1</v>
      </c>
      <c r="Q23" s="8">
        <v>1</v>
      </c>
      <c r="R23" s="8">
        <v>0</v>
      </c>
      <c r="S23" s="8">
        <v>1</v>
      </c>
      <c r="T23" s="8">
        <v>1</v>
      </c>
      <c r="U23" s="8">
        <v>0</v>
      </c>
      <c r="V23" s="8">
        <v>1</v>
      </c>
      <c r="W23" s="8" t="s">
        <v>89</v>
      </c>
      <c r="X23" s="8">
        <v>0</v>
      </c>
      <c r="Y23" s="8">
        <v>0</v>
      </c>
      <c r="Z23" s="8">
        <v>1</v>
      </c>
      <c r="AA23" s="8">
        <v>0</v>
      </c>
      <c r="AB23" s="8">
        <v>0</v>
      </c>
      <c r="AC23" s="8">
        <v>0</v>
      </c>
      <c r="AD23" s="8">
        <v>1</v>
      </c>
      <c r="AE23" s="8">
        <v>0</v>
      </c>
      <c r="AF23" s="8">
        <v>0</v>
      </c>
      <c r="AG23" s="8">
        <v>0</v>
      </c>
      <c r="AH23" s="8">
        <v>1</v>
      </c>
      <c r="AI23" s="8">
        <v>1</v>
      </c>
      <c r="AJ23" s="8">
        <v>0</v>
      </c>
      <c r="AK23" s="8">
        <v>0</v>
      </c>
      <c r="AL23" s="8">
        <v>0</v>
      </c>
      <c r="AM23" s="8">
        <v>1</v>
      </c>
      <c r="AN23" s="8">
        <v>1</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3">
        <f t="shared" si="2"/>
        <v>4</v>
      </c>
      <c r="BP23" s="3"/>
      <c r="BQ23" s="3"/>
      <c r="BR23" s="3"/>
      <c r="BS23" s="3"/>
      <c r="BT23" s="3"/>
      <c r="BU23" s="3"/>
      <c r="BV23" s="3"/>
      <c r="BW23" s="3"/>
      <c r="BX23" s="3"/>
      <c r="BY23" s="3"/>
      <c r="BZ23" s="3"/>
      <c r="CA23" s="3"/>
      <c r="CB23" s="3"/>
      <c r="CC23" s="3"/>
      <c r="CD23" s="3"/>
    </row>
    <row r="24" spans="1:82" ht="15" customHeight="1" x14ac:dyDescent="0.2">
      <c r="A24">
        <v>23</v>
      </c>
      <c r="B24" t="s">
        <v>683</v>
      </c>
      <c r="C24" s="65" t="s">
        <v>85</v>
      </c>
      <c r="D24" s="7" t="s">
        <v>79</v>
      </c>
      <c r="E24" s="7" t="s">
        <v>80</v>
      </c>
      <c r="F24" s="3" t="s">
        <v>266</v>
      </c>
      <c r="G24" s="8" t="s">
        <v>51</v>
      </c>
      <c r="H24" s="8" t="s">
        <v>64</v>
      </c>
      <c r="I24" s="8" t="s">
        <v>52</v>
      </c>
      <c r="J24" s="8">
        <v>1</v>
      </c>
      <c r="K24" s="8">
        <v>1</v>
      </c>
      <c r="L24" s="8">
        <v>0</v>
      </c>
      <c r="M24" s="8" t="s">
        <v>95</v>
      </c>
      <c r="N24" s="6" t="s">
        <v>88</v>
      </c>
      <c r="O24" s="8">
        <v>0</v>
      </c>
      <c r="P24" s="8">
        <v>1</v>
      </c>
      <c r="Q24" s="8">
        <v>1</v>
      </c>
      <c r="R24" s="8">
        <v>0</v>
      </c>
      <c r="S24" s="8">
        <v>1</v>
      </c>
      <c r="T24" s="8">
        <v>1</v>
      </c>
      <c r="U24" s="8">
        <v>0</v>
      </c>
      <c r="V24" s="8">
        <v>1</v>
      </c>
      <c r="W24" s="8" t="s">
        <v>89</v>
      </c>
      <c r="X24" s="8">
        <v>0</v>
      </c>
      <c r="Y24" s="8">
        <v>0</v>
      </c>
      <c r="Z24" s="8">
        <v>1</v>
      </c>
      <c r="AA24" s="8">
        <v>0</v>
      </c>
      <c r="AB24" s="8">
        <v>0</v>
      </c>
      <c r="AC24" s="8">
        <v>0</v>
      </c>
      <c r="AD24" s="8">
        <v>0</v>
      </c>
      <c r="AE24" s="8">
        <v>0</v>
      </c>
      <c r="AF24" s="8">
        <v>0</v>
      </c>
      <c r="AG24" s="8">
        <v>0</v>
      </c>
      <c r="AH24" s="8">
        <v>1</v>
      </c>
      <c r="AI24" s="8">
        <v>1</v>
      </c>
      <c r="AJ24" s="8">
        <v>0</v>
      </c>
      <c r="AK24" s="8">
        <v>0</v>
      </c>
      <c r="AL24" s="8">
        <v>0</v>
      </c>
      <c r="AM24" s="8">
        <v>1</v>
      </c>
      <c r="AN24" s="8">
        <v>1</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3">
        <f t="shared" si="2"/>
        <v>4</v>
      </c>
      <c r="BP24" s="3"/>
      <c r="BQ24" s="3"/>
      <c r="BR24" s="3"/>
      <c r="BS24" s="3"/>
      <c r="BT24" s="3"/>
      <c r="BU24" s="3"/>
      <c r="BV24" s="3"/>
      <c r="BW24" s="3"/>
      <c r="BX24" s="3"/>
      <c r="BY24" s="3"/>
      <c r="BZ24" s="3"/>
      <c r="CA24" s="3"/>
      <c r="CB24" s="3"/>
      <c r="CC24" s="3"/>
      <c r="CD24" s="3"/>
    </row>
    <row r="25" spans="1:82" ht="15" customHeight="1" x14ac:dyDescent="0.2">
      <c r="A25">
        <v>24</v>
      </c>
      <c r="B25" t="s">
        <v>681</v>
      </c>
      <c r="C25" s="65" t="s">
        <v>85</v>
      </c>
      <c r="D25" s="7" t="s">
        <v>244</v>
      </c>
      <c r="E25" s="7" t="s">
        <v>244</v>
      </c>
      <c r="F25" s="3" t="s">
        <v>264</v>
      </c>
      <c r="G25" s="8" t="s">
        <v>51</v>
      </c>
      <c r="H25" s="8" t="s">
        <v>64</v>
      </c>
      <c r="I25" s="8" t="s">
        <v>52</v>
      </c>
      <c r="J25" s="8">
        <v>1</v>
      </c>
      <c r="K25" s="8">
        <v>1</v>
      </c>
      <c r="L25" s="8">
        <v>1</v>
      </c>
      <c r="M25" s="8" t="s">
        <v>87</v>
      </c>
      <c r="N25" s="6" t="s">
        <v>88</v>
      </c>
      <c r="O25" s="8">
        <v>0</v>
      </c>
      <c r="P25" s="8">
        <v>1</v>
      </c>
      <c r="Q25" s="8">
        <v>1</v>
      </c>
      <c r="R25" s="8">
        <v>0</v>
      </c>
      <c r="S25" s="8">
        <v>1</v>
      </c>
      <c r="T25" s="8">
        <v>1</v>
      </c>
      <c r="U25" s="8">
        <v>0</v>
      </c>
      <c r="V25" s="8">
        <v>1</v>
      </c>
      <c r="W25" s="8" t="s">
        <v>89</v>
      </c>
      <c r="X25" s="8">
        <v>0</v>
      </c>
      <c r="Y25" s="8">
        <v>0</v>
      </c>
      <c r="Z25" s="8">
        <v>1</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1</v>
      </c>
      <c r="BL25" s="8">
        <v>0</v>
      </c>
      <c r="BM25" s="8">
        <v>0</v>
      </c>
      <c r="BN25" s="8">
        <v>0</v>
      </c>
      <c r="BO25" s="3">
        <v>5</v>
      </c>
      <c r="BP25" s="3"/>
      <c r="BQ25" s="3"/>
      <c r="BR25" s="3"/>
      <c r="BS25" s="3"/>
      <c r="BT25" s="3"/>
      <c r="BU25" s="3"/>
      <c r="BV25" s="3"/>
      <c r="BW25" s="3"/>
      <c r="BX25" s="3"/>
      <c r="BY25" s="3"/>
      <c r="BZ25" s="3"/>
      <c r="CA25" s="3"/>
      <c r="CB25" s="3"/>
      <c r="CC25" s="3"/>
      <c r="CD25" s="3"/>
    </row>
    <row r="26" spans="1:82" ht="15" customHeight="1" x14ac:dyDescent="0.2">
      <c r="A26">
        <v>25</v>
      </c>
      <c r="B26" t="s">
        <v>684</v>
      </c>
      <c r="C26" s="66" t="s">
        <v>85</v>
      </c>
      <c r="D26" s="22" t="s">
        <v>244</v>
      </c>
      <c r="E26" s="22" t="s">
        <v>251</v>
      </c>
      <c r="F26" s="21" t="s">
        <v>267</v>
      </c>
      <c r="G26" s="23" t="s">
        <v>63</v>
      </c>
      <c r="H26" s="23" t="s">
        <v>64</v>
      </c>
      <c r="I26" s="23" t="s">
        <v>52</v>
      </c>
      <c r="J26" s="23">
        <v>1</v>
      </c>
      <c r="K26" s="23">
        <v>1</v>
      </c>
      <c r="L26" s="23">
        <v>1</v>
      </c>
      <c r="M26" s="23" t="s">
        <v>87</v>
      </c>
      <c r="N26" s="24" t="s">
        <v>88</v>
      </c>
      <c r="O26" s="23">
        <v>0</v>
      </c>
      <c r="P26" s="23">
        <v>1</v>
      </c>
      <c r="Q26" s="23">
        <v>1</v>
      </c>
      <c r="R26" s="23">
        <v>0</v>
      </c>
      <c r="S26" s="23">
        <v>1</v>
      </c>
      <c r="T26" s="23">
        <v>1</v>
      </c>
      <c r="U26" s="23">
        <v>0</v>
      </c>
      <c r="V26" s="23">
        <v>1</v>
      </c>
      <c r="W26" s="23" t="s">
        <v>89</v>
      </c>
      <c r="X26" s="23">
        <v>0</v>
      </c>
      <c r="Y26" s="23">
        <v>0</v>
      </c>
      <c r="Z26" s="23">
        <v>1</v>
      </c>
      <c r="AA26" s="23">
        <v>0</v>
      </c>
      <c r="AB26" s="23">
        <v>0</v>
      </c>
      <c r="AC26" s="23">
        <v>0</v>
      </c>
      <c r="AD26" s="23">
        <v>1</v>
      </c>
      <c r="AE26" s="23">
        <v>0</v>
      </c>
      <c r="AF26" s="23">
        <v>0</v>
      </c>
      <c r="AG26" s="23">
        <v>0</v>
      </c>
      <c r="AH26" s="23">
        <v>0</v>
      </c>
      <c r="AI26" s="23">
        <v>0</v>
      </c>
      <c r="AJ26" s="23">
        <v>0</v>
      </c>
      <c r="AK26" s="23">
        <v>0</v>
      </c>
      <c r="AL26" s="23">
        <v>0</v>
      </c>
      <c r="AM26" s="23">
        <v>0</v>
      </c>
      <c r="AN26" s="23">
        <v>0</v>
      </c>
      <c r="AO26" s="23">
        <v>0</v>
      </c>
      <c r="AP26" s="23">
        <v>0</v>
      </c>
      <c r="AQ26" s="23">
        <v>0</v>
      </c>
      <c r="AR26" s="23">
        <v>0</v>
      </c>
      <c r="AS26" s="23">
        <v>0</v>
      </c>
      <c r="AT26" s="23">
        <v>0</v>
      </c>
      <c r="AU26" s="23">
        <v>0</v>
      </c>
      <c r="AV26" s="23">
        <v>0</v>
      </c>
      <c r="AW26" s="23">
        <v>0</v>
      </c>
      <c r="AX26" s="23">
        <v>0</v>
      </c>
      <c r="AY26" s="23">
        <v>0</v>
      </c>
      <c r="AZ26" s="23">
        <v>0</v>
      </c>
      <c r="BA26" s="23">
        <v>0</v>
      </c>
      <c r="BB26" s="23">
        <v>0</v>
      </c>
      <c r="BC26" s="23">
        <v>0</v>
      </c>
      <c r="BD26" s="23">
        <v>0</v>
      </c>
      <c r="BE26" s="23">
        <v>0</v>
      </c>
      <c r="BF26" s="23">
        <v>0</v>
      </c>
      <c r="BG26" s="23">
        <v>0</v>
      </c>
      <c r="BH26" s="23">
        <v>0</v>
      </c>
      <c r="BI26" s="23">
        <v>0</v>
      </c>
      <c r="BJ26" s="23">
        <v>0</v>
      </c>
      <c r="BK26" s="23">
        <v>1</v>
      </c>
      <c r="BL26" s="23">
        <v>0</v>
      </c>
      <c r="BM26" s="23">
        <v>0</v>
      </c>
      <c r="BN26" s="23">
        <v>0</v>
      </c>
      <c r="BO26" s="21">
        <v>5</v>
      </c>
      <c r="BP26" s="3"/>
      <c r="BQ26" s="3"/>
      <c r="BR26" s="3"/>
      <c r="BS26" s="3"/>
      <c r="BT26" s="3"/>
      <c r="BU26" s="3"/>
      <c r="BV26" s="3"/>
      <c r="BW26" s="3"/>
      <c r="BX26" s="3"/>
      <c r="BY26" s="3"/>
      <c r="BZ26" s="3"/>
      <c r="CA26" s="3"/>
      <c r="CB26" s="3"/>
      <c r="CC26" s="3"/>
      <c r="CD26" s="3"/>
    </row>
    <row r="27" spans="1:82" ht="15" customHeight="1" x14ac:dyDescent="0.2">
      <c r="A27">
        <v>26</v>
      </c>
      <c r="B27" t="s">
        <v>685</v>
      </c>
      <c r="C27" s="65" t="s">
        <v>100</v>
      </c>
      <c r="D27" s="13">
        <v>2021</v>
      </c>
      <c r="E27" s="13">
        <v>2021</v>
      </c>
      <c r="F27" s="13" t="s">
        <v>268</v>
      </c>
      <c r="G27" s="8" t="s">
        <v>51</v>
      </c>
      <c r="H27" s="8" t="s">
        <v>52</v>
      </c>
      <c r="I27" s="8" t="s">
        <v>52</v>
      </c>
      <c r="J27" s="8">
        <v>1</v>
      </c>
      <c r="K27" s="8">
        <v>0</v>
      </c>
      <c r="L27" s="8">
        <v>0</v>
      </c>
      <c r="M27" s="8" t="s">
        <v>101</v>
      </c>
      <c r="N27" s="9">
        <v>0.1</v>
      </c>
      <c r="O27" s="8">
        <v>0</v>
      </c>
      <c r="P27" s="8">
        <v>0</v>
      </c>
      <c r="Q27" s="8">
        <v>0</v>
      </c>
      <c r="R27" s="8">
        <v>1</v>
      </c>
      <c r="S27" s="8">
        <v>1</v>
      </c>
      <c r="T27" s="8">
        <v>0</v>
      </c>
      <c r="U27" s="8">
        <v>0</v>
      </c>
      <c r="V27" s="8">
        <v>0</v>
      </c>
      <c r="W27" s="8" t="s">
        <v>102</v>
      </c>
      <c r="X27" s="8">
        <v>0</v>
      </c>
      <c r="Y27" s="8">
        <v>0</v>
      </c>
      <c r="Z27" s="8">
        <v>0</v>
      </c>
      <c r="AA27" s="8">
        <v>0</v>
      </c>
      <c r="AB27" s="8">
        <v>1</v>
      </c>
      <c r="AC27" s="8">
        <v>0</v>
      </c>
      <c r="AD27" s="8">
        <v>0</v>
      </c>
      <c r="AE27" s="8">
        <v>1</v>
      </c>
      <c r="AF27" s="8">
        <v>1</v>
      </c>
      <c r="AG27" s="8">
        <v>1</v>
      </c>
      <c r="AH27" s="8">
        <v>1</v>
      </c>
      <c r="AI27" s="8">
        <v>1</v>
      </c>
      <c r="AJ27" s="8">
        <v>0</v>
      </c>
      <c r="AK27" s="8">
        <v>0</v>
      </c>
      <c r="AL27" s="8">
        <v>1</v>
      </c>
      <c r="AM27" s="8">
        <v>0</v>
      </c>
      <c r="AN27" s="8">
        <v>1</v>
      </c>
      <c r="AO27" s="8">
        <v>0</v>
      </c>
      <c r="AP27" s="8">
        <v>0</v>
      </c>
      <c r="AQ27" s="8">
        <v>1</v>
      </c>
      <c r="AR27" s="8">
        <v>0</v>
      </c>
      <c r="AS27" s="8">
        <v>0</v>
      </c>
      <c r="AT27" s="8">
        <v>0</v>
      </c>
      <c r="AU27" s="8">
        <v>0</v>
      </c>
      <c r="AV27" s="8">
        <v>0</v>
      </c>
      <c r="AW27" s="8">
        <v>0</v>
      </c>
      <c r="AX27" s="8">
        <v>0</v>
      </c>
      <c r="AY27" s="8">
        <v>0</v>
      </c>
      <c r="AZ27" s="8">
        <v>0</v>
      </c>
      <c r="BA27" s="8">
        <v>0</v>
      </c>
      <c r="BB27" s="8">
        <v>0</v>
      </c>
      <c r="BC27" s="8">
        <v>0</v>
      </c>
      <c r="BD27" s="8">
        <v>0</v>
      </c>
      <c r="BE27" s="8">
        <v>0</v>
      </c>
      <c r="BF27" s="8">
        <v>1</v>
      </c>
      <c r="BG27" s="8">
        <v>1</v>
      </c>
      <c r="BH27" s="8">
        <v>0</v>
      </c>
      <c r="BI27" s="8">
        <v>0</v>
      </c>
      <c r="BJ27" s="8">
        <v>0</v>
      </c>
      <c r="BK27" s="8">
        <v>0</v>
      </c>
      <c r="BL27" s="8">
        <v>0</v>
      </c>
      <c r="BM27" s="8">
        <v>0</v>
      </c>
      <c r="BN27" s="8">
        <v>0</v>
      </c>
      <c r="BO27" s="3">
        <f t="shared" ref="BO27:BO63" si="3">SUM(AE27:BN27)</f>
        <v>10</v>
      </c>
      <c r="BP27" s="8"/>
      <c r="BQ27" s="8"/>
      <c r="BR27" s="8"/>
      <c r="BS27" s="8"/>
      <c r="BT27" s="8"/>
      <c r="BU27" s="8"/>
      <c r="BV27" s="8"/>
      <c r="BW27" s="2"/>
      <c r="BX27" s="2"/>
      <c r="BY27" s="2"/>
      <c r="BZ27" s="2"/>
      <c r="CA27" s="2"/>
      <c r="CB27" s="2"/>
      <c r="CC27" s="2"/>
      <c r="CD27" s="2"/>
    </row>
    <row r="28" spans="1:82" ht="15" customHeight="1" x14ac:dyDescent="0.2">
      <c r="A28">
        <v>27</v>
      </c>
      <c r="B28" t="s">
        <v>686</v>
      </c>
      <c r="C28" s="65" t="s">
        <v>103</v>
      </c>
      <c r="D28" s="7" t="s">
        <v>269</v>
      </c>
      <c r="E28" s="7" t="s">
        <v>269</v>
      </c>
      <c r="F28" s="3" t="s">
        <v>270</v>
      </c>
      <c r="G28" s="8" t="s">
        <v>63</v>
      </c>
      <c r="H28" s="8" t="s">
        <v>249</v>
      </c>
      <c r="I28" s="8" t="s">
        <v>249</v>
      </c>
      <c r="J28" s="8">
        <v>0</v>
      </c>
      <c r="K28" s="8">
        <v>1</v>
      </c>
      <c r="L28" s="8">
        <v>0</v>
      </c>
      <c r="M28" s="8"/>
      <c r="N28" s="9">
        <v>0.2</v>
      </c>
      <c r="O28" s="8">
        <v>0</v>
      </c>
      <c r="P28" s="8">
        <v>0</v>
      </c>
      <c r="Q28" s="8">
        <v>0</v>
      </c>
      <c r="R28" s="8">
        <v>1</v>
      </c>
      <c r="S28" s="8">
        <v>1</v>
      </c>
      <c r="T28" s="8">
        <v>0</v>
      </c>
      <c r="U28" s="8">
        <v>0</v>
      </c>
      <c r="V28" s="8">
        <v>0</v>
      </c>
      <c r="W28" s="8" t="s">
        <v>104</v>
      </c>
      <c r="X28" s="8">
        <v>0</v>
      </c>
      <c r="Y28" s="8">
        <v>0</v>
      </c>
      <c r="Z28" s="8">
        <v>0</v>
      </c>
      <c r="AA28" s="8">
        <v>0</v>
      </c>
      <c r="AB28" s="8">
        <v>0</v>
      </c>
      <c r="AC28" s="8">
        <v>1</v>
      </c>
      <c r="AD28" s="8">
        <v>0</v>
      </c>
      <c r="AE28" s="8">
        <v>1</v>
      </c>
      <c r="AF28" s="8">
        <v>0</v>
      </c>
      <c r="AG28" s="8">
        <v>0</v>
      </c>
      <c r="AH28" s="8">
        <v>0</v>
      </c>
      <c r="AI28" s="8">
        <v>0</v>
      </c>
      <c r="AJ28" s="8">
        <v>0</v>
      </c>
      <c r="AK28" s="8">
        <v>0</v>
      </c>
      <c r="AL28" s="8">
        <v>0</v>
      </c>
      <c r="AM28" s="8">
        <v>0</v>
      </c>
      <c r="AN28" s="8">
        <v>0</v>
      </c>
      <c r="AO28" s="8">
        <v>0</v>
      </c>
      <c r="AP28" s="8">
        <v>0</v>
      </c>
      <c r="AQ28" s="8">
        <v>0</v>
      </c>
      <c r="AR28" s="8">
        <v>0</v>
      </c>
      <c r="AS28" s="8">
        <v>0</v>
      </c>
      <c r="AT28" s="8">
        <v>0</v>
      </c>
      <c r="AU28" s="8">
        <v>0</v>
      </c>
      <c r="AV28" s="8">
        <v>0</v>
      </c>
      <c r="AW28" s="8">
        <v>0</v>
      </c>
      <c r="AX28" s="8">
        <v>0</v>
      </c>
      <c r="AY28" s="8">
        <v>0</v>
      </c>
      <c r="AZ28" s="8">
        <v>0</v>
      </c>
      <c r="BA28" s="8">
        <v>0</v>
      </c>
      <c r="BB28" s="8">
        <v>0</v>
      </c>
      <c r="BC28" s="8">
        <v>0</v>
      </c>
      <c r="BD28" s="8">
        <v>0</v>
      </c>
      <c r="BE28" s="8">
        <v>0</v>
      </c>
      <c r="BF28" s="8">
        <v>0</v>
      </c>
      <c r="BG28" s="8">
        <v>0</v>
      </c>
      <c r="BH28" s="8">
        <v>0</v>
      </c>
      <c r="BI28" s="8">
        <v>0</v>
      </c>
      <c r="BJ28" s="8">
        <v>0</v>
      </c>
      <c r="BK28" s="8">
        <v>0</v>
      </c>
      <c r="BL28" s="8">
        <v>0</v>
      </c>
      <c r="BM28" s="8">
        <v>0</v>
      </c>
      <c r="BN28" s="8">
        <v>0</v>
      </c>
      <c r="BO28" s="3">
        <f t="shared" si="3"/>
        <v>1</v>
      </c>
      <c r="BP28" s="3"/>
      <c r="BQ28" s="3"/>
      <c r="BR28" s="3"/>
      <c r="BS28" s="3"/>
      <c r="BT28" s="3"/>
      <c r="BU28" s="3"/>
      <c r="BV28" s="3"/>
      <c r="BW28" s="3"/>
      <c r="BX28" s="3"/>
      <c r="BY28" s="3"/>
      <c r="BZ28" s="3"/>
      <c r="CA28" s="3"/>
      <c r="CB28" s="3"/>
      <c r="CC28" s="3"/>
      <c r="CD28" s="3"/>
    </row>
    <row r="29" spans="1:82" ht="15" customHeight="1" x14ac:dyDescent="0.2">
      <c r="A29">
        <v>28</v>
      </c>
      <c r="B29" t="s">
        <v>687</v>
      </c>
      <c r="C29" s="65" t="s">
        <v>103</v>
      </c>
      <c r="D29" s="7" t="s">
        <v>271</v>
      </c>
      <c r="E29" s="7" t="s">
        <v>271</v>
      </c>
      <c r="F29" s="3" t="s">
        <v>272</v>
      </c>
      <c r="G29" s="8" t="s">
        <v>63</v>
      </c>
      <c r="H29" s="8" t="s">
        <v>249</v>
      </c>
      <c r="I29" s="8" t="s">
        <v>249</v>
      </c>
      <c r="J29" s="8">
        <v>0</v>
      </c>
      <c r="K29" s="8">
        <v>1</v>
      </c>
      <c r="L29" s="8">
        <v>0</v>
      </c>
      <c r="M29" s="8"/>
      <c r="N29" s="9">
        <v>0.2</v>
      </c>
      <c r="O29" s="8">
        <v>0</v>
      </c>
      <c r="P29" s="8">
        <v>0</v>
      </c>
      <c r="Q29" s="8">
        <v>0</v>
      </c>
      <c r="R29" s="8">
        <v>1</v>
      </c>
      <c r="S29" s="8">
        <v>1</v>
      </c>
      <c r="T29" s="8">
        <v>0</v>
      </c>
      <c r="U29" s="8">
        <v>0</v>
      </c>
      <c r="V29" s="8">
        <v>0</v>
      </c>
      <c r="W29" s="8" t="s">
        <v>104</v>
      </c>
      <c r="X29" s="8">
        <v>0</v>
      </c>
      <c r="Y29" s="8">
        <v>0</v>
      </c>
      <c r="Z29" s="8">
        <v>0</v>
      </c>
      <c r="AA29" s="8">
        <v>0</v>
      </c>
      <c r="AB29" s="8">
        <v>0</v>
      </c>
      <c r="AC29" s="8">
        <v>1</v>
      </c>
      <c r="AD29" s="8">
        <v>0</v>
      </c>
      <c r="AE29" s="8">
        <v>1</v>
      </c>
      <c r="AF29" s="8">
        <v>0</v>
      </c>
      <c r="AG29" s="8">
        <v>0</v>
      </c>
      <c r="AH29" s="8">
        <v>0</v>
      </c>
      <c r="AI29" s="8">
        <v>0</v>
      </c>
      <c r="AJ29" s="8">
        <v>0</v>
      </c>
      <c r="AK29" s="8">
        <v>0</v>
      </c>
      <c r="AL29" s="8">
        <v>0</v>
      </c>
      <c r="AM29" s="8">
        <v>0</v>
      </c>
      <c r="AN29" s="8">
        <v>0</v>
      </c>
      <c r="AO29" s="8">
        <v>0</v>
      </c>
      <c r="AP29" s="8">
        <v>0</v>
      </c>
      <c r="AQ29" s="8">
        <v>0</v>
      </c>
      <c r="AR29" s="8">
        <v>0</v>
      </c>
      <c r="AS29" s="8">
        <v>0</v>
      </c>
      <c r="AT29" s="8">
        <v>0</v>
      </c>
      <c r="AU29" s="8">
        <v>0</v>
      </c>
      <c r="AV29" s="8">
        <v>0</v>
      </c>
      <c r="AW29" s="8">
        <v>0</v>
      </c>
      <c r="AX29" s="8">
        <v>0</v>
      </c>
      <c r="AY29" s="8">
        <v>0</v>
      </c>
      <c r="AZ29" s="8">
        <v>0</v>
      </c>
      <c r="BA29" s="8">
        <v>0</v>
      </c>
      <c r="BB29" s="8">
        <v>0</v>
      </c>
      <c r="BC29" s="8">
        <v>0</v>
      </c>
      <c r="BD29" s="8">
        <v>0</v>
      </c>
      <c r="BE29" s="8">
        <v>0</v>
      </c>
      <c r="BF29" s="8">
        <v>0</v>
      </c>
      <c r="BG29" s="8">
        <v>0</v>
      </c>
      <c r="BH29" s="8">
        <v>0</v>
      </c>
      <c r="BI29" s="8">
        <v>0</v>
      </c>
      <c r="BJ29" s="8">
        <v>0</v>
      </c>
      <c r="BK29" s="8">
        <v>0</v>
      </c>
      <c r="BL29" s="8">
        <v>0</v>
      </c>
      <c r="BM29" s="8">
        <v>0</v>
      </c>
      <c r="BN29" s="8">
        <v>0</v>
      </c>
      <c r="BO29" s="3">
        <f t="shared" si="3"/>
        <v>1</v>
      </c>
      <c r="BP29" s="3"/>
      <c r="BQ29" s="3"/>
      <c r="BR29" s="3"/>
      <c r="BS29" s="3"/>
      <c r="BT29" s="3"/>
      <c r="BU29" s="3"/>
      <c r="BV29" s="3"/>
      <c r="BW29" s="3"/>
      <c r="BX29" s="3"/>
      <c r="BY29" s="3"/>
      <c r="BZ29" s="3"/>
      <c r="CA29" s="3"/>
      <c r="CB29" s="3"/>
      <c r="CC29" s="3"/>
      <c r="CD29" s="3"/>
    </row>
    <row r="30" spans="1:82" ht="15" customHeight="1" x14ac:dyDescent="0.2">
      <c r="A30">
        <v>29</v>
      </c>
      <c r="B30" t="s">
        <v>688</v>
      </c>
      <c r="C30" s="65" t="s">
        <v>103</v>
      </c>
      <c r="D30" s="7" t="s">
        <v>71</v>
      </c>
      <c r="E30" s="7" t="s">
        <v>71</v>
      </c>
      <c r="F30" s="3" t="s">
        <v>273</v>
      </c>
      <c r="G30" s="8" t="s">
        <v>63</v>
      </c>
      <c r="H30" s="8" t="s">
        <v>249</v>
      </c>
      <c r="I30" s="8" t="s">
        <v>249</v>
      </c>
      <c r="J30" s="8">
        <v>0</v>
      </c>
      <c r="K30" s="8">
        <v>1</v>
      </c>
      <c r="L30" s="8">
        <v>0</v>
      </c>
      <c r="M30" s="8"/>
      <c r="N30" s="9">
        <v>0.2</v>
      </c>
      <c r="O30" s="8">
        <v>0</v>
      </c>
      <c r="P30" s="8">
        <v>0</v>
      </c>
      <c r="Q30" s="8">
        <v>0</v>
      </c>
      <c r="R30" s="8">
        <v>1</v>
      </c>
      <c r="S30" s="8">
        <v>1</v>
      </c>
      <c r="T30" s="8">
        <v>0</v>
      </c>
      <c r="U30" s="8">
        <v>0</v>
      </c>
      <c r="V30" s="8">
        <v>0</v>
      </c>
      <c r="W30" s="8" t="s">
        <v>104</v>
      </c>
      <c r="X30" s="8">
        <v>0</v>
      </c>
      <c r="Y30" s="8">
        <v>0</v>
      </c>
      <c r="Z30" s="8">
        <v>0</v>
      </c>
      <c r="AA30" s="8">
        <v>0</v>
      </c>
      <c r="AB30" s="8">
        <v>0</v>
      </c>
      <c r="AC30" s="8">
        <v>1</v>
      </c>
      <c r="AD30" s="8">
        <v>0</v>
      </c>
      <c r="AE30" s="8">
        <v>1</v>
      </c>
      <c r="AF30" s="8">
        <v>0</v>
      </c>
      <c r="AG30" s="8">
        <v>0</v>
      </c>
      <c r="AH30" s="8">
        <v>0</v>
      </c>
      <c r="AI30" s="8">
        <v>0</v>
      </c>
      <c r="AJ30" s="8">
        <v>0</v>
      </c>
      <c r="AK30" s="8">
        <v>0</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3">
        <f t="shared" si="3"/>
        <v>1</v>
      </c>
      <c r="BP30" s="3"/>
      <c r="BQ30" s="3"/>
      <c r="BR30" s="3"/>
      <c r="BS30" s="3"/>
      <c r="BT30" s="3"/>
      <c r="BU30" s="3"/>
      <c r="BV30" s="3"/>
      <c r="BW30" s="3"/>
      <c r="BX30" s="3"/>
      <c r="BY30" s="3"/>
      <c r="BZ30" s="3"/>
      <c r="CA30" s="3"/>
      <c r="CB30" s="3"/>
      <c r="CC30" s="3"/>
      <c r="CD30" s="3"/>
    </row>
    <row r="31" spans="1:82" ht="15" customHeight="1" x14ac:dyDescent="0.2">
      <c r="A31">
        <v>30</v>
      </c>
      <c r="B31" t="s">
        <v>689</v>
      </c>
      <c r="C31" s="65" t="s">
        <v>103</v>
      </c>
      <c r="D31" s="7" t="s">
        <v>80</v>
      </c>
      <c r="E31" s="7" t="s">
        <v>80</v>
      </c>
      <c r="F31" s="104" t="s">
        <v>274</v>
      </c>
      <c r="G31" s="8" t="s">
        <v>51</v>
      </c>
      <c r="H31" s="8" t="s">
        <v>52</v>
      </c>
      <c r="I31" s="8" t="s">
        <v>52</v>
      </c>
      <c r="J31" s="8">
        <v>1</v>
      </c>
      <c r="K31" s="8">
        <v>1</v>
      </c>
      <c r="L31" s="8">
        <v>0</v>
      </c>
      <c r="M31" s="8" t="s">
        <v>65</v>
      </c>
      <c r="N31" s="9">
        <v>0.1</v>
      </c>
      <c r="O31" s="8">
        <v>1</v>
      </c>
      <c r="P31" s="8">
        <v>0</v>
      </c>
      <c r="Q31" s="8">
        <v>1</v>
      </c>
      <c r="R31" s="8">
        <v>0</v>
      </c>
      <c r="S31" s="8">
        <v>1</v>
      </c>
      <c r="T31" s="8">
        <v>0</v>
      </c>
      <c r="U31" s="8">
        <v>0</v>
      </c>
      <c r="V31" s="8">
        <v>1</v>
      </c>
      <c r="W31" s="8" t="s">
        <v>105</v>
      </c>
      <c r="X31" s="8">
        <v>0</v>
      </c>
      <c r="Y31" s="8">
        <v>0</v>
      </c>
      <c r="Z31" s="8">
        <v>0</v>
      </c>
      <c r="AA31" s="8">
        <v>0</v>
      </c>
      <c r="AB31" s="8">
        <v>1</v>
      </c>
      <c r="AC31" s="8">
        <v>0.5</v>
      </c>
      <c r="AD31" s="8">
        <v>0</v>
      </c>
      <c r="AE31" s="8">
        <v>1</v>
      </c>
      <c r="AF31" s="8">
        <v>1</v>
      </c>
      <c r="AG31" s="8">
        <v>1</v>
      </c>
      <c r="AH31" s="8">
        <v>1</v>
      </c>
      <c r="AI31" s="8">
        <v>1</v>
      </c>
      <c r="AJ31" s="8">
        <v>1</v>
      </c>
      <c r="AK31" s="8">
        <v>0</v>
      </c>
      <c r="AL31" s="8">
        <v>1</v>
      </c>
      <c r="AM31" s="8">
        <v>1</v>
      </c>
      <c r="AN31" s="8">
        <v>1</v>
      </c>
      <c r="AO31" s="8">
        <v>0</v>
      </c>
      <c r="AP31" s="8">
        <v>1</v>
      </c>
      <c r="AQ31" s="8">
        <v>1</v>
      </c>
      <c r="AR31" s="8">
        <v>1</v>
      </c>
      <c r="AS31" s="8">
        <v>1</v>
      </c>
      <c r="AT31" s="8">
        <v>0</v>
      </c>
      <c r="AU31" s="8">
        <v>1</v>
      </c>
      <c r="AV31" s="8">
        <v>1</v>
      </c>
      <c r="AW31" s="8">
        <v>0</v>
      </c>
      <c r="AX31" s="8">
        <v>0</v>
      </c>
      <c r="AY31" s="8">
        <v>0</v>
      </c>
      <c r="AZ31" s="8">
        <v>0</v>
      </c>
      <c r="BA31" s="8">
        <v>1</v>
      </c>
      <c r="BB31" s="8">
        <v>0</v>
      </c>
      <c r="BC31" s="8">
        <v>0</v>
      </c>
      <c r="BD31" s="8">
        <v>0</v>
      </c>
      <c r="BE31" s="8">
        <v>0</v>
      </c>
      <c r="BF31" s="8">
        <v>1</v>
      </c>
      <c r="BG31" s="8">
        <v>1</v>
      </c>
      <c r="BH31" s="8">
        <v>1</v>
      </c>
      <c r="BI31" s="8">
        <v>1</v>
      </c>
      <c r="BJ31" s="8">
        <v>0</v>
      </c>
      <c r="BK31" s="8">
        <v>0</v>
      </c>
      <c r="BL31" s="8">
        <v>0</v>
      </c>
      <c r="BM31" s="8">
        <v>1</v>
      </c>
      <c r="BN31" s="8">
        <v>1</v>
      </c>
      <c r="BO31" s="3">
        <f t="shared" si="3"/>
        <v>22</v>
      </c>
      <c r="BP31" s="3"/>
      <c r="BQ31" s="3"/>
      <c r="BR31" s="3"/>
      <c r="BS31" s="3"/>
      <c r="BT31" s="3"/>
      <c r="BU31" s="3"/>
      <c r="BV31" s="3"/>
      <c r="BW31" s="3"/>
      <c r="BX31" s="3"/>
      <c r="BY31" s="3"/>
      <c r="BZ31" s="3"/>
      <c r="CA31" s="3"/>
      <c r="CB31" s="3"/>
      <c r="CC31" s="3"/>
      <c r="CD31" s="3"/>
    </row>
    <row r="32" spans="1:82" s="33" customFormat="1" ht="15" customHeight="1" x14ac:dyDescent="0.2">
      <c r="A32">
        <v>31</v>
      </c>
      <c r="B32" t="s">
        <v>690</v>
      </c>
      <c r="C32" s="66" t="s">
        <v>103</v>
      </c>
      <c r="D32" s="22" t="s">
        <v>80</v>
      </c>
      <c r="E32" s="22" t="s">
        <v>251</v>
      </c>
      <c r="F32" s="105" t="s">
        <v>275</v>
      </c>
      <c r="G32" s="23" t="s">
        <v>51</v>
      </c>
      <c r="H32" s="23" t="s">
        <v>52</v>
      </c>
      <c r="I32" s="23" t="s">
        <v>52</v>
      </c>
      <c r="J32" s="23">
        <v>1</v>
      </c>
      <c r="K32" s="23">
        <v>1</v>
      </c>
      <c r="L32" s="23">
        <v>0</v>
      </c>
      <c r="M32" s="23" t="s">
        <v>106</v>
      </c>
      <c r="N32" s="25">
        <v>0.1</v>
      </c>
      <c r="O32" s="23">
        <v>1</v>
      </c>
      <c r="P32" s="23">
        <v>0</v>
      </c>
      <c r="Q32" s="23">
        <v>1</v>
      </c>
      <c r="R32" s="23">
        <v>0</v>
      </c>
      <c r="S32" s="23">
        <v>1</v>
      </c>
      <c r="T32" s="23">
        <v>0</v>
      </c>
      <c r="U32" s="23">
        <v>0</v>
      </c>
      <c r="V32" s="23">
        <v>1</v>
      </c>
      <c r="W32" s="23" t="s">
        <v>105</v>
      </c>
      <c r="X32" s="23">
        <v>0</v>
      </c>
      <c r="Y32" s="23">
        <v>0</v>
      </c>
      <c r="Z32" s="23">
        <v>0</v>
      </c>
      <c r="AA32" s="23">
        <v>0</v>
      </c>
      <c r="AB32" s="23">
        <v>1</v>
      </c>
      <c r="AC32" s="23">
        <v>0.5</v>
      </c>
      <c r="AD32" s="23">
        <v>0</v>
      </c>
      <c r="AE32" s="23">
        <v>1</v>
      </c>
      <c r="AF32" s="23">
        <v>1</v>
      </c>
      <c r="AG32" s="23">
        <v>1</v>
      </c>
      <c r="AH32" s="23">
        <v>1</v>
      </c>
      <c r="AI32" s="23">
        <v>1</v>
      </c>
      <c r="AJ32" s="23">
        <v>1</v>
      </c>
      <c r="AK32" s="23">
        <v>0</v>
      </c>
      <c r="AL32" s="23">
        <v>1</v>
      </c>
      <c r="AM32" s="23">
        <v>1</v>
      </c>
      <c r="AN32" s="23">
        <v>1</v>
      </c>
      <c r="AO32" s="23">
        <v>0</v>
      </c>
      <c r="AP32" s="23">
        <v>1</v>
      </c>
      <c r="AQ32" s="23">
        <v>1</v>
      </c>
      <c r="AR32" s="23">
        <v>1</v>
      </c>
      <c r="AS32" s="23">
        <v>1</v>
      </c>
      <c r="AT32" s="23">
        <v>0</v>
      </c>
      <c r="AU32" s="23">
        <v>1</v>
      </c>
      <c r="AV32" s="23">
        <v>1</v>
      </c>
      <c r="AW32" s="23">
        <v>0</v>
      </c>
      <c r="AX32" s="23">
        <v>0</v>
      </c>
      <c r="AY32" s="23">
        <v>0</v>
      </c>
      <c r="AZ32" s="23">
        <v>0</v>
      </c>
      <c r="BA32" s="23">
        <v>1</v>
      </c>
      <c r="BB32" s="23">
        <v>0</v>
      </c>
      <c r="BC32" s="23">
        <v>0</v>
      </c>
      <c r="BD32" s="23">
        <v>0</v>
      </c>
      <c r="BE32" s="23">
        <v>0</v>
      </c>
      <c r="BF32" s="23">
        <v>1</v>
      </c>
      <c r="BG32" s="23">
        <v>1</v>
      </c>
      <c r="BH32" s="23">
        <v>1</v>
      </c>
      <c r="BI32" s="23">
        <v>1</v>
      </c>
      <c r="BJ32" s="23">
        <v>0</v>
      </c>
      <c r="BK32" s="23">
        <v>0</v>
      </c>
      <c r="BL32" s="23">
        <v>0</v>
      </c>
      <c r="BM32" s="23">
        <v>1</v>
      </c>
      <c r="BN32" s="23">
        <v>1</v>
      </c>
      <c r="BO32" s="21">
        <f t="shared" ref="BO32" si="4">SUM(AE32:BN32)</f>
        <v>22</v>
      </c>
      <c r="BP32" s="21"/>
      <c r="BQ32" s="21"/>
      <c r="BR32" s="21"/>
      <c r="BS32" s="21"/>
      <c r="BT32" s="21"/>
      <c r="BU32" s="21"/>
      <c r="BV32" s="21"/>
      <c r="BW32" s="21"/>
      <c r="BX32" s="21"/>
      <c r="BY32" s="21"/>
      <c r="BZ32" s="21"/>
      <c r="CA32" s="21"/>
      <c r="CB32" s="21"/>
      <c r="CC32" s="21"/>
      <c r="CD32" s="21"/>
    </row>
    <row r="33" spans="1:82" ht="15" customHeight="1" x14ac:dyDescent="0.2">
      <c r="A33">
        <v>32</v>
      </c>
      <c r="B33" t="s">
        <v>691</v>
      </c>
      <c r="C33" s="65" t="s">
        <v>107</v>
      </c>
      <c r="D33" s="3">
        <v>2012</v>
      </c>
      <c r="E33" s="3">
        <v>2012</v>
      </c>
      <c r="F33" s="3" t="s">
        <v>276</v>
      </c>
      <c r="G33" s="8" t="s">
        <v>63</v>
      </c>
      <c r="H33" s="8" t="s">
        <v>249</v>
      </c>
      <c r="I33" s="8" t="s">
        <v>249</v>
      </c>
      <c r="J33" s="8">
        <v>0</v>
      </c>
      <c r="K33" s="8">
        <v>0</v>
      </c>
      <c r="L33" s="8">
        <v>1</v>
      </c>
      <c r="M33" s="8" t="s">
        <v>95</v>
      </c>
      <c r="N33" s="6" t="s">
        <v>108</v>
      </c>
      <c r="O33" s="8">
        <v>0</v>
      </c>
      <c r="P33" s="8">
        <v>0</v>
      </c>
      <c r="Q33" s="8">
        <v>0</v>
      </c>
      <c r="R33" s="8">
        <v>0</v>
      </c>
      <c r="S33" s="8">
        <v>1</v>
      </c>
      <c r="T33" s="8">
        <v>0</v>
      </c>
      <c r="U33" s="8">
        <v>0</v>
      </c>
      <c r="V33" s="8">
        <v>0</v>
      </c>
      <c r="W33" s="8" t="s">
        <v>109</v>
      </c>
      <c r="X33" s="8">
        <v>0</v>
      </c>
      <c r="Y33" s="8">
        <v>1</v>
      </c>
      <c r="Z33" s="8">
        <v>0</v>
      </c>
      <c r="AA33" s="8">
        <v>1</v>
      </c>
      <c r="AB33" s="8">
        <v>0</v>
      </c>
      <c r="AC33" s="8">
        <v>0.5</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3">
        <f t="shared" si="3"/>
        <v>0</v>
      </c>
      <c r="BP33" s="3"/>
      <c r="BQ33" s="3"/>
      <c r="BR33" s="3"/>
      <c r="BS33" s="3"/>
      <c r="BT33" s="3"/>
      <c r="BU33" s="3"/>
      <c r="BV33" s="3"/>
      <c r="BW33" s="3"/>
      <c r="BX33" s="3"/>
      <c r="BY33" s="3"/>
      <c r="BZ33" s="3"/>
      <c r="CA33" s="3"/>
      <c r="CB33" s="3"/>
      <c r="CC33" s="3"/>
      <c r="CD33" s="3"/>
    </row>
    <row r="34" spans="1:82" s="33" customFormat="1" ht="15" customHeight="1" x14ac:dyDescent="0.2">
      <c r="A34">
        <v>33</v>
      </c>
      <c r="B34" t="s">
        <v>692</v>
      </c>
      <c r="C34" s="66" t="s">
        <v>107</v>
      </c>
      <c r="D34" s="21">
        <v>2022</v>
      </c>
      <c r="E34" s="21">
        <v>2023</v>
      </c>
      <c r="F34" s="21" t="s">
        <v>277</v>
      </c>
      <c r="G34" s="23" t="s">
        <v>63</v>
      </c>
      <c r="H34" s="23"/>
      <c r="I34" s="23"/>
      <c r="J34" s="23"/>
      <c r="K34" s="23"/>
      <c r="L34" s="23"/>
      <c r="M34" s="23"/>
      <c r="N34" s="24"/>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1"/>
      <c r="BP34" s="21"/>
      <c r="BQ34" s="21"/>
      <c r="BR34" s="21"/>
      <c r="BS34" s="21"/>
      <c r="BT34" s="21"/>
      <c r="BU34" s="21"/>
      <c r="BV34" s="21"/>
      <c r="BW34" s="21"/>
      <c r="BX34" s="21"/>
      <c r="BY34" s="21"/>
      <c r="BZ34" s="21"/>
      <c r="CA34" s="21"/>
      <c r="CB34" s="21"/>
      <c r="CC34" s="21"/>
      <c r="CD34" s="21"/>
    </row>
    <row r="35" spans="1:82" ht="15" customHeight="1" x14ac:dyDescent="0.2">
      <c r="A35">
        <v>34</v>
      </c>
      <c r="B35" t="s">
        <v>693</v>
      </c>
      <c r="C35" s="65" t="s">
        <v>111</v>
      </c>
      <c r="D35" s="7" t="s">
        <v>278</v>
      </c>
      <c r="E35" s="7" t="s">
        <v>278</v>
      </c>
      <c r="F35" s="3" t="s">
        <v>279</v>
      </c>
      <c r="G35" s="3" t="s">
        <v>280</v>
      </c>
      <c r="H35" s="3"/>
      <c r="I35" s="3"/>
      <c r="J35" s="3"/>
      <c r="K35" s="3"/>
      <c r="L35" s="3"/>
      <c r="M35" s="3"/>
      <c r="N35" s="3"/>
      <c r="O35" s="3"/>
      <c r="P35" s="3"/>
      <c r="Q35" s="3"/>
      <c r="R35" s="3"/>
      <c r="S35" s="3"/>
      <c r="T35" s="3"/>
      <c r="U35" s="3"/>
      <c r="V35" s="3"/>
      <c r="W35" s="3" t="s">
        <v>112</v>
      </c>
      <c r="X35" s="8">
        <v>0</v>
      </c>
      <c r="Y35" s="3"/>
      <c r="Z35" s="3"/>
      <c r="AA35" s="3"/>
      <c r="AB35" s="8">
        <v>0</v>
      </c>
      <c r="AC35" s="8">
        <v>1</v>
      </c>
      <c r="AD35" s="8">
        <v>0</v>
      </c>
      <c r="AE35" s="3">
        <v>1</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f t="shared" si="3"/>
        <v>1</v>
      </c>
      <c r="BP35" s="3"/>
      <c r="BQ35" s="3"/>
      <c r="BR35" s="3"/>
      <c r="BS35" s="3"/>
      <c r="BT35" s="3"/>
      <c r="BU35" s="3"/>
      <c r="BV35" s="3"/>
      <c r="BW35" s="3"/>
      <c r="BX35" s="3"/>
      <c r="BY35" s="3"/>
      <c r="BZ35" s="3"/>
      <c r="CA35" s="3"/>
      <c r="CB35" s="3"/>
      <c r="CC35" s="3"/>
      <c r="CD35" s="3"/>
    </row>
    <row r="36" spans="1:82" ht="15" customHeight="1" x14ac:dyDescent="0.2">
      <c r="A36">
        <v>35</v>
      </c>
      <c r="B36" t="s">
        <v>693</v>
      </c>
      <c r="C36" s="65" t="s">
        <v>111</v>
      </c>
      <c r="D36" s="7" t="s">
        <v>278</v>
      </c>
      <c r="E36" s="7" t="s">
        <v>278</v>
      </c>
      <c r="F36" s="3" t="s">
        <v>281</v>
      </c>
      <c r="G36" s="3" t="s">
        <v>280</v>
      </c>
      <c r="H36" s="3"/>
      <c r="I36" s="3"/>
      <c r="J36" s="3"/>
      <c r="K36" s="3"/>
      <c r="L36" s="3"/>
      <c r="M36" s="3"/>
      <c r="N36" s="3"/>
      <c r="O36" s="3"/>
      <c r="P36" s="3"/>
      <c r="Q36" s="3"/>
      <c r="R36" s="3"/>
      <c r="S36" s="3"/>
      <c r="T36" s="3"/>
      <c r="U36" s="3"/>
      <c r="V36" s="3"/>
      <c r="W36" s="3" t="s">
        <v>112</v>
      </c>
      <c r="X36" s="8">
        <v>0</v>
      </c>
      <c r="Y36" s="3"/>
      <c r="Z36" s="3"/>
      <c r="AA36" s="3"/>
      <c r="AB36" s="8">
        <v>0</v>
      </c>
      <c r="AC36" s="8">
        <v>1</v>
      </c>
      <c r="AD36" s="8">
        <v>0</v>
      </c>
      <c r="AE36" s="3">
        <v>1</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f t="shared" si="3"/>
        <v>1</v>
      </c>
      <c r="BP36" s="3"/>
      <c r="BQ36" s="3"/>
      <c r="BR36" s="3"/>
      <c r="BS36" s="3"/>
      <c r="BT36" s="3"/>
      <c r="BU36" s="3"/>
      <c r="BV36" s="3"/>
      <c r="BW36" s="3"/>
      <c r="BX36" s="3"/>
      <c r="BY36" s="3"/>
      <c r="BZ36" s="3"/>
      <c r="CA36" s="3"/>
      <c r="CB36" s="3"/>
      <c r="CC36" s="3"/>
      <c r="CD36" s="3"/>
    </row>
    <row r="37" spans="1:82" ht="15" customHeight="1" x14ac:dyDescent="0.2">
      <c r="A37">
        <v>36</v>
      </c>
      <c r="B37" t="s">
        <v>694</v>
      </c>
      <c r="C37" s="65" t="s">
        <v>111</v>
      </c>
      <c r="D37" s="7" t="s">
        <v>282</v>
      </c>
      <c r="E37" s="7" t="s">
        <v>282</v>
      </c>
      <c r="F37" s="3" t="s">
        <v>283</v>
      </c>
      <c r="G37" s="3" t="s">
        <v>280</v>
      </c>
      <c r="H37" s="3"/>
      <c r="I37" s="3"/>
      <c r="J37" s="3"/>
      <c r="K37" s="3"/>
      <c r="L37" s="3"/>
      <c r="M37" s="3"/>
      <c r="N37" s="3"/>
      <c r="O37" s="3"/>
      <c r="P37" s="3"/>
      <c r="Q37" s="3"/>
      <c r="R37" s="3"/>
      <c r="S37" s="3"/>
      <c r="T37" s="3"/>
      <c r="U37" s="3"/>
      <c r="V37" s="3"/>
      <c r="W37" s="3" t="s">
        <v>112</v>
      </c>
      <c r="X37" s="8">
        <v>0</v>
      </c>
      <c r="Y37" s="3"/>
      <c r="Z37" s="3"/>
      <c r="AA37" s="3"/>
      <c r="AB37" s="8">
        <v>0</v>
      </c>
      <c r="AC37" s="8">
        <v>1</v>
      </c>
      <c r="AD37" s="8">
        <v>0</v>
      </c>
      <c r="AE37" s="3">
        <v>1</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f t="shared" si="3"/>
        <v>1</v>
      </c>
      <c r="BP37" s="3"/>
      <c r="BQ37" s="3"/>
      <c r="BR37" s="3"/>
      <c r="BS37" s="3"/>
      <c r="BT37" s="3"/>
      <c r="BU37" s="3"/>
      <c r="BV37" s="3"/>
      <c r="BW37" s="3"/>
      <c r="BX37" s="3"/>
      <c r="BY37" s="3"/>
      <c r="BZ37" s="3"/>
      <c r="CA37" s="3"/>
      <c r="CB37" s="3"/>
      <c r="CC37" s="3"/>
      <c r="CD37" s="3"/>
    </row>
    <row r="38" spans="1:82" ht="15" customHeight="1" x14ac:dyDescent="0.2">
      <c r="A38">
        <v>37</v>
      </c>
      <c r="B38" t="s">
        <v>695</v>
      </c>
      <c r="C38" s="65" t="s">
        <v>111</v>
      </c>
      <c r="D38" s="7" t="s">
        <v>284</v>
      </c>
      <c r="E38" s="7" t="s">
        <v>257</v>
      </c>
      <c r="F38" s="3" t="s">
        <v>285</v>
      </c>
      <c r="G38" s="3" t="s">
        <v>51</v>
      </c>
      <c r="H38" s="3" t="s">
        <v>249</v>
      </c>
      <c r="I38" s="3" t="s">
        <v>247</v>
      </c>
      <c r="J38" s="3">
        <v>1</v>
      </c>
      <c r="K38" s="3">
        <v>0</v>
      </c>
      <c r="L38" s="3">
        <v>0</v>
      </c>
      <c r="M38" s="3" t="s">
        <v>58</v>
      </c>
      <c r="N38" s="3" t="s">
        <v>286</v>
      </c>
      <c r="O38" s="6">
        <v>0</v>
      </c>
      <c r="P38" s="6">
        <v>0</v>
      </c>
      <c r="Q38" s="6">
        <v>0</v>
      </c>
      <c r="R38" s="6">
        <v>0</v>
      </c>
      <c r="S38" s="6">
        <v>1</v>
      </c>
      <c r="T38" s="6">
        <v>1</v>
      </c>
      <c r="U38" s="6">
        <v>0</v>
      </c>
      <c r="V38" s="6">
        <v>0</v>
      </c>
      <c r="W38" s="3" t="s">
        <v>112</v>
      </c>
      <c r="X38" s="8">
        <v>0</v>
      </c>
      <c r="Y38" s="6">
        <v>0</v>
      </c>
      <c r="Z38" s="6">
        <v>0</v>
      </c>
      <c r="AA38" s="6">
        <v>1</v>
      </c>
      <c r="AB38" s="8">
        <v>0</v>
      </c>
      <c r="AC38" s="8">
        <v>1</v>
      </c>
      <c r="AD38" s="8">
        <v>0</v>
      </c>
      <c r="AE38" s="6">
        <v>0</v>
      </c>
      <c r="AF38" s="6">
        <v>0</v>
      </c>
      <c r="AG38" s="6">
        <v>0</v>
      </c>
      <c r="AH38" s="6">
        <v>0</v>
      </c>
      <c r="AI38" s="6">
        <v>0</v>
      </c>
      <c r="AJ38" s="6">
        <v>0</v>
      </c>
      <c r="AK38" s="6">
        <v>0</v>
      </c>
      <c r="AL38" s="6">
        <v>0</v>
      </c>
      <c r="AM38" s="6">
        <v>1</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3">
        <f t="shared" si="3"/>
        <v>1</v>
      </c>
      <c r="BP38" s="3"/>
      <c r="BQ38" s="3"/>
      <c r="BR38" s="3"/>
      <c r="BS38" s="3"/>
      <c r="BT38" s="3"/>
      <c r="BU38" s="3"/>
      <c r="BV38" s="3"/>
      <c r="BW38" s="3"/>
      <c r="BX38" s="3"/>
      <c r="BY38" s="3"/>
      <c r="BZ38" s="3"/>
      <c r="CA38" s="3"/>
      <c r="CB38" s="3"/>
      <c r="CC38" s="3"/>
      <c r="CD38" s="3"/>
    </row>
    <row r="39" spans="1:82" ht="15" customHeight="1" x14ac:dyDescent="0.2">
      <c r="A39">
        <v>38</v>
      </c>
      <c r="B39" t="s">
        <v>696</v>
      </c>
      <c r="C39" s="65" t="s">
        <v>111</v>
      </c>
      <c r="D39" s="7" t="s">
        <v>71</v>
      </c>
      <c r="E39" s="7" t="s">
        <v>71</v>
      </c>
      <c r="F39" s="3" t="s">
        <v>287</v>
      </c>
      <c r="G39" s="3" t="s">
        <v>51</v>
      </c>
      <c r="H39" s="3" t="s">
        <v>288</v>
      </c>
      <c r="I39" s="3" t="s">
        <v>288</v>
      </c>
      <c r="J39" s="3">
        <v>1</v>
      </c>
      <c r="K39" s="3">
        <v>0</v>
      </c>
      <c r="L39" s="3">
        <v>0</v>
      </c>
      <c r="M39" s="3" t="s">
        <v>67</v>
      </c>
      <c r="N39" s="106">
        <v>0.1</v>
      </c>
      <c r="O39" s="6">
        <v>1</v>
      </c>
      <c r="P39" s="6">
        <v>0</v>
      </c>
      <c r="Q39" s="6">
        <v>0</v>
      </c>
      <c r="R39" s="6">
        <v>1</v>
      </c>
      <c r="S39" s="6">
        <v>1</v>
      </c>
      <c r="T39" s="6">
        <v>0</v>
      </c>
      <c r="U39" s="6">
        <v>0</v>
      </c>
      <c r="V39" s="6">
        <v>0</v>
      </c>
      <c r="W39" s="3" t="s">
        <v>112</v>
      </c>
      <c r="X39" s="8">
        <v>0</v>
      </c>
      <c r="Y39" s="6">
        <v>0</v>
      </c>
      <c r="Z39" s="6">
        <v>0</v>
      </c>
      <c r="AA39" s="6">
        <v>0</v>
      </c>
      <c r="AB39" s="8">
        <v>0</v>
      </c>
      <c r="AC39" s="8">
        <v>0.5</v>
      </c>
      <c r="AD39" s="8">
        <v>0</v>
      </c>
      <c r="AE39" s="6">
        <v>1</v>
      </c>
      <c r="AF39" s="6">
        <v>0</v>
      </c>
      <c r="AG39" s="6">
        <v>0</v>
      </c>
      <c r="AH39" s="6">
        <v>0</v>
      </c>
      <c r="AI39" s="6">
        <v>0</v>
      </c>
      <c r="AJ39" s="6">
        <v>0</v>
      </c>
      <c r="AK39" s="6">
        <v>0</v>
      </c>
      <c r="AL39" s="6">
        <v>0</v>
      </c>
      <c r="AM39" s="6">
        <v>0</v>
      </c>
      <c r="AN39" s="6">
        <v>0</v>
      </c>
      <c r="AO39" s="6">
        <v>0</v>
      </c>
      <c r="AP39" s="6">
        <v>0</v>
      </c>
      <c r="AQ39" s="6">
        <v>1</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3">
        <f t="shared" si="3"/>
        <v>2</v>
      </c>
      <c r="BP39" s="3"/>
      <c r="BQ39" s="3"/>
      <c r="BR39" s="3"/>
      <c r="BS39" s="3"/>
      <c r="BT39" s="3"/>
      <c r="BU39" s="3"/>
      <c r="BV39" s="3"/>
      <c r="BW39" s="3"/>
      <c r="BX39" s="3"/>
      <c r="BY39" s="3"/>
      <c r="BZ39" s="3"/>
      <c r="CA39" s="3"/>
      <c r="CB39" s="3"/>
      <c r="CC39" s="3"/>
      <c r="CD39" s="3"/>
    </row>
    <row r="40" spans="1:82" ht="15" customHeight="1" x14ac:dyDescent="0.2">
      <c r="A40">
        <v>39</v>
      </c>
      <c r="B40" t="s">
        <v>697</v>
      </c>
      <c r="C40" s="65" t="s">
        <v>111</v>
      </c>
      <c r="D40" s="7" t="s">
        <v>78</v>
      </c>
      <c r="E40" s="7" t="s">
        <v>79</v>
      </c>
      <c r="F40" s="3" t="s">
        <v>289</v>
      </c>
      <c r="G40" s="3" t="s">
        <v>63</v>
      </c>
      <c r="H40" s="3" t="s">
        <v>52</v>
      </c>
      <c r="I40" s="3" t="s">
        <v>52</v>
      </c>
      <c r="J40" s="3">
        <v>1</v>
      </c>
      <c r="K40" s="3">
        <v>0</v>
      </c>
      <c r="L40" s="3">
        <v>1</v>
      </c>
      <c r="M40" s="3" t="s">
        <v>65</v>
      </c>
      <c r="N40" s="106">
        <v>0.1</v>
      </c>
      <c r="O40" s="6">
        <v>1</v>
      </c>
      <c r="P40" s="6">
        <v>0</v>
      </c>
      <c r="Q40" s="6">
        <v>0</v>
      </c>
      <c r="R40" s="6">
        <v>1</v>
      </c>
      <c r="S40" s="6">
        <v>1</v>
      </c>
      <c r="T40" s="6">
        <v>0</v>
      </c>
      <c r="U40" s="6">
        <v>0</v>
      </c>
      <c r="V40" s="6">
        <v>0</v>
      </c>
      <c r="W40" s="3" t="s">
        <v>112</v>
      </c>
      <c r="X40" s="8">
        <v>0</v>
      </c>
      <c r="Y40" s="6">
        <v>0</v>
      </c>
      <c r="Z40" s="6">
        <v>0</v>
      </c>
      <c r="AA40" s="6">
        <v>0</v>
      </c>
      <c r="AB40" s="8">
        <v>0</v>
      </c>
      <c r="AC40" s="8">
        <v>0.5</v>
      </c>
      <c r="AD40" s="8">
        <v>0</v>
      </c>
      <c r="AE40" s="6">
        <v>1</v>
      </c>
      <c r="AF40" s="6">
        <v>0</v>
      </c>
      <c r="AG40" s="6">
        <v>0</v>
      </c>
      <c r="AH40" s="6">
        <v>0</v>
      </c>
      <c r="AI40" s="6">
        <v>0</v>
      </c>
      <c r="AJ40" s="6">
        <v>0</v>
      </c>
      <c r="AK40" s="6">
        <v>0</v>
      </c>
      <c r="AL40" s="6">
        <v>0</v>
      </c>
      <c r="AM40" s="6">
        <v>0</v>
      </c>
      <c r="AN40" s="6">
        <v>0</v>
      </c>
      <c r="AO40" s="6">
        <v>0</v>
      </c>
      <c r="AP40" s="6">
        <v>0</v>
      </c>
      <c r="AQ40" s="6">
        <v>1</v>
      </c>
      <c r="AR40" s="6">
        <v>0</v>
      </c>
      <c r="AS40" s="6">
        <v>0</v>
      </c>
      <c r="AT40" s="6">
        <v>0</v>
      </c>
      <c r="AU40" s="6">
        <v>0</v>
      </c>
      <c r="AV40" s="6">
        <v>0</v>
      </c>
      <c r="AW40" s="6">
        <v>0</v>
      </c>
      <c r="AX40" s="6">
        <v>0</v>
      </c>
      <c r="AY40" s="6">
        <v>0</v>
      </c>
      <c r="AZ40" s="6">
        <v>0</v>
      </c>
      <c r="BA40" s="6">
        <v>0</v>
      </c>
      <c r="BB40" s="6">
        <v>0</v>
      </c>
      <c r="BC40" s="6">
        <v>0</v>
      </c>
      <c r="BD40" s="6">
        <v>0</v>
      </c>
      <c r="BE40" s="6">
        <v>0</v>
      </c>
      <c r="BF40" s="6">
        <v>0</v>
      </c>
      <c r="BG40" s="6">
        <v>1</v>
      </c>
      <c r="BH40" s="6">
        <v>0</v>
      </c>
      <c r="BI40" s="6">
        <v>0</v>
      </c>
      <c r="BJ40" s="6">
        <v>0</v>
      </c>
      <c r="BK40" s="6">
        <v>0</v>
      </c>
      <c r="BL40" s="6">
        <v>0</v>
      </c>
      <c r="BM40" s="6">
        <v>0</v>
      </c>
      <c r="BN40" s="6">
        <v>0</v>
      </c>
      <c r="BO40" s="3">
        <f t="shared" si="3"/>
        <v>3</v>
      </c>
      <c r="BP40" s="3"/>
      <c r="BQ40" s="3"/>
      <c r="BR40" s="3"/>
      <c r="BS40" s="3"/>
      <c r="BT40" s="3"/>
      <c r="BU40" s="3"/>
      <c r="BV40" s="3"/>
      <c r="BW40" s="3"/>
      <c r="BX40" s="3"/>
      <c r="BY40" s="3"/>
      <c r="BZ40" s="3"/>
      <c r="CA40" s="3"/>
      <c r="CB40" s="3"/>
      <c r="CC40" s="3"/>
      <c r="CD40" s="3"/>
    </row>
    <row r="41" spans="1:82" ht="15" customHeight="1" x14ac:dyDescent="0.2">
      <c r="A41">
        <v>40</v>
      </c>
      <c r="B41" t="s">
        <v>696</v>
      </c>
      <c r="C41" s="65" t="s">
        <v>111</v>
      </c>
      <c r="D41" s="7" t="s">
        <v>79</v>
      </c>
      <c r="E41" s="7" t="s">
        <v>79</v>
      </c>
      <c r="F41" s="3" t="s">
        <v>290</v>
      </c>
      <c r="G41" s="3" t="s">
        <v>51</v>
      </c>
      <c r="H41" s="3" t="s">
        <v>52</v>
      </c>
      <c r="I41" s="3" t="s">
        <v>52</v>
      </c>
      <c r="J41" s="3">
        <v>1</v>
      </c>
      <c r="K41" s="3">
        <v>0</v>
      </c>
      <c r="L41" s="3">
        <v>1</v>
      </c>
      <c r="M41" s="3" t="s">
        <v>67</v>
      </c>
      <c r="N41" s="106">
        <v>0.1</v>
      </c>
      <c r="O41" s="6">
        <v>1</v>
      </c>
      <c r="P41" s="6">
        <v>0</v>
      </c>
      <c r="Q41" s="6">
        <v>1</v>
      </c>
      <c r="R41" s="6">
        <v>1</v>
      </c>
      <c r="S41" s="6">
        <v>1</v>
      </c>
      <c r="T41" s="6">
        <v>0</v>
      </c>
      <c r="U41" s="6">
        <v>0</v>
      </c>
      <c r="V41" s="6">
        <v>0</v>
      </c>
      <c r="W41" s="3" t="s">
        <v>112</v>
      </c>
      <c r="X41" s="8">
        <v>0</v>
      </c>
      <c r="Y41" s="6">
        <v>0</v>
      </c>
      <c r="Z41" s="6">
        <v>0</v>
      </c>
      <c r="AA41" s="6">
        <v>0</v>
      </c>
      <c r="AB41" s="8">
        <v>0</v>
      </c>
      <c r="AC41" s="8">
        <v>0.5</v>
      </c>
      <c r="AD41" s="8">
        <v>0</v>
      </c>
      <c r="AE41" s="6">
        <v>1</v>
      </c>
      <c r="AF41" s="6">
        <v>0</v>
      </c>
      <c r="AG41" s="6">
        <v>0</v>
      </c>
      <c r="AH41" s="6">
        <v>0</v>
      </c>
      <c r="AI41" s="6">
        <v>0</v>
      </c>
      <c r="AJ41" s="6">
        <v>0</v>
      </c>
      <c r="AK41" s="6">
        <v>0</v>
      </c>
      <c r="AL41" s="6">
        <v>0</v>
      </c>
      <c r="AM41" s="6">
        <v>0</v>
      </c>
      <c r="AN41" s="6">
        <v>0</v>
      </c>
      <c r="AO41" s="6">
        <v>0</v>
      </c>
      <c r="AP41" s="6">
        <v>0</v>
      </c>
      <c r="AQ41" s="6">
        <v>1</v>
      </c>
      <c r="AR41" s="6">
        <v>0</v>
      </c>
      <c r="AS41" s="6">
        <v>0</v>
      </c>
      <c r="AT41" s="6">
        <v>0</v>
      </c>
      <c r="AU41" s="6">
        <v>0</v>
      </c>
      <c r="AV41" s="6">
        <v>0</v>
      </c>
      <c r="AW41" s="6">
        <v>0</v>
      </c>
      <c r="AX41" s="6">
        <v>0</v>
      </c>
      <c r="AY41" s="6">
        <v>0</v>
      </c>
      <c r="AZ41" s="6">
        <v>0</v>
      </c>
      <c r="BA41" s="6">
        <v>0</v>
      </c>
      <c r="BB41" s="6">
        <v>0</v>
      </c>
      <c r="BC41" s="6">
        <v>0</v>
      </c>
      <c r="BD41" s="6">
        <v>0</v>
      </c>
      <c r="BE41" s="6">
        <v>0</v>
      </c>
      <c r="BF41" s="6">
        <v>0</v>
      </c>
      <c r="BG41" s="6">
        <v>1</v>
      </c>
      <c r="BH41" s="6">
        <v>0</v>
      </c>
      <c r="BI41" s="6">
        <v>0</v>
      </c>
      <c r="BJ41" s="6">
        <v>0</v>
      </c>
      <c r="BK41" s="6">
        <v>0</v>
      </c>
      <c r="BL41" s="6">
        <v>0</v>
      </c>
      <c r="BM41" s="6">
        <v>0</v>
      </c>
      <c r="BN41" s="6">
        <v>0</v>
      </c>
      <c r="BO41" s="3">
        <f t="shared" si="3"/>
        <v>3</v>
      </c>
      <c r="BP41" s="3"/>
      <c r="BQ41" s="3"/>
      <c r="BR41" s="3"/>
      <c r="BS41" s="3"/>
      <c r="BT41" s="3"/>
      <c r="BU41" s="3"/>
      <c r="BV41" s="3"/>
      <c r="BW41" s="3"/>
      <c r="BX41" s="3"/>
      <c r="BY41" s="3"/>
      <c r="BZ41" s="3"/>
      <c r="CA41" s="3"/>
      <c r="CB41" s="3"/>
      <c r="CC41" s="3"/>
      <c r="CD41" s="3"/>
    </row>
    <row r="42" spans="1:82" ht="15" customHeight="1" x14ac:dyDescent="0.2">
      <c r="A42">
        <v>41</v>
      </c>
      <c r="B42" t="s">
        <v>698</v>
      </c>
      <c r="C42" s="65" t="s">
        <v>115</v>
      </c>
      <c r="D42" s="7" t="s">
        <v>291</v>
      </c>
      <c r="E42" s="7" t="s">
        <v>292</v>
      </c>
      <c r="F42" s="3" t="s">
        <v>293</v>
      </c>
      <c r="G42" s="8" t="s">
        <v>63</v>
      </c>
      <c r="H42" s="8" t="s">
        <v>64</v>
      </c>
      <c r="I42" s="8" t="s">
        <v>64</v>
      </c>
      <c r="J42" s="8">
        <v>0</v>
      </c>
      <c r="K42" s="8">
        <v>0</v>
      </c>
      <c r="L42" s="8">
        <v>0</v>
      </c>
      <c r="M42" s="8" t="s">
        <v>65</v>
      </c>
      <c r="N42" s="12">
        <v>0.33329999999999999</v>
      </c>
      <c r="O42" s="6">
        <v>0</v>
      </c>
      <c r="P42" s="6">
        <v>0</v>
      </c>
      <c r="Q42" s="6">
        <v>1</v>
      </c>
      <c r="R42" s="6">
        <v>0</v>
      </c>
      <c r="S42" s="6">
        <v>1</v>
      </c>
      <c r="T42" s="6">
        <v>0</v>
      </c>
      <c r="U42" s="6">
        <v>0</v>
      </c>
      <c r="V42" s="6">
        <v>0</v>
      </c>
      <c r="W42" s="6" t="s">
        <v>116</v>
      </c>
      <c r="X42" s="8">
        <v>0</v>
      </c>
      <c r="Y42" s="6">
        <v>0</v>
      </c>
      <c r="Z42" s="6">
        <v>0</v>
      </c>
      <c r="AA42" s="6">
        <v>0</v>
      </c>
      <c r="AB42" s="8">
        <v>0</v>
      </c>
      <c r="AC42" s="8">
        <v>0</v>
      </c>
      <c r="AD42" s="8">
        <v>0.5</v>
      </c>
      <c r="AE42" s="6">
        <v>1</v>
      </c>
      <c r="AF42" s="6">
        <v>0</v>
      </c>
      <c r="AG42" s="6">
        <v>0</v>
      </c>
      <c r="AH42" s="6">
        <v>1</v>
      </c>
      <c r="AI42" s="6">
        <v>0</v>
      </c>
      <c r="AJ42" s="6">
        <v>0</v>
      </c>
      <c r="AK42" s="6">
        <v>0</v>
      </c>
      <c r="AL42" s="6">
        <v>0</v>
      </c>
      <c r="AM42" s="6">
        <v>0</v>
      </c>
      <c r="AN42" s="6">
        <v>0</v>
      </c>
      <c r="AO42" s="6">
        <v>0</v>
      </c>
      <c r="AP42" s="6">
        <v>0</v>
      </c>
      <c r="AQ42" s="6">
        <v>1</v>
      </c>
      <c r="AR42" s="6">
        <v>0</v>
      </c>
      <c r="AS42" s="6">
        <v>0</v>
      </c>
      <c r="AT42" s="6">
        <v>0</v>
      </c>
      <c r="AU42" s="6">
        <v>0</v>
      </c>
      <c r="AV42" s="6">
        <v>0</v>
      </c>
      <c r="AW42" s="6">
        <v>0</v>
      </c>
      <c r="AX42" s="6">
        <v>0</v>
      </c>
      <c r="AY42" s="6">
        <v>0</v>
      </c>
      <c r="AZ42" s="6">
        <v>0</v>
      </c>
      <c r="BA42" s="6">
        <v>0</v>
      </c>
      <c r="BB42" s="6">
        <v>0</v>
      </c>
      <c r="BC42" s="6">
        <v>0</v>
      </c>
      <c r="BD42" s="6">
        <v>0</v>
      </c>
      <c r="BE42" s="6">
        <v>1</v>
      </c>
      <c r="BF42" s="6">
        <v>1</v>
      </c>
      <c r="BG42" s="6">
        <v>1</v>
      </c>
      <c r="BH42" s="6">
        <v>0</v>
      </c>
      <c r="BI42" s="6">
        <v>0</v>
      </c>
      <c r="BJ42" s="6">
        <v>1</v>
      </c>
      <c r="BK42" s="6">
        <v>0</v>
      </c>
      <c r="BL42" s="6">
        <v>0</v>
      </c>
      <c r="BM42" s="6">
        <v>1</v>
      </c>
      <c r="BN42" s="6">
        <v>0</v>
      </c>
      <c r="BO42" s="3">
        <f t="shared" si="3"/>
        <v>8</v>
      </c>
      <c r="BP42" s="3"/>
      <c r="BQ42" s="3"/>
      <c r="BR42" s="3"/>
      <c r="BS42" s="3"/>
      <c r="BT42" s="3"/>
      <c r="BU42" s="3"/>
      <c r="BV42" s="3"/>
      <c r="BW42" s="3"/>
      <c r="BX42" s="3"/>
      <c r="BY42" s="3"/>
      <c r="BZ42" s="3"/>
      <c r="CA42" s="3"/>
      <c r="CB42" s="3"/>
      <c r="CC42" s="3"/>
      <c r="CD42" s="3"/>
    </row>
    <row r="43" spans="1:82" ht="15" customHeight="1" x14ac:dyDescent="0.2">
      <c r="A43">
        <v>42</v>
      </c>
      <c r="B43" t="s">
        <v>699</v>
      </c>
      <c r="C43" s="65" t="s">
        <v>115</v>
      </c>
      <c r="D43" s="7" t="s">
        <v>71</v>
      </c>
      <c r="E43" s="7" t="s">
        <v>71</v>
      </c>
      <c r="F43" s="3" t="s">
        <v>294</v>
      </c>
      <c r="G43" s="8" t="s">
        <v>63</v>
      </c>
      <c r="H43" s="8" t="s">
        <v>64</v>
      </c>
      <c r="I43" s="8" t="s">
        <v>64</v>
      </c>
      <c r="J43" s="8">
        <v>0</v>
      </c>
      <c r="K43" s="8">
        <v>0</v>
      </c>
      <c r="L43" s="8">
        <v>0</v>
      </c>
      <c r="M43" s="8" t="s">
        <v>65</v>
      </c>
      <c r="N43" s="12">
        <v>0.33329999999999999</v>
      </c>
      <c r="O43" s="6">
        <v>0</v>
      </c>
      <c r="P43" s="6">
        <v>0</v>
      </c>
      <c r="Q43" s="6">
        <v>1</v>
      </c>
      <c r="R43" s="6">
        <v>1</v>
      </c>
      <c r="S43" s="6">
        <v>1</v>
      </c>
      <c r="T43" s="6">
        <v>0</v>
      </c>
      <c r="U43" s="6">
        <v>0</v>
      </c>
      <c r="V43" s="6">
        <v>0</v>
      </c>
      <c r="W43" s="6" t="s">
        <v>116</v>
      </c>
      <c r="X43" s="8">
        <v>0</v>
      </c>
      <c r="Y43" s="6">
        <v>0</v>
      </c>
      <c r="Z43" s="6">
        <v>0</v>
      </c>
      <c r="AA43" s="6">
        <v>0</v>
      </c>
      <c r="AB43" s="8">
        <v>0</v>
      </c>
      <c r="AC43" s="8">
        <v>0</v>
      </c>
      <c r="AD43" s="8">
        <v>0.5</v>
      </c>
      <c r="AE43" s="6">
        <v>1</v>
      </c>
      <c r="AF43" s="6">
        <v>0</v>
      </c>
      <c r="AG43" s="6">
        <v>0</v>
      </c>
      <c r="AH43" s="6">
        <v>1</v>
      </c>
      <c r="AI43" s="6">
        <v>0</v>
      </c>
      <c r="AJ43" s="6">
        <v>0</v>
      </c>
      <c r="AK43" s="6">
        <v>0</v>
      </c>
      <c r="AL43" s="6">
        <v>0</v>
      </c>
      <c r="AM43" s="6">
        <v>0</v>
      </c>
      <c r="AN43" s="6">
        <v>0</v>
      </c>
      <c r="AO43" s="6">
        <v>0</v>
      </c>
      <c r="AP43" s="6">
        <v>0</v>
      </c>
      <c r="AQ43" s="6">
        <v>1</v>
      </c>
      <c r="AR43" s="6">
        <v>0</v>
      </c>
      <c r="AS43" s="6">
        <v>0</v>
      </c>
      <c r="AT43" s="6">
        <v>0</v>
      </c>
      <c r="AU43" s="6">
        <v>0</v>
      </c>
      <c r="AV43" s="6">
        <v>0</v>
      </c>
      <c r="AW43" s="6">
        <v>0</v>
      </c>
      <c r="AX43" s="6">
        <v>0</v>
      </c>
      <c r="AY43" s="6">
        <v>0</v>
      </c>
      <c r="AZ43" s="6">
        <v>0</v>
      </c>
      <c r="BA43" s="6">
        <v>0</v>
      </c>
      <c r="BB43" s="6">
        <v>0</v>
      </c>
      <c r="BC43" s="6">
        <v>0</v>
      </c>
      <c r="BD43" s="6">
        <v>0</v>
      </c>
      <c r="BE43" s="6">
        <v>1</v>
      </c>
      <c r="BF43" s="6">
        <v>1</v>
      </c>
      <c r="BG43" s="6">
        <v>1</v>
      </c>
      <c r="BH43" s="6">
        <v>0</v>
      </c>
      <c r="BI43" s="6">
        <v>0</v>
      </c>
      <c r="BJ43" s="6">
        <v>0</v>
      </c>
      <c r="BK43" s="6">
        <v>0</v>
      </c>
      <c r="BL43" s="6">
        <v>0</v>
      </c>
      <c r="BM43" s="6">
        <v>1</v>
      </c>
      <c r="BN43" s="6">
        <v>0</v>
      </c>
      <c r="BO43" s="3">
        <f t="shared" si="3"/>
        <v>7</v>
      </c>
      <c r="BP43" s="3"/>
      <c r="BQ43" s="3"/>
      <c r="BR43" s="3"/>
      <c r="BS43" s="3"/>
      <c r="BT43" s="3"/>
      <c r="BU43" s="3"/>
      <c r="BV43" s="3"/>
      <c r="BW43" s="3"/>
      <c r="BX43" s="3"/>
      <c r="BY43" s="3"/>
      <c r="BZ43" s="3"/>
      <c r="CA43" s="3"/>
      <c r="CB43" s="3"/>
      <c r="CC43" s="3"/>
      <c r="CD43" s="3"/>
    </row>
    <row r="44" spans="1:82" ht="15" customHeight="1" x14ac:dyDescent="0.2">
      <c r="A44">
        <v>43</v>
      </c>
      <c r="B44" t="s">
        <v>700</v>
      </c>
      <c r="C44" s="65" t="s">
        <v>115</v>
      </c>
      <c r="D44" s="7" t="s">
        <v>73</v>
      </c>
      <c r="E44" s="7" t="s">
        <v>73</v>
      </c>
      <c r="F44" s="3" t="s">
        <v>295</v>
      </c>
      <c r="G44" s="8" t="s">
        <v>63</v>
      </c>
      <c r="H44" s="8" t="s">
        <v>64</v>
      </c>
      <c r="I44" s="8" t="s">
        <v>64</v>
      </c>
      <c r="J44" s="8">
        <v>0</v>
      </c>
      <c r="K44" s="8">
        <v>0</v>
      </c>
      <c r="L44" s="8">
        <v>0</v>
      </c>
      <c r="M44" s="8" t="s">
        <v>65</v>
      </c>
      <c r="N44" s="12">
        <v>0.33329999999999999</v>
      </c>
      <c r="O44" s="6">
        <v>0</v>
      </c>
      <c r="P44" s="6">
        <v>0</v>
      </c>
      <c r="Q44" s="6">
        <v>1</v>
      </c>
      <c r="R44" s="6">
        <v>1</v>
      </c>
      <c r="S44" s="6">
        <v>1</v>
      </c>
      <c r="T44" s="6">
        <v>0</v>
      </c>
      <c r="U44" s="6">
        <v>0</v>
      </c>
      <c r="V44" s="6">
        <v>0</v>
      </c>
      <c r="W44" s="6" t="s">
        <v>118</v>
      </c>
      <c r="X44" s="8">
        <v>0</v>
      </c>
      <c r="Y44" s="6">
        <v>0</v>
      </c>
      <c r="Z44" s="6">
        <v>0</v>
      </c>
      <c r="AA44" s="6">
        <v>0</v>
      </c>
      <c r="AB44" s="8">
        <v>0</v>
      </c>
      <c r="AC44" s="8">
        <v>0</v>
      </c>
      <c r="AD44" s="8">
        <v>0.5</v>
      </c>
      <c r="AE44" s="6">
        <v>1</v>
      </c>
      <c r="AF44" s="6">
        <v>1</v>
      </c>
      <c r="AG44" s="6">
        <v>1</v>
      </c>
      <c r="AH44" s="6">
        <v>1</v>
      </c>
      <c r="AI44" s="6">
        <v>1</v>
      </c>
      <c r="AJ44" s="6">
        <v>1</v>
      </c>
      <c r="AK44" s="6">
        <v>0</v>
      </c>
      <c r="AL44" s="6">
        <v>0</v>
      </c>
      <c r="AM44" s="6">
        <v>0</v>
      </c>
      <c r="AN44" s="6">
        <v>1</v>
      </c>
      <c r="AO44" s="6">
        <v>0</v>
      </c>
      <c r="AP44" s="6">
        <v>0</v>
      </c>
      <c r="AQ44" s="6">
        <v>1</v>
      </c>
      <c r="AR44" s="6">
        <v>0</v>
      </c>
      <c r="AS44" s="6">
        <v>0</v>
      </c>
      <c r="AT44" s="6">
        <v>0</v>
      </c>
      <c r="AU44" s="6">
        <v>0</v>
      </c>
      <c r="AV44" s="6">
        <v>0</v>
      </c>
      <c r="AW44" s="6">
        <v>0</v>
      </c>
      <c r="AX44" s="6">
        <v>0</v>
      </c>
      <c r="AY44" s="6">
        <v>0</v>
      </c>
      <c r="AZ44" s="6">
        <v>0</v>
      </c>
      <c r="BA44" s="6">
        <v>0</v>
      </c>
      <c r="BB44" s="6">
        <v>0</v>
      </c>
      <c r="BC44" s="6">
        <v>0</v>
      </c>
      <c r="BD44" s="6">
        <v>0</v>
      </c>
      <c r="BE44" s="6">
        <v>1</v>
      </c>
      <c r="BF44" s="6">
        <v>1</v>
      </c>
      <c r="BG44" s="6">
        <v>1</v>
      </c>
      <c r="BH44" s="6">
        <v>0</v>
      </c>
      <c r="BI44" s="6">
        <v>0</v>
      </c>
      <c r="BJ44" s="6">
        <v>0</v>
      </c>
      <c r="BK44" s="6">
        <v>0</v>
      </c>
      <c r="BL44" s="6">
        <v>0</v>
      </c>
      <c r="BM44" s="6">
        <v>1</v>
      </c>
      <c r="BN44" s="6">
        <v>0</v>
      </c>
      <c r="BO44" s="3">
        <f t="shared" si="3"/>
        <v>12</v>
      </c>
      <c r="BP44" s="3"/>
      <c r="BQ44" s="3"/>
      <c r="BR44" s="3"/>
      <c r="BS44" s="3"/>
      <c r="BT44" s="3"/>
      <c r="BU44" s="3"/>
      <c r="BV44" s="3"/>
      <c r="BW44" s="3"/>
      <c r="BX44" s="3"/>
      <c r="BY44" s="3"/>
      <c r="BZ44" s="3"/>
      <c r="CA44" s="3"/>
      <c r="CB44" s="3"/>
      <c r="CC44" s="3"/>
      <c r="CD44" s="3"/>
    </row>
    <row r="45" spans="1:82" ht="15" customHeight="1" x14ac:dyDescent="0.2">
      <c r="A45">
        <v>44</v>
      </c>
      <c r="B45" t="s">
        <v>701</v>
      </c>
      <c r="C45" s="65" t="s">
        <v>115</v>
      </c>
      <c r="D45" s="7" t="s">
        <v>77</v>
      </c>
      <c r="E45" s="7" t="s">
        <v>78</v>
      </c>
      <c r="F45" s="3" t="s">
        <v>295</v>
      </c>
      <c r="G45" s="8" t="s">
        <v>63</v>
      </c>
      <c r="H45" s="8" t="s">
        <v>64</v>
      </c>
      <c r="I45" s="8" t="s">
        <v>64</v>
      </c>
      <c r="J45" s="67">
        <v>0</v>
      </c>
      <c r="K45" s="67">
        <v>0</v>
      </c>
      <c r="L45" s="67">
        <v>0</v>
      </c>
      <c r="M45" s="68" t="s">
        <v>65</v>
      </c>
      <c r="N45" s="12">
        <v>0.33329999999999999</v>
      </c>
      <c r="O45" s="6">
        <v>0</v>
      </c>
      <c r="P45" s="6">
        <v>0</v>
      </c>
      <c r="Q45" s="67">
        <v>1</v>
      </c>
      <c r="R45" s="67">
        <v>1</v>
      </c>
      <c r="S45" s="67">
        <v>1</v>
      </c>
      <c r="T45" s="67">
        <v>0</v>
      </c>
      <c r="U45" s="67">
        <v>0</v>
      </c>
      <c r="V45" s="67">
        <v>0</v>
      </c>
      <c r="W45" s="67" t="s">
        <v>118</v>
      </c>
      <c r="X45" s="8">
        <v>0</v>
      </c>
      <c r="Y45" s="67">
        <v>0</v>
      </c>
      <c r="Z45" s="6">
        <v>0</v>
      </c>
      <c r="AA45" s="67">
        <v>0</v>
      </c>
      <c r="AB45" s="8">
        <v>0</v>
      </c>
      <c r="AC45" s="8">
        <v>0</v>
      </c>
      <c r="AD45" s="8">
        <v>0.5</v>
      </c>
      <c r="AE45" s="67">
        <v>1</v>
      </c>
      <c r="AF45" s="6">
        <v>1</v>
      </c>
      <c r="AG45" s="6">
        <v>1</v>
      </c>
      <c r="AH45" s="67">
        <v>1</v>
      </c>
      <c r="AI45" s="67">
        <v>1</v>
      </c>
      <c r="AJ45" s="67">
        <v>1</v>
      </c>
      <c r="AK45" s="6">
        <v>0</v>
      </c>
      <c r="AL45" s="67">
        <v>0</v>
      </c>
      <c r="AM45" s="67">
        <v>0</v>
      </c>
      <c r="AN45" s="67">
        <v>1</v>
      </c>
      <c r="AO45" s="67">
        <v>0</v>
      </c>
      <c r="AP45" s="67">
        <v>1</v>
      </c>
      <c r="AQ45" s="67">
        <v>1</v>
      </c>
      <c r="AR45" s="67">
        <v>0</v>
      </c>
      <c r="AS45" s="67">
        <v>1</v>
      </c>
      <c r="AT45" s="67">
        <v>0</v>
      </c>
      <c r="AU45" s="67">
        <v>1</v>
      </c>
      <c r="AV45" s="67">
        <v>0</v>
      </c>
      <c r="AW45" s="67">
        <v>0</v>
      </c>
      <c r="AX45" s="6">
        <v>1</v>
      </c>
      <c r="AY45" s="67">
        <v>0</v>
      </c>
      <c r="AZ45" s="67">
        <v>1</v>
      </c>
      <c r="BA45" s="67">
        <v>1</v>
      </c>
      <c r="BB45" s="6">
        <v>0</v>
      </c>
      <c r="BC45" s="67">
        <v>0</v>
      </c>
      <c r="BD45" s="6">
        <v>0</v>
      </c>
      <c r="BE45" s="6">
        <v>1</v>
      </c>
      <c r="BF45" s="6">
        <v>1</v>
      </c>
      <c r="BG45" s="6">
        <v>1</v>
      </c>
      <c r="BH45" s="6">
        <v>1</v>
      </c>
      <c r="BI45" s="67">
        <v>0</v>
      </c>
      <c r="BJ45" s="67">
        <v>0</v>
      </c>
      <c r="BK45" s="67">
        <v>0</v>
      </c>
      <c r="BL45" s="67">
        <v>0</v>
      </c>
      <c r="BM45" s="67">
        <v>1</v>
      </c>
      <c r="BN45" s="67">
        <v>0</v>
      </c>
      <c r="BO45" s="3">
        <f t="shared" si="3"/>
        <v>19</v>
      </c>
      <c r="BP45" s="3"/>
      <c r="BQ45" s="3"/>
      <c r="BR45" s="3"/>
      <c r="BS45" s="3"/>
      <c r="BT45" s="3"/>
      <c r="BU45" s="3"/>
      <c r="BV45" s="3"/>
      <c r="BW45" s="3"/>
      <c r="BX45" s="3"/>
      <c r="BY45" s="3"/>
      <c r="BZ45" s="3"/>
      <c r="CA45" s="3"/>
      <c r="CB45" s="3"/>
      <c r="CC45" s="3"/>
      <c r="CD45" s="3"/>
    </row>
    <row r="46" spans="1:82" ht="15" customHeight="1" x14ac:dyDescent="0.2">
      <c r="A46">
        <v>45</v>
      </c>
      <c r="B46" t="s">
        <v>702</v>
      </c>
      <c r="C46" s="65" t="s">
        <v>115</v>
      </c>
      <c r="D46" s="7" t="s">
        <v>78</v>
      </c>
      <c r="E46" s="7" t="s">
        <v>79</v>
      </c>
      <c r="F46" s="3" t="s">
        <v>296</v>
      </c>
      <c r="G46" s="8" t="s">
        <v>63</v>
      </c>
      <c r="H46" s="8" t="s">
        <v>64</v>
      </c>
      <c r="I46" s="8" t="s">
        <v>119</v>
      </c>
      <c r="J46" s="8">
        <v>0</v>
      </c>
      <c r="K46" s="8">
        <v>0</v>
      </c>
      <c r="L46" s="8">
        <v>0</v>
      </c>
      <c r="M46" s="8" t="s">
        <v>120</v>
      </c>
      <c r="N46" s="9">
        <v>0.25</v>
      </c>
      <c r="O46" s="6">
        <v>0</v>
      </c>
      <c r="P46" s="6">
        <v>0</v>
      </c>
      <c r="Q46" s="6">
        <v>1</v>
      </c>
      <c r="R46" s="6">
        <v>1</v>
      </c>
      <c r="S46" s="6">
        <v>1</v>
      </c>
      <c r="T46" s="6">
        <v>0</v>
      </c>
      <c r="U46" s="6">
        <v>0</v>
      </c>
      <c r="V46" s="6">
        <v>0</v>
      </c>
      <c r="W46" s="6" t="s">
        <v>118</v>
      </c>
      <c r="X46" s="8">
        <v>0</v>
      </c>
      <c r="Y46" s="6">
        <v>0</v>
      </c>
      <c r="Z46" s="6">
        <v>0</v>
      </c>
      <c r="AA46" s="6">
        <v>0</v>
      </c>
      <c r="AB46" s="8">
        <v>0</v>
      </c>
      <c r="AC46" s="8">
        <v>0</v>
      </c>
      <c r="AD46" s="8">
        <v>0.5</v>
      </c>
      <c r="AE46" s="6">
        <v>1</v>
      </c>
      <c r="AF46" s="6">
        <v>1</v>
      </c>
      <c r="AG46" s="6">
        <v>1</v>
      </c>
      <c r="AH46" s="6">
        <v>1</v>
      </c>
      <c r="AI46" s="6">
        <v>1</v>
      </c>
      <c r="AJ46" s="6">
        <v>1</v>
      </c>
      <c r="AK46" s="6">
        <v>0</v>
      </c>
      <c r="AL46" s="6">
        <v>1</v>
      </c>
      <c r="AM46" s="6">
        <v>0</v>
      </c>
      <c r="AN46" s="6">
        <v>1</v>
      </c>
      <c r="AO46" s="6">
        <v>0</v>
      </c>
      <c r="AP46" s="6">
        <v>1</v>
      </c>
      <c r="AQ46" s="6">
        <v>1</v>
      </c>
      <c r="AR46" s="6">
        <v>1</v>
      </c>
      <c r="AS46" s="6">
        <v>1</v>
      </c>
      <c r="AT46" s="6">
        <v>0</v>
      </c>
      <c r="AU46" s="6">
        <v>1</v>
      </c>
      <c r="AV46" s="6">
        <v>0</v>
      </c>
      <c r="AW46" s="6">
        <v>0</v>
      </c>
      <c r="AX46" s="6">
        <v>1</v>
      </c>
      <c r="AY46" s="6">
        <v>0</v>
      </c>
      <c r="AZ46" s="6">
        <v>1</v>
      </c>
      <c r="BA46" s="6">
        <v>1</v>
      </c>
      <c r="BB46" s="6">
        <v>0</v>
      </c>
      <c r="BC46" s="6">
        <v>0</v>
      </c>
      <c r="BD46" s="6">
        <v>0</v>
      </c>
      <c r="BE46" s="6">
        <v>1</v>
      </c>
      <c r="BF46" s="6">
        <v>1</v>
      </c>
      <c r="BG46" s="6">
        <v>1</v>
      </c>
      <c r="BH46" s="6">
        <v>1</v>
      </c>
      <c r="BI46" s="6">
        <v>0</v>
      </c>
      <c r="BJ46" s="6">
        <v>0</v>
      </c>
      <c r="BK46" s="6">
        <v>0</v>
      </c>
      <c r="BL46" s="6">
        <v>0</v>
      </c>
      <c r="BM46" s="6">
        <v>1</v>
      </c>
      <c r="BN46" s="6">
        <v>0</v>
      </c>
      <c r="BO46" s="3">
        <f t="shared" si="3"/>
        <v>21</v>
      </c>
      <c r="BP46" s="3"/>
      <c r="BQ46" s="3"/>
      <c r="BR46" s="3"/>
      <c r="BS46" s="3"/>
      <c r="BT46" s="3"/>
      <c r="BU46" s="3"/>
      <c r="BV46" s="3"/>
      <c r="BW46" s="3"/>
      <c r="BX46" s="3"/>
      <c r="BY46" s="3"/>
      <c r="BZ46" s="3"/>
      <c r="CA46" s="3"/>
      <c r="CB46" s="3"/>
      <c r="CC46" s="3"/>
      <c r="CD46" s="3"/>
    </row>
    <row r="47" spans="1:82" ht="15" customHeight="1" x14ac:dyDescent="0.2">
      <c r="A47">
        <v>46</v>
      </c>
      <c r="B47" t="s">
        <v>703</v>
      </c>
      <c r="C47" s="65" t="s">
        <v>115</v>
      </c>
      <c r="D47" s="7" t="s">
        <v>79</v>
      </c>
      <c r="E47" s="7" t="s">
        <v>79</v>
      </c>
      <c r="F47" s="3" t="s">
        <v>297</v>
      </c>
      <c r="G47" s="8" t="s">
        <v>63</v>
      </c>
      <c r="H47" s="8" t="s">
        <v>64</v>
      </c>
      <c r="I47" s="8" t="s">
        <v>119</v>
      </c>
      <c r="J47" s="8">
        <v>0</v>
      </c>
      <c r="K47" s="8">
        <v>0</v>
      </c>
      <c r="L47" s="8">
        <v>0</v>
      </c>
      <c r="M47" s="8" t="s">
        <v>120</v>
      </c>
      <c r="N47" s="9">
        <v>0.1</v>
      </c>
      <c r="O47" s="6">
        <v>0</v>
      </c>
      <c r="P47" s="6">
        <v>0</v>
      </c>
      <c r="Q47" s="6">
        <v>1</v>
      </c>
      <c r="R47" s="6">
        <v>1</v>
      </c>
      <c r="S47" s="6">
        <v>1</v>
      </c>
      <c r="T47" s="6">
        <v>0</v>
      </c>
      <c r="U47" s="6">
        <v>0</v>
      </c>
      <c r="V47" s="6">
        <v>0</v>
      </c>
      <c r="W47" s="6" t="s">
        <v>118</v>
      </c>
      <c r="X47" s="8">
        <v>0</v>
      </c>
      <c r="Y47" s="6">
        <v>0</v>
      </c>
      <c r="Z47" s="6">
        <v>0</v>
      </c>
      <c r="AA47" s="6">
        <v>0</v>
      </c>
      <c r="AB47" s="8">
        <v>0</v>
      </c>
      <c r="AC47" s="8">
        <v>0</v>
      </c>
      <c r="AD47" s="8">
        <v>0</v>
      </c>
      <c r="AE47" s="6">
        <v>1</v>
      </c>
      <c r="AF47" s="6">
        <v>1</v>
      </c>
      <c r="AG47" s="6">
        <v>1</v>
      </c>
      <c r="AH47" s="6">
        <v>1</v>
      </c>
      <c r="AI47" s="6">
        <v>1</v>
      </c>
      <c r="AJ47" s="6">
        <v>1</v>
      </c>
      <c r="AK47" s="6">
        <v>0</v>
      </c>
      <c r="AL47" s="6">
        <v>1</v>
      </c>
      <c r="AM47" s="6">
        <v>0</v>
      </c>
      <c r="AN47" s="6">
        <v>1</v>
      </c>
      <c r="AO47" s="6">
        <v>0</v>
      </c>
      <c r="AP47" s="6">
        <v>1</v>
      </c>
      <c r="AQ47" s="6">
        <v>1</v>
      </c>
      <c r="AR47" s="6">
        <v>1</v>
      </c>
      <c r="AS47" s="6">
        <v>1</v>
      </c>
      <c r="AT47" s="6">
        <v>0</v>
      </c>
      <c r="AU47" s="6">
        <v>1</v>
      </c>
      <c r="AV47" s="6">
        <v>0</v>
      </c>
      <c r="AW47" s="6">
        <v>0</v>
      </c>
      <c r="AX47" s="6">
        <v>1</v>
      </c>
      <c r="AY47" s="6">
        <v>0</v>
      </c>
      <c r="AZ47" s="6">
        <v>1</v>
      </c>
      <c r="BA47" s="6">
        <v>1</v>
      </c>
      <c r="BB47" s="6">
        <v>0</v>
      </c>
      <c r="BC47" s="6">
        <v>0</v>
      </c>
      <c r="BD47" s="6">
        <v>0</v>
      </c>
      <c r="BE47" s="6">
        <v>1</v>
      </c>
      <c r="BF47" s="6">
        <v>1</v>
      </c>
      <c r="BG47" s="6">
        <v>1</v>
      </c>
      <c r="BH47" s="6">
        <v>1</v>
      </c>
      <c r="BI47" s="6">
        <v>0</v>
      </c>
      <c r="BJ47" s="6">
        <v>0</v>
      </c>
      <c r="BK47" s="6">
        <v>0</v>
      </c>
      <c r="BL47" s="6">
        <v>0</v>
      </c>
      <c r="BM47" s="6">
        <v>1</v>
      </c>
      <c r="BN47" s="6">
        <v>0</v>
      </c>
      <c r="BO47" s="3">
        <f t="shared" si="3"/>
        <v>21</v>
      </c>
      <c r="BP47" s="3"/>
      <c r="BQ47" s="3"/>
      <c r="BR47" s="3"/>
      <c r="BS47" s="3"/>
      <c r="BT47" s="3"/>
      <c r="BU47" s="3"/>
      <c r="BV47" s="3"/>
      <c r="BW47" s="3"/>
      <c r="BX47" s="3"/>
      <c r="BY47" s="3"/>
      <c r="BZ47" s="3"/>
      <c r="CA47" s="3"/>
      <c r="CB47" s="3"/>
      <c r="CC47" s="3"/>
      <c r="CD47" s="3"/>
    </row>
    <row r="48" spans="1:82" ht="15" customHeight="1" x14ac:dyDescent="0.2">
      <c r="A48">
        <v>47</v>
      </c>
      <c r="B48" t="s">
        <v>704</v>
      </c>
      <c r="C48" s="65" t="s">
        <v>115</v>
      </c>
      <c r="D48" s="7" t="s">
        <v>80</v>
      </c>
      <c r="E48" s="7" t="s">
        <v>244</v>
      </c>
      <c r="F48" s="3" t="s">
        <v>298</v>
      </c>
      <c r="G48" s="8" t="s">
        <v>63</v>
      </c>
      <c r="H48" s="8" t="s">
        <v>64</v>
      </c>
      <c r="I48" s="8" t="s">
        <v>119</v>
      </c>
      <c r="J48" s="8">
        <v>0</v>
      </c>
      <c r="K48" s="8">
        <v>0</v>
      </c>
      <c r="L48" s="8">
        <v>0</v>
      </c>
      <c r="M48" s="8" t="s">
        <v>120</v>
      </c>
      <c r="N48" s="9">
        <v>0.1</v>
      </c>
      <c r="O48" s="6">
        <v>0</v>
      </c>
      <c r="P48" s="6">
        <v>0</v>
      </c>
      <c r="Q48" s="6">
        <v>1</v>
      </c>
      <c r="R48" s="6">
        <v>1</v>
      </c>
      <c r="S48" s="6">
        <v>1</v>
      </c>
      <c r="T48" s="6">
        <v>0</v>
      </c>
      <c r="U48" s="6">
        <v>0</v>
      </c>
      <c r="V48" s="6">
        <v>0</v>
      </c>
      <c r="W48" s="6" t="s">
        <v>118</v>
      </c>
      <c r="X48" s="8">
        <v>0</v>
      </c>
      <c r="Y48" s="6">
        <v>0</v>
      </c>
      <c r="Z48" s="6">
        <v>0</v>
      </c>
      <c r="AA48" s="6">
        <v>0</v>
      </c>
      <c r="AB48" s="8">
        <v>0</v>
      </c>
      <c r="AC48" s="8">
        <v>0</v>
      </c>
      <c r="AD48" s="8">
        <v>0</v>
      </c>
      <c r="AE48" s="6">
        <v>1</v>
      </c>
      <c r="AF48" s="6">
        <v>1</v>
      </c>
      <c r="AG48" s="6">
        <v>1</v>
      </c>
      <c r="AH48" s="6">
        <v>1</v>
      </c>
      <c r="AI48" s="6">
        <v>1</v>
      </c>
      <c r="AJ48" s="6">
        <v>1</v>
      </c>
      <c r="AK48" s="6">
        <v>0</v>
      </c>
      <c r="AL48" s="6">
        <v>1</v>
      </c>
      <c r="AM48" s="6">
        <v>0</v>
      </c>
      <c r="AN48" s="6">
        <v>1</v>
      </c>
      <c r="AO48" s="6">
        <v>0</v>
      </c>
      <c r="AP48" s="6">
        <v>1</v>
      </c>
      <c r="AQ48" s="6">
        <v>1</v>
      </c>
      <c r="AR48" s="6">
        <v>1</v>
      </c>
      <c r="AS48" s="6">
        <v>1</v>
      </c>
      <c r="AT48" s="6">
        <v>0</v>
      </c>
      <c r="AU48" s="6">
        <v>1</v>
      </c>
      <c r="AV48" s="6">
        <v>0</v>
      </c>
      <c r="AW48" s="6">
        <v>0</v>
      </c>
      <c r="AX48" s="6">
        <v>1</v>
      </c>
      <c r="AY48" s="6">
        <v>0</v>
      </c>
      <c r="AZ48" s="6">
        <v>1</v>
      </c>
      <c r="BA48" s="6">
        <v>1</v>
      </c>
      <c r="BB48" s="6">
        <v>0</v>
      </c>
      <c r="BC48" s="6">
        <v>0</v>
      </c>
      <c r="BD48" s="6">
        <v>0</v>
      </c>
      <c r="BE48" s="6">
        <v>1</v>
      </c>
      <c r="BF48" s="6">
        <v>1</v>
      </c>
      <c r="BG48" s="6">
        <v>1</v>
      </c>
      <c r="BH48" s="6">
        <v>1</v>
      </c>
      <c r="BI48" s="6">
        <v>0</v>
      </c>
      <c r="BJ48" s="6">
        <v>0</v>
      </c>
      <c r="BK48" s="6">
        <v>0</v>
      </c>
      <c r="BL48" s="6">
        <v>0</v>
      </c>
      <c r="BM48" s="6">
        <v>1</v>
      </c>
      <c r="BN48" s="6">
        <v>0</v>
      </c>
      <c r="BO48" s="3">
        <f t="shared" si="3"/>
        <v>21</v>
      </c>
      <c r="BP48" s="3"/>
      <c r="BQ48" s="3"/>
      <c r="BR48" s="3"/>
      <c r="BS48" s="3"/>
      <c r="BT48" s="3"/>
      <c r="BU48" s="3"/>
      <c r="BV48" s="3"/>
      <c r="BW48" s="3"/>
      <c r="BX48" s="3"/>
      <c r="BY48" s="3"/>
      <c r="BZ48" s="3"/>
      <c r="CA48" s="3"/>
      <c r="CB48" s="3"/>
      <c r="CC48" s="3"/>
      <c r="CD48" s="3"/>
    </row>
    <row r="49" spans="1:82" ht="15" customHeight="1" x14ac:dyDescent="0.2">
      <c r="A49">
        <v>48</v>
      </c>
      <c r="B49" t="s">
        <v>705</v>
      </c>
      <c r="C49" s="65" t="s">
        <v>115</v>
      </c>
      <c r="D49" s="7" t="s">
        <v>244</v>
      </c>
      <c r="E49" s="7" t="s">
        <v>244</v>
      </c>
      <c r="F49" s="107" t="s">
        <v>299</v>
      </c>
      <c r="G49" s="8" t="s">
        <v>63</v>
      </c>
      <c r="H49" s="8" t="s">
        <v>64</v>
      </c>
      <c r="I49" s="8" t="s">
        <v>119</v>
      </c>
      <c r="J49" s="8">
        <v>0</v>
      </c>
      <c r="K49" s="8">
        <v>0</v>
      </c>
      <c r="L49" s="8">
        <v>0</v>
      </c>
      <c r="M49" s="8" t="s">
        <v>120</v>
      </c>
      <c r="N49" s="9">
        <v>0.1</v>
      </c>
      <c r="O49" s="6">
        <v>0</v>
      </c>
      <c r="P49" s="6">
        <v>0</v>
      </c>
      <c r="Q49" s="6">
        <v>1</v>
      </c>
      <c r="R49" s="6">
        <v>1</v>
      </c>
      <c r="S49" s="6">
        <v>1</v>
      </c>
      <c r="T49" s="6">
        <v>0</v>
      </c>
      <c r="U49" s="6">
        <v>0</v>
      </c>
      <c r="V49" s="6">
        <v>0</v>
      </c>
      <c r="W49" s="6" t="s">
        <v>118</v>
      </c>
      <c r="X49" s="8">
        <v>0</v>
      </c>
      <c r="Y49" s="6">
        <v>0</v>
      </c>
      <c r="Z49" s="6">
        <v>0</v>
      </c>
      <c r="AA49" s="6">
        <v>0</v>
      </c>
      <c r="AB49" s="8">
        <v>0</v>
      </c>
      <c r="AC49" s="8">
        <v>0</v>
      </c>
      <c r="AD49" s="8">
        <v>0</v>
      </c>
      <c r="AE49" s="6">
        <v>1</v>
      </c>
      <c r="AF49" s="6">
        <v>1</v>
      </c>
      <c r="AG49" s="6">
        <v>1</v>
      </c>
      <c r="AH49" s="6">
        <v>1</v>
      </c>
      <c r="AI49" s="6">
        <v>1</v>
      </c>
      <c r="AJ49" s="6">
        <v>1</v>
      </c>
      <c r="AK49" s="6">
        <v>0</v>
      </c>
      <c r="AL49" s="6">
        <v>1</v>
      </c>
      <c r="AM49" s="6">
        <v>0</v>
      </c>
      <c r="AN49" s="6">
        <v>1</v>
      </c>
      <c r="AO49" s="6">
        <v>0</v>
      </c>
      <c r="AP49" s="6">
        <v>1</v>
      </c>
      <c r="AQ49" s="6">
        <v>1</v>
      </c>
      <c r="AR49" s="6">
        <v>1</v>
      </c>
      <c r="AS49" s="6">
        <v>1</v>
      </c>
      <c r="AT49" s="6">
        <v>0</v>
      </c>
      <c r="AU49" s="6">
        <v>1</v>
      </c>
      <c r="AV49" s="6">
        <v>0</v>
      </c>
      <c r="AW49" s="6">
        <v>0</v>
      </c>
      <c r="AX49" s="6">
        <v>1</v>
      </c>
      <c r="AY49" s="6">
        <v>0</v>
      </c>
      <c r="AZ49" s="6">
        <v>1</v>
      </c>
      <c r="BA49" s="6">
        <v>1</v>
      </c>
      <c r="BB49" s="6">
        <v>0</v>
      </c>
      <c r="BC49" s="6">
        <v>0</v>
      </c>
      <c r="BD49" s="6">
        <v>0</v>
      </c>
      <c r="BE49" s="6">
        <v>1</v>
      </c>
      <c r="BF49" s="6">
        <v>1</v>
      </c>
      <c r="BG49" s="6">
        <v>1</v>
      </c>
      <c r="BH49" s="6">
        <v>1</v>
      </c>
      <c r="BI49" s="6">
        <v>0</v>
      </c>
      <c r="BJ49" s="6">
        <v>0</v>
      </c>
      <c r="BK49" s="6">
        <v>0</v>
      </c>
      <c r="BL49" s="6">
        <v>0</v>
      </c>
      <c r="BM49" s="6">
        <v>1</v>
      </c>
      <c r="BN49" s="6">
        <v>0</v>
      </c>
      <c r="BO49" s="3">
        <f>SUM(AE48:BN48)</f>
        <v>21</v>
      </c>
      <c r="BP49" s="3"/>
      <c r="BQ49" s="3"/>
      <c r="BR49" s="3"/>
      <c r="BS49" s="3"/>
      <c r="BT49" s="3"/>
      <c r="BU49" s="3"/>
      <c r="BV49" s="3"/>
      <c r="BW49" s="3"/>
      <c r="BX49" s="3"/>
      <c r="BY49" s="3"/>
      <c r="BZ49" s="3"/>
      <c r="CA49" s="3"/>
      <c r="CB49" s="3"/>
      <c r="CC49" s="3"/>
      <c r="CD49" s="3"/>
    </row>
    <row r="50" spans="1:82" ht="15" customHeight="1" x14ac:dyDescent="0.2">
      <c r="A50">
        <v>49</v>
      </c>
      <c r="B50" t="s">
        <v>706</v>
      </c>
      <c r="C50" s="66" t="s">
        <v>115</v>
      </c>
      <c r="D50" s="22" t="s">
        <v>244</v>
      </c>
      <c r="E50" s="22" t="s">
        <v>251</v>
      </c>
      <c r="F50" s="21" t="s">
        <v>300</v>
      </c>
      <c r="G50" s="23" t="s">
        <v>63</v>
      </c>
      <c r="H50" s="23" t="s">
        <v>64</v>
      </c>
      <c r="I50" s="23" t="s">
        <v>119</v>
      </c>
      <c r="J50" s="23">
        <v>0</v>
      </c>
      <c r="K50" s="23">
        <v>0</v>
      </c>
      <c r="L50" s="23">
        <v>0</v>
      </c>
      <c r="M50" s="23" t="s">
        <v>120</v>
      </c>
      <c r="N50" s="25">
        <v>0.1</v>
      </c>
      <c r="O50" s="24">
        <v>0</v>
      </c>
      <c r="P50" s="24">
        <v>0</v>
      </c>
      <c r="Q50" s="24">
        <v>1</v>
      </c>
      <c r="R50" s="24">
        <v>1</v>
      </c>
      <c r="S50" s="24">
        <v>1</v>
      </c>
      <c r="T50" s="24">
        <v>0</v>
      </c>
      <c r="U50" s="24">
        <v>0</v>
      </c>
      <c r="V50" s="24">
        <v>0</v>
      </c>
      <c r="W50" s="24" t="s">
        <v>118</v>
      </c>
      <c r="X50" s="23">
        <v>0</v>
      </c>
      <c r="Y50" s="24">
        <v>0</v>
      </c>
      <c r="Z50" s="24">
        <v>0</v>
      </c>
      <c r="AA50" s="24">
        <v>0</v>
      </c>
      <c r="AB50" s="23">
        <v>0</v>
      </c>
      <c r="AC50" s="23">
        <v>0</v>
      </c>
      <c r="AD50" s="23">
        <v>1</v>
      </c>
      <c r="AE50" s="24">
        <v>1</v>
      </c>
      <c r="AF50" s="24">
        <v>1</v>
      </c>
      <c r="AG50" s="24">
        <v>1</v>
      </c>
      <c r="AH50" s="24">
        <v>1</v>
      </c>
      <c r="AI50" s="24">
        <v>1</v>
      </c>
      <c r="AJ50" s="24">
        <v>1</v>
      </c>
      <c r="AK50" s="24">
        <v>0</v>
      </c>
      <c r="AL50" s="24">
        <v>1</v>
      </c>
      <c r="AM50" s="24">
        <v>0</v>
      </c>
      <c r="AN50" s="24">
        <v>1</v>
      </c>
      <c r="AO50" s="24">
        <v>0</v>
      </c>
      <c r="AP50" s="24">
        <v>1</v>
      </c>
      <c r="AQ50" s="24">
        <v>1</v>
      </c>
      <c r="AR50" s="24">
        <v>1</v>
      </c>
      <c r="AS50" s="24">
        <v>1</v>
      </c>
      <c r="AT50" s="24">
        <v>0</v>
      </c>
      <c r="AU50" s="24">
        <v>1</v>
      </c>
      <c r="AV50" s="24">
        <v>0</v>
      </c>
      <c r="AW50" s="24">
        <v>0</v>
      </c>
      <c r="AX50" s="24">
        <v>1</v>
      </c>
      <c r="AY50" s="24">
        <v>0</v>
      </c>
      <c r="AZ50" s="24">
        <v>1</v>
      </c>
      <c r="BA50" s="24">
        <v>1</v>
      </c>
      <c r="BB50" s="24">
        <v>0</v>
      </c>
      <c r="BC50" s="24">
        <v>0</v>
      </c>
      <c r="BD50" s="24">
        <v>0</v>
      </c>
      <c r="BE50" s="24">
        <v>1</v>
      </c>
      <c r="BF50" s="24">
        <v>1</v>
      </c>
      <c r="BG50" s="24">
        <v>1</v>
      </c>
      <c r="BH50" s="24">
        <v>1</v>
      </c>
      <c r="BI50" s="24">
        <v>0</v>
      </c>
      <c r="BJ50" s="24">
        <v>0</v>
      </c>
      <c r="BK50" s="24">
        <v>0</v>
      </c>
      <c r="BL50" s="24">
        <v>0</v>
      </c>
      <c r="BM50" s="24">
        <v>1</v>
      </c>
      <c r="BN50" s="24">
        <v>0</v>
      </c>
      <c r="BO50" s="21" t="e">
        <f>SUM(#REF!)</f>
        <v>#REF!</v>
      </c>
      <c r="BP50" s="3"/>
      <c r="BQ50" s="3"/>
      <c r="BR50" s="3"/>
      <c r="BS50" s="3"/>
      <c r="BT50" s="3"/>
      <c r="BU50" s="3"/>
      <c r="BV50" s="3"/>
      <c r="BW50" s="3"/>
      <c r="BX50" s="3"/>
      <c r="BY50" s="3"/>
      <c r="BZ50" s="3"/>
      <c r="CA50" s="3"/>
      <c r="CB50" s="3"/>
      <c r="CC50" s="3"/>
      <c r="CD50" s="3"/>
    </row>
    <row r="51" spans="1:82" ht="15" customHeight="1" x14ac:dyDescent="0.2">
      <c r="A51">
        <v>50</v>
      </c>
      <c r="B51" t="s">
        <v>707</v>
      </c>
      <c r="C51" s="66" t="s">
        <v>115</v>
      </c>
      <c r="D51" s="22" t="s">
        <v>251</v>
      </c>
      <c r="E51" s="22" t="s">
        <v>301</v>
      </c>
      <c r="F51" s="21" t="s">
        <v>302</v>
      </c>
      <c r="G51" s="23" t="s">
        <v>63</v>
      </c>
      <c r="H51" s="23" t="s">
        <v>64</v>
      </c>
      <c r="I51" s="23" t="s">
        <v>119</v>
      </c>
      <c r="J51" s="23">
        <v>0</v>
      </c>
      <c r="K51" s="23">
        <v>0</v>
      </c>
      <c r="L51" s="23">
        <v>0</v>
      </c>
      <c r="M51" s="23" t="s">
        <v>120</v>
      </c>
      <c r="N51" s="25">
        <v>0.1</v>
      </c>
      <c r="O51" s="23">
        <v>0</v>
      </c>
      <c r="P51" s="23">
        <v>0</v>
      </c>
      <c r="Q51" s="23">
        <v>1</v>
      </c>
      <c r="R51" s="23">
        <v>1</v>
      </c>
      <c r="S51" s="23">
        <v>1</v>
      </c>
      <c r="T51" s="23">
        <v>0</v>
      </c>
      <c r="U51" s="23">
        <v>0</v>
      </c>
      <c r="V51" s="23">
        <v>1</v>
      </c>
      <c r="W51" s="23" t="s">
        <v>121</v>
      </c>
      <c r="X51" s="23">
        <v>1</v>
      </c>
      <c r="Y51" s="23">
        <v>0</v>
      </c>
      <c r="Z51" s="23">
        <v>0</v>
      </c>
      <c r="AA51" s="23">
        <v>0</v>
      </c>
      <c r="AB51" s="23">
        <v>1</v>
      </c>
      <c r="AC51" s="23">
        <v>1</v>
      </c>
      <c r="AD51" s="23">
        <v>0</v>
      </c>
      <c r="AE51" s="23">
        <v>1</v>
      </c>
      <c r="AF51" s="23">
        <v>1</v>
      </c>
      <c r="AG51" s="23">
        <v>1</v>
      </c>
      <c r="AH51" s="23">
        <v>1</v>
      </c>
      <c r="AI51" s="23">
        <v>1</v>
      </c>
      <c r="AJ51" s="23">
        <v>1</v>
      </c>
      <c r="AK51" s="23">
        <v>0</v>
      </c>
      <c r="AL51" s="23">
        <v>1</v>
      </c>
      <c r="AM51" s="23">
        <v>0</v>
      </c>
      <c r="AN51" s="23">
        <v>1</v>
      </c>
      <c r="AO51" s="23">
        <v>0</v>
      </c>
      <c r="AP51" s="23">
        <v>1</v>
      </c>
      <c r="AQ51" s="23">
        <v>1</v>
      </c>
      <c r="AR51" s="23">
        <v>1</v>
      </c>
      <c r="AS51" s="23">
        <v>1</v>
      </c>
      <c r="AT51" s="23">
        <v>0</v>
      </c>
      <c r="AU51" s="23">
        <v>1</v>
      </c>
      <c r="AV51" s="23">
        <v>0</v>
      </c>
      <c r="AW51" s="23">
        <v>0</v>
      </c>
      <c r="AX51" s="23">
        <v>1</v>
      </c>
      <c r="AY51" s="23">
        <v>0</v>
      </c>
      <c r="AZ51" s="23">
        <v>1</v>
      </c>
      <c r="BA51" s="23">
        <v>1</v>
      </c>
      <c r="BB51" s="23">
        <v>0</v>
      </c>
      <c r="BC51" s="23">
        <v>0</v>
      </c>
      <c r="BD51" s="23">
        <v>0</v>
      </c>
      <c r="BE51" s="23">
        <v>1</v>
      </c>
      <c r="BF51" s="23">
        <v>1</v>
      </c>
      <c r="BG51" s="23">
        <v>1</v>
      </c>
      <c r="BH51" s="23">
        <v>1</v>
      </c>
      <c r="BI51" s="23">
        <v>0</v>
      </c>
      <c r="BJ51" s="23">
        <v>0</v>
      </c>
      <c r="BK51" s="23">
        <v>1</v>
      </c>
      <c r="BL51" s="23">
        <v>0</v>
      </c>
      <c r="BM51" s="23">
        <v>1</v>
      </c>
      <c r="BN51" s="23">
        <v>0</v>
      </c>
      <c r="BO51" s="23">
        <f t="shared" ref="BO51:BO52" si="5">SUM(AE51:BN51)</f>
        <v>22</v>
      </c>
      <c r="BP51" s="3"/>
      <c r="BQ51" s="3"/>
      <c r="BR51" s="3"/>
      <c r="BS51" s="3"/>
      <c r="BT51" s="3"/>
      <c r="BU51" s="3"/>
      <c r="BV51" s="3"/>
      <c r="BW51" s="3"/>
      <c r="BX51" s="3"/>
      <c r="BY51" s="3"/>
      <c r="BZ51" s="3"/>
      <c r="CA51" s="3"/>
      <c r="CB51" s="3"/>
      <c r="CC51" s="3"/>
      <c r="CD51" s="3"/>
    </row>
    <row r="52" spans="1:82" ht="15" customHeight="1" x14ac:dyDescent="0.2">
      <c r="A52">
        <v>51</v>
      </c>
      <c r="B52" t="s">
        <v>708</v>
      </c>
      <c r="C52" s="66" t="s">
        <v>115</v>
      </c>
      <c r="D52" s="22" t="s">
        <v>251</v>
      </c>
      <c r="E52" s="22" t="s">
        <v>301</v>
      </c>
      <c r="F52" s="21" t="s">
        <v>303</v>
      </c>
      <c r="G52" s="23" t="s">
        <v>63</v>
      </c>
      <c r="H52" s="23" t="s">
        <v>64</v>
      </c>
      <c r="I52" s="23" t="s">
        <v>119</v>
      </c>
      <c r="J52" s="23">
        <v>0</v>
      </c>
      <c r="K52" s="23">
        <v>0</v>
      </c>
      <c r="L52" s="23">
        <v>0</v>
      </c>
      <c r="M52" s="23" t="s">
        <v>120</v>
      </c>
      <c r="N52" s="25">
        <v>0.1</v>
      </c>
      <c r="O52" s="23">
        <v>0</v>
      </c>
      <c r="P52" s="23">
        <v>0</v>
      </c>
      <c r="Q52" s="23">
        <v>1</v>
      </c>
      <c r="R52" s="23">
        <v>1</v>
      </c>
      <c r="S52" s="23">
        <v>1</v>
      </c>
      <c r="T52" s="23">
        <v>0</v>
      </c>
      <c r="U52" s="23">
        <v>0</v>
      </c>
      <c r="V52" s="23">
        <v>1</v>
      </c>
      <c r="W52" s="23" t="s">
        <v>121</v>
      </c>
      <c r="X52" s="23">
        <v>1</v>
      </c>
      <c r="Y52" s="23">
        <v>0</v>
      </c>
      <c r="Z52" s="23">
        <v>0</v>
      </c>
      <c r="AA52" s="23">
        <v>0</v>
      </c>
      <c r="AB52" s="23">
        <v>1</v>
      </c>
      <c r="AC52" s="23">
        <v>1</v>
      </c>
      <c r="AD52" s="23">
        <v>0</v>
      </c>
      <c r="AE52" s="23">
        <v>1</v>
      </c>
      <c r="AF52" s="23">
        <v>1</v>
      </c>
      <c r="AG52" s="23">
        <v>1</v>
      </c>
      <c r="AH52" s="23">
        <v>1</v>
      </c>
      <c r="AI52" s="23">
        <v>1</v>
      </c>
      <c r="AJ52" s="23">
        <v>1</v>
      </c>
      <c r="AK52" s="23">
        <v>0</v>
      </c>
      <c r="AL52" s="23">
        <v>1</v>
      </c>
      <c r="AM52" s="23">
        <v>0</v>
      </c>
      <c r="AN52" s="23">
        <v>1</v>
      </c>
      <c r="AO52" s="23">
        <v>0</v>
      </c>
      <c r="AP52" s="23">
        <v>1</v>
      </c>
      <c r="AQ52" s="23">
        <v>1</v>
      </c>
      <c r="AR52" s="23">
        <v>1</v>
      </c>
      <c r="AS52" s="23">
        <v>1</v>
      </c>
      <c r="AT52" s="23">
        <v>0</v>
      </c>
      <c r="AU52" s="23">
        <v>1</v>
      </c>
      <c r="AV52" s="23">
        <v>0</v>
      </c>
      <c r="AW52" s="23">
        <v>0</v>
      </c>
      <c r="AX52" s="23">
        <v>1</v>
      </c>
      <c r="AY52" s="23">
        <v>0</v>
      </c>
      <c r="AZ52" s="23">
        <v>1</v>
      </c>
      <c r="BA52" s="23">
        <v>1</v>
      </c>
      <c r="BB52" s="23">
        <v>0</v>
      </c>
      <c r="BC52" s="23">
        <v>0</v>
      </c>
      <c r="BD52" s="23">
        <v>0</v>
      </c>
      <c r="BE52" s="23">
        <v>1</v>
      </c>
      <c r="BF52" s="23">
        <v>1</v>
      </c>
      <c r="BG52" s="23">
        <v>1</v>
      </c>
      <c r="BH52" s="23">
        <v>1</v>
      </c>
      <c r="BI52" s="23">
        <v>0</v>
      </c>
      <c r="BJ52" s="23">
        <v>0</v>
      </c>
      <c r="BK52" s="23">
        <v>1</v>
      </c>
      <c r="BL52" s="23">
        <v>0</v>
      </c>
      <c r="BM52" s="23">
        <v>1</v>
      </c>
      <c r="BN52" s="23">
        <v>0</v>
      </c>
      <c r="BO52" s="23">
        <f t="shared" si="5"/>
        <v>22</v>
      </c>
      <c r="BP52" s="3"/>
      <c r="BQ52" s="3"/>
      <c r="BR52" s="3"/>
      <c r="BS52" s="3"/>
      <c r="BT52" s="3"/>
      <c r="BU52" s="3"/>
      <c r="BV52" s="3"/>
      <c r="BW52" s="3"/>
      <c r="BX52" s="3"/>
      <c r="BY52" s="3"/>
      <c r="BZ52" s="3"/>
      <c r="CA52" s="3"/>
      <c r="CB52" s="3"/>
      <c r="CC52" s="3"/>
      <c r="CD52" s="3"/>
    </row>
    <row r="53" spans="1:82" ht="15" customHeight="1" x14ac:dyDescent="0.2">
      <c r="A53">
        <v>52</v>
      </c>
      <c r="B53" t="s">
        <v>709</v>
      </c>
      <c r="C53" s="65" t="s">
        <v>122</v>
      </c>
      <c r="D53" s="7" t="s">
        <v>291</v>
      </c>
      <c r="E53" s="7" t="s">
        <v>291</v>
      </c>
      <c r="F53" s="3" t="s">
        <v>304</v>
      </c>
      <c r="G53" s="8" t="s">
        <v>63</v>
      </c>
      <c r="H53" s="8" t="s">
        <v>64</v>
      </c>
      <c r="I53" s="8" t="s">
        <v>123</v>
      </c>
      <c r="J53" s="8">
        <v>1</v>
      </c>
      <c r="K53" s="8">
        <v>0</v>
      </c>
      <c r="L53" s="8">
        <v>0</v>
      </c>
      <c r="M53" s="8" t="s">
        <v>58</v>
      </c>
      <c r="N53" s="9">
        <v>0.25</v>
      </c>
      <c r="O53" s="8">
        <v>0</v>
      </c>
      <c r="P53" s="8">
        <v>0</v>
      </c>
      <c r="Q53" s="8">
        <v>1</v>
      </c>
      <c r="R53" s="8">
        <v>1</v>
      </c>
      <c r="S53" s="8">
        <v>1</v>
      </c>
      <c r="T53" s="8">
        <v>0</v>
      </c>
      <c r="U53" s="8">
        <v>0</v>
      </c>
      <c r="V53" s="8">
        <v>0</v>
      </c>
      <c r="W53" s="8" t="s">
        <v>124</v>
      </c>
      <c r="X53" s="8">
        <v>0</v>
      </c>
      <c r="Y53" s="8">
        <v>0</v>
      </c>
      <c r="Z53" s="8">
        <v>0</v>
      </c>
      <c r="AA53" s="8">
        <v>0</v>
      </c>
      <c r="AB53" s="8">
        <v>0</v>
      </c>
      <c r="AC53" s="8">
        <v>0</v>
      </c>
      <c r="AD53" s="8">
        <v>0</v>
      </c>
      <c r="AE53" s="8">
        <v>1</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1</v>
      </c>
      <c r="BF53" s="8">
        <v>0</v>
      </c>
      <c r="BG53" s="8">
        <v>0</v>
      </c>
      <c r="BH53" s="8">
        <v>0</v>
      </c>
      <c r="BI53" s="8">
        <v>0</v>
      </c>
      <c r="BJ53" s="8">
        <v>0</v>
      </c>
      <c r="BK53" s="8">
        <v>0</v>
      </c>
      <c r="BL53" s="8">
        <v>0</v>
      </c>
      <c r="BM53" s="8">
        <v>0</v>
      </c>
      <c r="BN53" s="8">
        <v>0</v>
      </c>
      <c r="BO53" s="3">
        <f t="shared" si="3"/>
        <v>2</v>
      </c>
      <c r="BP53" s="3"/>
      <c r="BQ53" s="3"/>
      <c r="BR53" s="3"/>
      <c r="BS53" s="3"/>
      <c r="BT53" s="3"/>
      <c r="BU53" s="3"/>
      <c r="BV53" s="3"/>
      <c r="BW53" s="3"/>
      <c r="BX53" s="3"/>
      <c r="BY53" s="3"/>
      <c r="BZ53" s="3"/>
      <c r="CA53" s="3"/>
      <c r="CB53" s="3"/>
      <c r="CC53" s="3"/>
      <c r="CD53" s="3"/>
    </row>
    <row r="54" spans="1:82" ht="15" customHeight="1" x14ac:dyDescent="0.2">
      <c r="A54">
        <v>53</v>
      </c>
      <c r="B54" t="s">
        <v>710</v>
      </c>
      <c r="C54" s="65" t="s">
        <v>122</v>
      </c>
      <c r="D54" s="7" t="s">
        <v>86</v>
      </c>
      <c r="E54" s="7" t="s">
        <v>86</v>
      </c>
      <c r="F54" s="3" t="s">
        <v>305</v>
      </c>
      <c r="G54" s="8" t="s">
        <v>63</v>
      </c>
      <c r="H54" s="8" t="s">
        <v>64</v>
      </c>
      <c r="I54" s="8" t="s">
        <v>123</v>
      </c>
      <c r="J54" s="8">
        <v>1</v>
      </c>
      <c r="K54" s="8">
        <v>0</v>
      </c>
      <c r="L54" s="8">
        <v>0</v>
      </c>
      <c r="M54" s="8" t="s">
        <v>306</v>
      </c>
      <c r="N54" s="9">
        <v>0.25</v>
      </c>
      <c r="O54" s="8">
        <v>0</v>
      </c>
      <c r="P54" s="8">
        <v>0</v>
      </c>
      <c r="Q54" s="8">
        <v>1</v>
      </c>
      <c r="R54" s="8">
        <v>1</v>
      </c>
      <c r="S54" s="8">
        <v>1</v>
      </c>
      <c r="T54" s="8">
        <v>0</v>
      </c>
      <c r="U54" s="8">
        <v>0</v>
      </c>
      <c r="V54" s="8">
        <v>0</v>
      </c>
      <c r="W54" s="8" t="s">
        <v>124</v>
      </c>
      <c r="X54" s="8">
        <v>0</v>
      </c>
      <c r="Y54" s="8">
        <v>0</v>
      </c>
      <c r="Z54" s="8">
        <v>0</v>
      </c>
      <c r="AA54" s="8">
        <v>0</v>
      </c>
      <c r="AB54" s="8">
        <v>0</v>
      </c>
      <c r="AC54" s="8">
        <v>0</v>
      </c>
      <c r="AD54" s="8">
        <v>0</v>
      </c>
      <c r="AE54" s="8">
        <v>1</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1</v>
      </c>
      <c r="BF54" s="8">
        <v>0</v>
      </c>
      <c r="BG54" s="8">
        <v>1</v>
      </c>
      <c r="BH54" s="8">
        <v>0</v>
      </c>
      <c r="BI54" s="8">
        <v>0</v>
      </c>
      <c r="BJ54" s="8">
        <v>0</v>
      </c>
      <c r="BK54" s="8">
        <v>0</v>
      </c>
      <c r="BL54" s="8">
        <v>0</v>
      </c>
      <c r="BM54" s="8">
        <v>1</v>
      </c>
      <c r="BN54" s="8">
        <v>0</v>
      </c>
      <c r="BO54" s="3">
        <f t="shared" si="3"/>
        <v>4</v>
      </c>
      <c r="BP54" s="3"/>
      <c r="BQ54" s="3"/>
      <c r="BR54" s="3"/>
      <c r="BS54" s="3"/>
      <c r="BT54" s="3"/>
      <c r="BU54" s="3"/>
      <c r="BV54" s="3"/>
      <c r="BW54" s="3"/>
      <c r="BX54" s="3"/>
      <c r="BY54" s="3"/>
      <c r="BZ54" s="3"/>
      <c r="CA54" s="3"/>
      <c r="CB54" s="3"/>
      <c r="CC54" s="3"/>
      <c r="CD54" s="3"/>
    </row>
    <row r="55" spans="1:82" ht="15" customHeight="1" x14ac:dyDescent="0.2">
      <c r="A55">
        <v>54</v>
      </c>
      <c r="B55" t="s">
        <v>711</v>
      </c>
      <c r="C55" s="65" t="s">
        <v>122</v>
      </c>
      <c r="D55" s="7" t="s">
        <v>91</v>
      </c>
      <c r="E55" s="7" t="s">
        <v>91</v>
      </c>
      <c r="F55" s="3" t="s">
        <v>307</v>
      </c>
      <c r="G55" s="8" t="s">
        <v>51</v>
      </c>
      <c r="H55" s="8" t="s">
        <v>52</v>
      </c>
      <c r="I55" s="8" t="s">
        <v>123</v>
      </c>
      <c r="J55" s="8">
        <v>1</v>
      </c>
      <c r="K55" s="8">
        <v>0</v>
      </c>
      <c r="L55" s="8">
        <v>0</v>
      </c>
      <c r="M55" s="8" t="s">
        <v>65</v>
      </c>
      <c r="N55" s="9">
        <v>0.25</v>
      </c>
      <c r="O55" s="8">
        <v>1</v>
      </c>
      <c r="P55" s="8">
        <v>0</v>
      </c>
      <c r="Q55" s="8">
        <v>1</v>
      </c>
      <c r="R55" s="8">
        <v>1</v>
      </c>
      <c r="S55" s="8">
        <v>1</v>
      </c>
      <c r="T55" s="8">
        <v>0</v>
      </c>
      <c r="U55" s="8">
        <v>0</v>
      </c>
      <c r="V55" s="8">
        <v>0</v>
      </c>
      <c r="W55" s="8" t="s">
        <v>125</v>
      </c>
      <c r="X55" s="8">
        <v>0</v>
      </c>
      <c r="Y55" s="8">
        <v>0</v>
      </c>
      <c r="Z55" s="8">
        <v>0</v>
      </c>
      <c r="AA55" s="8">
        <v>0</v>
      </c>
      <c r="AB55" s="8">
        <v>0</v>
      </c>
      <c r="AC55" s="8">
        <v>0</v>
      </c>
      <c r="AD55" s="8">
        <v>0</v>
      </c>
      <c r="AE55" s="8">
        <v>1</v>
      </c>
      <c r="AF55" s="8">
        <v>1</v>
      </c>
      <c r="AG55" s="8">
        <v>1</v>
      </c>
      <c r="AH55" s="8">
        <v>1</v>
      </c>
      <c r="AI55" s="8">
        <v>1</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1</v>
      </c>
      <c r="BF55" s="8">
        <v>0</v>
      </c>
      <c r="BG55" s="8">
        <v>0</v>
      </c>
      <c r="BH55" s="8">
        <v>0</v>
      </c>
      <c r="BI55" s="8">
        <v>0</v>
      </c>
      <c r="BJ55" s="8">
        <v>0</v>
      </c>
      <c r="BK55" s="8">
        <v>0</v>
      </c>
      <c r="BL55" s="8">
        <v>0</v>
      </c>
      <c r="BM55" s="8">
        <v>1</v>
      </c>
      <c r="BN55" s="8">
        <v>0</v>
      </c>
      <c r="BO55" s="3">
        <f t="shared" si="3"/>
        <v>7</v>
      </c>
      <c r="BP55" s="3"/>
      <c r="BQ55" s="3"/>
      <c r="BR55" s="3"/>
      <c r="BS55" s="3"/>
      <c r="BT55" s="3"/>
      <c r="BU55" s="3"/>
      <c r="BV55" s="3"/>
      <c r="BW55" s="3"/>
      <c r="BX55" s="3"/>
      <c r="BY55" s="3"/>
      <c r="BZ55" s="3"/>
      <c r="CA55" s="3"/>
      <c r="CB55" s="3"/>
      <c r="CC55" s="3"/>
      <c r="CD55" s="3"/>
    </row>
    <row r="56" spans="1:82" ht="15" customHeight="1" x14ac:dyDescent="0.2">
      <c r="A56">
        <v>55</v>
      </c>
      <c r="B56" t="s">
        <v>709</v>
      </c>
      <c r="C56" s="65" t="s">
        <v>122</v>
      </c>
      <c r="D56" s="7" t="s">
        <v>72</v>
      </c>
      <c r="E56" s="7" t="s">
        <v>72</v>
      </c>
      <c r="F56" s="3" t="s">
        <v>304</v>
      </c>
      <c r="G56" s="8" t="s">
        <v>59</v>
      </c>
      <c r="H56" s="8" t="s">
        <v>52</v>
      </c>
      <c r="I56" s="8" t="s">
        <v>123</v>
      </c>
      <c r="J56" s="8">
        <v>1</v>
      </c>
      <c r="K56" s="8">
        <v>0</v>
      </c>
      <c r="L56" s="8">
        <v>0</v>
      </c>
      <c r="M56" s="8" t="s">
        <v>101</v>
      </c>
      <c r="N56" s="9">
        <v>0.1</v>
      </c>
      <c r="O56" s="8">
        <v>1</v>
      </c>
      <c r="P56" s="8">
        <v>0</v>
      </c>
      <c r="Q56" s="8">
        <v>1</v>
      </c>
      <c r="R56" s="8">
        <v>1</v>
      </c>
      <c r="S56" s="8">
        <v>1</v>
      </c>
      <c r="T56" s="8">
        <v>0</v>
      </c>
      <c r="U56" s="8">
        <v>0</v>
      </c>
      <c r="V56" s="8">
        <v>0</v>
      </c>
      <c r="W56" s="8" t="s">
        <v>124</v>
      </c>
      <c r="X56" s="8">
        <v>0</v>
      </c>
      <c r="Y56" s="8">
        <v>0</v>
      </c>
      <c r="Z56" s="8">
        <v>0</v>
      </c>
      <c r="AA56" s="8">
        <v>0</v>
      </c>
      <c r="AB56" s="8">
        <v>0</v>
      </c>
      <c r="AC56" s="8">
        <v>0</v>
      </c>
      <c r="AD56" s="8">
        <v>0.5</v>
      </c>
      <c r="AE56" s="8">
        <v>1</v>
      </c>
      <c r="AF56" s="8">
        <v>1</v>
      </c>
      <c r="AG56" s="8">
        <v>1</v>
      </c>
      <c r="AH56" s="8">
        <v>1</v>
      </c>
      <c r="AI56" s="8">
        <v>1</v>
      </c>
      <c r="AJ56" s="8">
        <v>1</v>
      </c>
      <c r="AK56" s="8">
        <v>0</v>
      </c>
      <c r="AL56" s="8">
        <v>1</v>
      </c>
      <c r="AM56" s="8">
        <v>1</v>
      </c>
      <c r="AN56" s="8">
        <v>1</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1</v>
      </c>
      <c r="BF56" s="8">
        <v>0</v>
      </c>
      <c r="BG56" s="8">
        <v>1</v>
      </c>
      <c r="BH56" s="8">
        <v>1</v>
      </c>
      <c r="BI56" s="8">
        <v>0</v>
      </c>
      <c r="BJ56" s="8">
        <v>0</v>
      </c>
      <c r="BK56" s="8">
        <v>0</v>
      </c>
      <c r="BL56" s="8">
        <v>0</v>
      </c>
      <c r="BM56" s="8">
        <v>1</v>
      </c>
      <c r="BN56" s="8">
        <v>0</v>
      </c>
      <c r="BO56" s="3">
        <f t="shared" si="3"/>
        <v>13</v>
      </c>
      <c r="BP56" s="3"/>
      <c r="BQ56" s="3"/>
      <c r="BR56" s="3"/>
      <c r="BS56" s="3"/>
      <c r="BT56" s="3"/>
      <c r="BU56" s="3"/>
      <c r="BV56" s="3"/>
      <c r="BW56" s="3"/>
      <c r="BX56" s="3"/>
      <c r="BY56" s="3"/>
      <c r="BZ56" s="3"/>
      <c r="CA56" s="3"/>
      <c r="CB56" s="3"/>
      <c r="CC56" s="3"/>
      <c r="CD56" s="3"/>
    </row>
    <row r="57" spans="1:82" ht="15" customHeight="1" x14ac:dyDescent="0.2">
      <c r="A57">
        <v>56</v>
      </c>
      <c r="B57" t="s">
        <v>712</v>
      </c>
      <c r="C57" s="65" t="s">
        <v>122</v>
      </c>
      <c r="D57" s="7" t="s">
        <v>76</v>
      </c>
      <c r="E57" s="7" t="s">
        <v>76</v>
      </c>
      <c r="F57" s="3" t="s">
        <v>308</v>
      </c>
      <c r="G57" s="8" t="s">
        <v>59</v>
      </c>
      <c r="H57" s="8" t="s">
        <v>52</v>
      </c>
      <c r="I57" s="8" t="s">
        <v>52</v>
      </c>
      <c r="J57" s="8">
        <v>1</v>
      </c>
      <c r="K57" s="8">
        <v>0</v>
      </c>
      <c r="L57" s="8">
        <v>0</v>
      </c>
      <c r="M57" s="8" t="s">
        <v>101</v>
      </c>
      <c r="N57" s="9">
        <v>0.25</v>
      </c>
      <c r="O57" s="8">
        <v>1</v>
      </c>
      <c r="P57" s="8">
        <v>0</v>
      </c>
      <c r="Q57" s="8">
        <v>1</v>
      </c>
      <c r="R57" s="8">
        <v>1</v>
      </c>
      <c r="S57" s="8">
        <v>1</v>
      </c>
      <c r="T57" s="8">
        <v>0</v>
      </c>
      <c r="U57" s="8">
        <v>0</v>
      </c>
      <c r="V57" s="8">
        <v>0</v>
      </c>
      <c r="W57" s="8" t="s">
        <v>124</v>
      </c>
      <c r="X57" s="8">
        <v>0</v>
      </c>
      <c r="Y57" s="8">
        <v>0</v>
      </c>
      <c r="Z57" s="8">
        <v>0</v>
      </c>
      <c r="AA57" s="8">
        <v>0</v>
      </c>
      <c r="AB57" s="8">
        <v>0</v>
      </c>
      <c r="AC57" s="8">
        <v>0</v>
      </c>
      <c r="AD57" s="8">
        <v>0.5</v>
      </c>
      <c r="AE57" s="8">
        <v>1</v>
      </c>
      <c r="AF57" s="8">
        <v>1</v>
      </c>
      <c r="AG57" s="8">
        <v>1</v>
      </c>
      <c r="AH57" s="8">
        <v>1</v>
      </c>
      <c r="AI57" s="8">
        <v>1</v>
      </c>
      <c r="AJ57" s="8">
        <v>1</v>
      </c>
      <c r="AK57" s="8">
        <v>0</v>
      </c>
      <c r="AL57" s="8">
        <v>1</v>
      </c>
      <c r="AM57" s="8">
        <v>1</v>
      </c>
      <c r="AN57" s="8">
        <v>1</v>
      </c>
      <c r="AO57" s="8">
        <v>0</v>
      </c>
      <c r="AP57" s="8">
        <v>0</v>
      </c>
      <c r="AQ57" s="8">
        <v>0</v>
      </c>
      <c r="AR57" s="8">
        <v>0</v>
      </c>
      <c r="AS57" s="8">
        <v>0</v>
      </c>
      <c r="AT57" s="8">
        <v>0</v>
      </c>
      <c r="AU57" s="8">
        <v>0</v>
      </c>
      <c r="AV57" s="8">
        <v>0</v>
      </c>
      <c r="AW57" s="8">
        <v>0</v>
      </c>
      <c r="AX57" s="8">
        <v>0</v>
      </c>
      <c r="AY57" s="8">
        <v>1</v>
      </c>
      <c r="AZ57" s="8">
        <v>0</v>
      </c>
      <c r="BA57" s="8">
        <v>0</v>
      </c>
      <c r="BB57" s="8">
        <v>0</v>
      </c>
      <c r="BC57" s="8">
        <v>0</v>
      </c>
      <c r="BD57" s="8">
        <v>0</v>
      </c>
      <c r="BE57" s="8">
        <v>1</v>
      </c>
      <c r="BF57" s="8">
        <v>0</v>
      </c>
      <c r="BG57" s="8">
        <v>1</v>
      </c>
      <c r="BH57" s="8">
        <v>0</v>
      </c>
      <c r="BI57" s="8">
        <v>1</v>
      </c>
      <c r="BJ57" s="8">
        <v>0</v>
      </c>
      <c r="BK57" s="8">
        <v>0</v>
      </c>
      <c r="BL57" s="8">
        <v>0</v>
      </c>
      <c r="BM57" s="8">
        <v>1</v>
      </c>
      <c r="BN57" s="8">
        <v>0</v>
      </c>
      <c r="BO57" s="3">
        <f t="shared" si="3"/>
        <v>14</v>
      </c>
      <c r="BP57" s="3"/>
      <c r="BQ57" s="3"/>
      <c r="BR57" s="3"/>
      <c r="BS57" s="3"/>
      <c r="BT57" s="3"/>
      <c r="BU57" s="3"/>
      <c r="BV57" s="3"/>
      <c r="BW57" s="3"/>
      <c r="BX57" s="3"/>
      <c r="BY57" s="3"/>
      <c r="BZ57" s="3"/>
      <c r="CA57" s="3"/>
      <c r="CB57" s="3"/>
      <c r="CC57" s="3"/>
      <c r="CD57" s="3"/>
    </row>
    <row r="58" spans="1:82" ht="15" customHeight="1" x14ac:dyDescent="0.2">
      <c r="A58">
        <v>57</v>
      </c>
      <c r="B58" t="s">
        <v>709</v>
      </c>
      <c r="C58" s="65" t="s">
        <v>122</v>
      </c>
      <c r="D58" s="7" t="s">
        <v>77</v>
      </c>
      <c r="E58" s="7" t="s">
        <v>77</v>
      </c>
      <c r="F58" s="3" t="s">
        <v>308</v>
      </c>
      <c r="G58" s="8" t="s">
        <v>59</v>
      </c>
      <c r="H58" s="8" t="s">
        <v>52</v>
      </c>
      <c r="I58" s="8" t="s">
        <v>52</v>
      </c>
      <c r="J58" s="8">
        <v>1</v>
      </c>
      <c r="K58" s="8">
        <v>0</v>
      </c>
      <c r="L58" s="8">
        <v>0</v>
      </c>
      <c r="M58" s="8" t="s">
        <v>101</v>
      </c>
      <c r="N58" s="9">
        <v>0.1</v>
      </c>
      <c r="O58" s="8">
        <v>1</v>
      </c>
      <c r="P58" s="8">
        <v>0</v>
      </c>
      <c r="Q58" s="8">
        <v>1</v>
      </c>
      <c r="R58" s="8">
        <v>1</v>
      </c>
      <c r="S58" s="8">
        <v>1</v>
      </c>
      <c r="T58" s="8">
        <v>0</v>
      </c>
      <c r="U58" s="8">
        <v>0</v>
      </c>
      <c r="V58" s="8">
        <v>0</v>
      </c>
      <c r="W58" s="8" t="s">
        <v>124</v>
      </c>
      <c r="X58" s="8">
        <v>0</v>
      </c>
      <c r="Y58" s="8">
        <v>0</v>
      </c>
      <c r="Z58" s="8">
        <v>0</v>
      </c>
      <c r="AA58" s="8">
        <v>0</v>
      </c>
      <c r="AB58" s="8">
        <v>0</v>
      </c>
      <c r="AC58" s="8">
        <v>0</v>
      </c>
      <c r="AD58" s="8">
        <v>0.5</v>
      </c>
      <c r="AE58" s="8">
        <v>1</v>
      </c>
      <c r="AF58" s="8">
        <v>1</v>
      </c>
      <c r="AG58" s="8">
        <v>1</v>
      </c>
      <c r="AH58" s="8">
        <v>1</v>
      </c>
      <c r="AI58" s="8">
        <v>1</v>
      </c>
      <c r="AJ58" s="8">
        <v>1</v>
      </c>
      <c r="AK58" s="8">
        <v>0</v>
      </c>
      <c r="AL58" s="8">
        <v>1</v>
      </c>
      <c r="AM58" s="8">
        <v>1</v>
      </c>
      <c r="AN58" s="8">
        <v>1</v>
      </c>
      <c r="AO58" s="8">
        <v>0</v>
      </c>
      <c r="AP58" s="8">
        <v>0</v>
      </c>
      <c r="AQ58" s="8">
        <v>0</v>
      </c>
      <c r="AR58" s="8">
        <v>0</v>
      </c>
      <c r="AS58" s="8">
        <v>0</v>
      </c>
      <c r="AT58" s="8">
        <v>0</v>
      </c>
      <c r="AU58" s="8">
        <v>0</v>
      </c>
      <c r="AV58" s="8">
        <v>0</v>
      </c>
      <c r="AW58" s="8">
        <v>0</v>
      </c>
      <c r="AX58" s="8">
        <v>0</v>
      </c>
      <c r="AY58" s="8">
        <v>1</v>
      </c>
      <c r="AZ58" s="8">
        <v>0</v>
      </c>
      <c r="BA58" s="8">
        <v>0</v>
      </c>
      <c r="BB58" s="8">
        <v>0</v>
      </c>
      <c r="BC58" s="8">
        <v>0</v>
      </c>
      <c r="BD58" s="8">
        <v>0</v>
      </c>
      <c r="BE58" s="8">
        <v>1</v>
      </c>
      <c r="BF58" s="8">
        <v>0</v>
      </c>
      <c r="BG58" s="8">
        <v>1</v>
      </c>
      <c r="BH58" s="8">
        <v>1</v>
      </c>
      <c r="BI58" s="8">
        <v>1</v>
      </c>
      <c r="BJ58" s="8">
        <v>0</v>
      </c>
      <c r="BK58" s="8">
        <v>0</v>
      </c>
      <c r="BL58" s="8">
        <v>0</v>
      </c>
      <c r="BM58" s="8">
        <v>1</v>
      </c>
      <c r="BN58" s="8">
        <v>0</v>
      </c>
      <c r="BO58" s="3">
        <f t="shared" si="3"/>
        <v>15</v>
      </c>
      <c r="BP58" s="3"/>
      <c r="BQ58" s="3"/>
      <c r="BR58" s="3"/>
      <c r="BS58" s="3"/>
      <c r="BT58" s="3"/>
      <c r="BU58" s="3"/>
      <c r="BV58" s="3"/>
      <c r="BW58" s="3"/>
      <c r="BX58" s="3"/>
      <c r="BY58" s="3"/>
      <c r="BZ58" s="3"/>
      <c r="CA58" s="3"/>
      <c r="CB58" s="3"/>
      <c r="CC58" s="3"/>
      <c r="CD58" s="3"/>
    </row>
    <row r="59" spans="1:82" ht="15" customHeight="1" x14ac:dyDescent="0.2">
      <c r="A59">
        <v>58</v>
      </c>
      <c r="B59" t="s">
        <v>713</v>
      </c>
      <c r="C59" s="65" t="s">
        <v>122</v>
      </c>
      <c r="D59" s="7" t="s">
        <v>79</v>
      </c>
      <c r="E59" s="7" t="s">
        <v>79</v>
      </c>
      <c r="F59" s="3" t="s">
        <v>309</v>
      </c>
      <c r="G59" s="8" t="s">
        <v>59</v>
      </c>
      <c r="H59" s="8" t="s">
        <v>52</v>
      </c>
      <c r="I59" s="8" t="s">
        <v>52</v>
      </c>
      <c r="J59" s="8">
        <v>1</v>
      </c>
      <c r="K59" s="8">
        <v>0</v>
      </c>
      <c r="L59" s="8">
        <v>0</v>
      </c>
      <c r="M59" s="8" t="s">
        <v>101</v>
      </c>
      <c r="N59" s="9">
        <v>0.1</v>
      </c>
      <c r="O59" s="8">
        <v>1</v>
      </c>
      <c r="P59" s="8">
        <v>0</v>
      </c>
      <c r="Q59" s="8">
        <v>1</v>
      </c>
      <c r="R59" s="8">
        <v>1</v>
      </c>
      <c r="S59" s="8">
        <v>1</v>
      </c>
      <c r="T59" s="8">
        <v>0</v>
      </c>
      <c r="U59" s="8">
        <v>0</v>
      </c>
      <c r="V59" s="8">
        <v>0</v>
      </c>
      <c r="W59" s="8" t="s">
        <v>124</v>
      </c>
      <c r="X59" s="8">
        <v>0</v>
      </c>
      <c r="Y59" s="8">
        <v>0</v>
      </c>
      <c r="Z59" s="8">
        <v>1</v>
      </c>
      <c r="AA59" s="8">
        <v>0</v>
      </c>
      <c r="AB59" s="8">
        <v>0</v>
      </c>
      <c r="AC59" s="8">
        <v>0</v>
      </c>
      <c r="AD59" s="8">
        <v>0.5</v>
      </c>
      <c r="AE59" s="8">
        <v>1</v>
      </c>
      <c r="AF59" s="8">
        <v>1</v>
      </c>
      <c r="AG59" s="8">
        <v>1</v>
      </c>
      <c r="AH59" s="8">
        <v>1</v>
      </c>
      <c r="AI59" s="8">
        <v>1</v>
      </c>
      <c r="AJ59" s="8">
        <v>1</v>
      </c>
      <c r="AK59" s="8">
        <v>0</v>
      </c>
      <c r="AL59" s="8">
        <v>1</v>
      </c>
      <c r="AM59" s="8">
        <v>1</v>
      </c>
      <c r="AN59" s="8">
        <v>1</v>
      </c>
      <c r="AO59" s="8">
        <v>0</v>
      </c>
      <c r="AP59" s="8">
        <v>0</v>
      </c>
      <c r="AQ59" s="8">
        <v>0</v>
      </c>
      <c r="AR59" s="8">
        <v>1</v>
      </c>
      <c r="AS59" s="8">
        <v>1</v>
      </c>
      <c r="AT59" s="8">
        <v>1</v>
      </c>
      <c r="AU59" s="8">
        <v>1</v>
      </c>
      <c r="AV59" s="8">
        <v>1</v>
      </c>
      <c r="AW59" s="8">
        <v>1</v>
      </c>
      <c r="AX59" s="8">
        <v>1</v>
      </c>
      <c r="AY59" s="8">
        <v>1</v>
      </c>
      <c r="AZ59" s="8">
        <v>1</v>
      </c>
      <c r="BA59" s="8">
        <v>1</v>
      </c>
      <c r="BB59" s="8">
        <v>0</v>
      </c>
      <c r="BC59" s="8">
        <v>1</v>
      </c>
      <c r="BD59" s="8">
        <v>0</v>
      </c>
      <c r="BE59" s="8">
        <v>1</v>
      </c>
      <c r="BF59" s="8">
        <v>1</v>
      </c>
      <c r="BG59" s="8">
        <v>1</v>
      </c>
      <c r="BH59" s="8">
        <v>1</v>
      </c>
      <c r="BI59" s="8">
        <v>1</v>
      </c>
      <c r="BJ59" s="8">
        <v>0</v>
      </c>
      <c r="BK59" s="8">
        <v>1</v>
      </c>
      <c r="BL59" s="8">
        <v>0</v>
      </c>
      <c r="BM59" s="8">
        <v>1</v>
      </c>
      <c r="BN59" s="8">
        <v>1</v>
      </c>
      <c r="BO59" s="3">
        <f t="shared" si="3"/>
        <v>28</v>
      </c>
      <c r="BP59" s="3"/>
      <c r="BQ59" s="3"/>
      <c r="BR59" s="3"/>
      <c r="BS59" s="3"/>
      <c r="BT59" s="3"/>
      <c r="BU59" s="3"/>
      <c r="BV59" s="3"/>
      <c r="BW59" s="3"/>
      <c r="BX59" s="3"/>
      <c r="BY59" s="3"/>
      <c r="BZ59" s="3"/>
      <c r="CA59" s="3"/>
      <c r="CB59" s="3"/>
      <c r="CC59" s="3"/>
      <c r="CD59" s="3"/>
    </row>
    <row r="60" spans="1:82" ht="15" customHeight="1" x14ac:dyDescent="0.2">
      <c r="A60">
        <v>59</v>
      </c>
      <c r="B60" t="s">
        <v>714</v>
      </c>
      <c r="C60" s="65" t="s">
        <v>127</v>
      </c>
      <c r="D60" s="7" t="s">
        <v>78</v>
      </c>
      <c r="E60" s="7" t="s">
        <v>78</v>
      </c>
      <c r="F60" s="3" t="s">
        <v>310</v>
      </c>
      <c r="G60" s="8" t="s">
        <v>63</v>
      </c>
      <c r="H60" s="8" t="s">
        <v>64</v>
      </c>
      <c r="I60" s="8" t="s">
        <v>64</v>
      </c>
      <c r="J60" s="8">
        <v>0</v>
      </c>
      <c r="K60" s="8">
        <v>1</v>
      </c>
      <c r="L60" s="8">
        <v>0</v>
      </c>
      <c r="M60" s="8" t="s">
        <v>101</v>
      </c>
      <c r="N60" s="6" t="s">
        <v>311</v>
      </c>
      <c r="O60" s="8">
        <v>0</v>
      </c>
      <c r="P60" s="8">
        <v>0</v>
      </c>
      <c r="Q60" s="8">
        <v>1</v>
      </c>
      <c r="R60" s="8">
        <v>1</v>
      </c>
      <c r="S60" s="8">
        <v>1</v>
      </c>
      <c r="T60" s="8">
        <v>0</v>
      </c>
      <c r="U60" s="8">
        <v>0</v>
      </c>
      <c r="V60" s="8">
        <v>0</v>
      </c>
      <c r="W60" s="8" t="s">
        <v>128</v>
      </c>
      <c r="X60" s="8">
        <v>0</v>
      </c>
      <c r="Y60" s="8">
        <v>0</v>
      </c>
      <c r="Z60" s="8">
        <v>0</v>
      </c>
      <c r="AA60" s="8">
        <v>0</v>
      </c>
      <c r="AB60" s="8">
        <v>1</v>
      </c>
      <c r="AC60" s="8">
        <v>0</v>
      </c>
      <c r="AD60" s="8">
        <v>0.5</v>
      </c>
      <c r="AE60" s="8">
        <v>1</v>
      </c>
      <c r="AF60" s="8">
        <v>1</v>
      </c>
      <c r="AG60" s="8">
        <v>1</v>
      </c>
      <c r="AH60" s="8">
        <v>0</v>
      </c>
      <c r="AI60" s="8">
        <v>1</v>
      </c>
      <c r="AJ60" s="8">
        <v>0</v>
      </c>
      <c r="AK60" s="8">
        <v>0</v>
      </c>
      <c r="AL60" s="8">
        <v>0</v>
      </c>
      <c r="AM60" s="8">
        <v>1</v>
      </c>
      <c r="AN60" s="8">
        <v>0</v>
      </c>
      <c r="AO60" s="8">
        <v>0</v>
      </c>
      <c r="AP60" s="8">
        <v>0</v>
      </c>
      <c r="AQ60" s="8">
        <v>1</v>
      </c>
      <c r="AR60" s="8">
        <v>0</v>
      </c>
      <c r="AS60" s="8">
        <v>0</v>
      </c>
      <c r="AT60" s="8">
        <v>0</v>
      </c>
      <c r="AU60" s="8">
        <v>0</v>
      </c>
      <c r="AV60" s="8">
        <v>0</v>
      </c>
      <c r="AW60" s="8">
        <v>0</v>
      </c>
      <c r="AX60" s="8">
        <v>0</v>
      </c>
      <c r="AY60" s="8">
        <v>0</v>
      </c>
      <c r="AZ60" s="8">
        <v>0</v>
      </c>
      <c r="BA60" s="8">
        <v>0</v>
      </c>
      <c r="BB60" s="8">
        <v>0</v>
      </c>
      <c r="BC60" s="8">
        <v>0</v>
      </c>
      <c r="BD60" s="8">
        <v>0</v>
      </c>
      <c r="BE60" s="8">
        <v>1</v>
      </c>
      <c r="BF60" s="8">
        <v>0</v>
      </c>
      <c r="BG60" s="8">
        <v>0</v>
      </c>
      <c r="BH60" s="8">
        <v>0</v>
      </c>
      <c r="BI60" s="8">
        <v>0</v>
      </c>
      <c r="BJ60" s="8">
        <v>0</v>
      </c>
      <c r="BK60" s="8">
        <v>0</v>
      </c>
      <c r="BL60" s="8">
        <v>0</v>
      </c>
      <c r="BM60" s="8">
        <v>0</v>
      </c>
      <c r="BN60" s="8">
        <v>0</v>
      </c>
      <c r="BO60" s="3">
        <f t="shared" si="3"/>
        <v>7</v>
      </c>
      <c r="BP60" s="3"/>
      <c r="BQ60" s="3"/>
      <c r="BR60" s="3"/>
      <c r="BS60" s="3"/>
      <c r="BT60" s="3"/>
      <c r="BU60" s="3"/>
      <c r="BV60" s="3"/>
      <c r="BW60" s="3"/>
      <c r="BX60" s="3"/>
      <c r="BY60" s="3"/>
      <c r="BZ60" s="3"/>
      <c r="CA60" s="3"/>
      <c r="CB60" s="3"/>
      <c r="CC60" s="3"/>
      <c r="CD60" s="3"/>
    </row>
    <row r="61" spans="1:82" ht="15" customHeight="1" x14ac:dyDescent="0.2">
      <c r="A61">
        <v>60</v>
      </c>
      <c r="B61" t="s">
        <v>715</v>
      </c>
      <c r="C61" s="65" t="s">
        <v>127</v>
      </c>
      <c r="D61" s="7" t="s">
        <v>79</v>
      </c>
      <c r="E61" s="7" t="s">
        <v>79</v>
      </c>
      <c r="F61" s="69" t="s">
        <v>312</v>
      </c>
      <c r="G61" s="8" t="s">
        <v>63</v>
      </c>
      <c r="H61" s="8" t="s">
        <v>64</v>
      </c>
      <c r="I61" s="8" t="s">
        <v>64</v>
      </c>
      <c r="J61" s="8">
        <v>0</v>
      </c>
      <c r="K61" s="8">
        <v>1</v>
      </c>
      <c r="L61" s="8">
        <v>0</v>
      </c>
      <c r="M61" s="8" t="s">
        <v>65</v>
      </c>
      <c r="N61" s="6" t="s">
        <v>313</v>
      </c>
      <c r="O61" s="8">
        <v>1</v>
      </c>
      <c r="P61" s="8">
        <v>0</v>
      </c>
      <c r="Q61" s="8">
        <v>0</v>
      </c>
      <c r="R61" s="8">
        <v>1</v>
      </c>
      <c r="S61" s="8">
        <v>1</v>
      </c>
      <c r="T61" s="8">
        <v>0</v>
      </c>
      <c r="U61" s="8">
        <v>0</v>
      </c>
      <c r="V61" s="8">
        <v>0</v>
      </c>
      <c r="W61" s="8" t="s">
        <v>314</v>
      </c>
      <c r="X61" s="8">
        <v>0</v>
      </c>
      <c r="Y61" s="8">
        <v>0</v>
      </c>
      <c r="Z61" s="8">
        <v>1</v>
      </c>
      <c r="AA61" s="8">
        <v>0</v>
      </c>
      <c r="AB61" s="8">
        <v>1</v>
      </c>
      <c r="AC61" s="8">
        <v>0</v>
      </c>
      <c r="AD61" s="8">
        <v>0.5</v>
      </c>
      <c r="AE61" s="8">
        <v>1</v>
      </c>
      <c r="AF61" s="8">
        <v>1</v>
      </c>
      <c r="AG61" s="8">
        <v>1</v>
      </c>
      <c r="AH61" s="8">
        <v>1</v>
      </c>
      <c r="AI61" s="8">
        <v>1</v>
      </c>
      <c r="AJ61" s="8">
        <v>1</v>
      </c>
      <c r="AK61" s="8">
        <v>0</v>
      </c>
      <c r="AL61" s="8">
        <v>1</v>
      </c>
      <c r="AM61" s="8">
        <v>1</v>
      </c>
      <c r="AN61" s="8">
        <v>1</v>
      </c>
      <c r="AO61" s="8">
        <v>0</v>
      </c>
      <c r="AP61" s="8">
        <v>0</v>
      </c>
      <c r="AQ61" s="8">
        <v>1</v>
      </c>
      <c r="AR61" s="8">
        <v>0</v>
      </c>
      <c r="AS61" s="8">
        <v>1</v>
      </c>
      <c r="AT61" s="8">
        <v>0</v>
      </c>
      <c r="AU61" s="8">
        <v>1</v>
      </c>
      <c r="AV61" s="8">
        <v>0</v>
      </c>
      <c r="AW61" s="8">
        <v>0</v>
      </c>
      <c r="AX61" s="8">
        <v>1</v>
      </c>
      <c r="AY61" s="8">
        <v>0</v>
      </c>
      <c r="AZ61" s="8">
        <v>0</v>
      </c>
      <c r="BA61" s="8">
        <v>1</v>
      </c>
      <c r="BB61" s="8">
        <v>0</v>
      </c>
      <c r="BC61" s="8">
        <v>0</v>
      </c>
      <c r="BD61" s="8">
        <v>0</v>
      </c>
      <c r="BE61" s="8">
        <v>0</v>
      </c>
      <c r="BF61" s="8">
        <v>0</v>
      </c>
      <c r="BG61" s="8">
        <v>0</v>
      </c>
      <c r="BH61" s="8">
        <v>0</v>
      </c>
      <c r="BI61" s="8">
        <v>0</v>
      </c>
      <c r="BJ61" s="8">
        <v>0</v>
      </c>
      <c r="BK61" s="8">
        <v>0</v>
      </c>
      <c r="BL61" s="8">
        <v>0</v>
      </c>
      <c r="BM61" s="8">
        <v>0</v>
      </c>
      <c r="BN61" s="8">
        <v>0</v>
      </c>
      <c r="BO61" s="3">
        <f t="shared" si="3"/>
        <v>14</v>
      </c>
      <c r="BP61" s="3"/>
      <c r="BQ61" s="3"/>
      <c r="BR61" s="3"/>
      <c r="BS61" s="3"/>
      <c r="BT61" s="3"/>
      <c r="BU61" s="3"/>
      <c r="BV61" s="3"/>
      <c r="BW61" s="3"/>
      <c r="BX61" s="3"/>
      <c r="BY61" s="3"/>
      <c r="BZ61" s="3"/>
      <c r="CA61" s="3"/>
      <c r="CB61" s="3"/>
      <c r="CC61" s="3"/>
      <c r="CD61" s="3"/>
    </row>
    <row r="62" spans="1:82" ht="15" customHeight="1" x14ac:dyDescent="0.2">
      <c r="A62">
        <v>61</v>
      </c>
      <c r="B62" t="s">
        <v>716</v>
      </c>
      <c r="C62" s="65" t="s">
        <v>127</v>
      </c>
      <c r="D62" s="3">
        <v>2022</v>
      </c>
      <c r="E62" s="3">
        <v>2022</v>
      </c>
      <c r="F62" s="69" t="s">
        <v>315</v>
      </c>
      <c r="G62" s="8" t="s">
        <v>63</v>
      </c>
      <c r="H62" s="8" t="s">
        <v>64</v>
      </c>
      <c r="I62" s="8" t="s">
        <v>64</v>
      </c>
      <c r="J62" s="8">
        <v>0</v>
      </c>
      <c r="K62" s="8">
        <v>1</v>
      </c>
      <c r="L62" s="8">
        <v>0</v>
      </c>
      <c r="M62" s="8" t="s">
        <v>65</v>
      </c>
      <c r="N62" s="9">
        <v>0.1</v>
      </c>
      <c r="O62" s="8">
        <v>1</v>
      </c>
      <c r="P62" s="8">
        <v>0</v>
      </c>
      <c r="Q62" s="8">
        <v>0</v>
      </c>
      <c r="R62" s="8">
        <v>1</v>
      </c>
      <c r="S62" s="8">
        <v>1</v>
      </c>
      <c r="T62" s="8">
        <v>0</v>
      </c>
      <c r="U62" s="8">
        <v>0</v>
      </c>
      <c r="V62" s="8">
        <v>0</v>
      </c>
      <c r="W62" s="8" t="s">
        <v>316</v>
      </c>
      <c r="X62" s="8">
        <v>0</v>
      </c>
      <c r="Y62" s="8">
        <v>0</v>
      </c>
      <c r="Z62" s="8">
        <v>1</v>
      </c>
      <c r="AA62" s="8">
        <v>0</v>
      </c>
      <c r="AB62" s="8">
        <v>1</v>
      </c>
      <c r="AC62" s="8">
        <v>1</v>
      </c>
      <c r="AD62" s="8">
        <v>0.5</v>
      </c>
      <c r="AE62" s="8">
        <v>1</v>
      </c>
      <c r="AF62" s="8">
        <v>1</v>
      </c>
      <c r="AG62" s="8">
        <v>1</v>
      </c>
      <c r="AH62" s="8">
        <v>1</v>
      </c>
      <c r="AI62" s="8">
        <v>1</v>
      </c>
      <c r="AJ62" s="8">
        <v>1</v>
      </c>
      <c r="AK62" s="8">
        <v>0</v>
      </c>
      <c r="AL62" s="8">
        <v>1</v>
      </c>
      <c r="AM62" s="8">
        <v>1</v>
      </c>
      <c r="AN62" s="8">
        <v>1</v>
      </c>
      <c r="AO62" s="8">
        <v>0</v>
      </c>
      <c r="AP62" s="8">
        <v>0</v>
      </c>
      <c r="AQ62" s="8">
        <v>1</v>
      </c>
      <c r="AR62" s="8">
        <v>0</v>
      </c>
      <c r="AS62" s="8">
        <v>1</v>
      </c>
      <c r="AT62" s="8">
        <v>0</v>
      </c>
      <c r="AU62" s="8">
        <v>1</v>
      </c>
      <c r="AV62" s="8">
        <v>0</v>
      </c>
      <c r="AW62" s="8">
        <v>0</v>
      </c>
      <c r="AX62" s="8">
        <v>1</v>
      </c>
      <c r="AY62" s="8">
        <v>0</v>
      </c>
      <c r="AZ62" s="8">
        <v>0</v>
      </c>
      <c r="BA62" s="8">
        <v>1</v>
      </c>
      <c r="BB62" s="8">
        <v>0</v>
      </c>
      <c r="BC62" s="8">
        <v>0</v>
      </c>
      <c r="BD62" s="8">
        <v>0</v>
      </c>
      <c r="BE62" s="8">
        <v>0</v>
      </c>
      <c r="BF62" s="8">
        <v>0</v>
      </c>
      <c r="BG62" s="8">
        <v>0</v>
      </c>
      <c r="BH62" s="8">
        <v>0</v>
      </c>
      <c r="BI62" s="8">
        <v>0</v>
      </c>
      <c r="BJ62" s="8">
        <v>0</v>
      </c>
      <c r="BK62" s="8">
        <v>0</v>
      </c>
      <c r="BL62" s="8">
        <v>0</v>
      </c>
      <c r="BM62" s="8">
        <v>0</v>
      </c>
      <c r="BN62" s="8">
        <v>0</v>
      </c>
      <c r="BO62" s="3">
        <f t="shared" si="3"/>
        <v>14</v>
      </c>
      <c r="BP62" s="3"/>
      <c r="BQ62" s="3"/>
      <c r="BR62" s="3"/>
      <c r="BS62" s="3"/>
      <c r="BT62" s="3"/>
      <c r="BU62" s="3"/>
      <c r="BV62" s="3"/>
      <c r="BW62" s="3"/>
      <c r="BX62" s="3"/>
      <c r="BY62" s="3"/>
      <c r="BZ62" s="3"/>
      <c r="CA62" s="3"/>
      <c r="CB62" s="3"/>
      <c r="CC62" s="3"/>
      <c r="CD62" s="3"/>
    </row>
    <row r="63" spans="1:82" ht="15" customHeight="1" x14ac:dyDescent="0.2">
      <c r="A63">
        <v>62</v>
      </c>
      <c r="B63" t="s">
        <v>717</v>
      </c>
      <c r="C63" s="66" t="s">
        <v>132</v>
      </c>
      <c r="D63" s="21">
        <v>2023</v>
      </c>
      <c r="E63" s="21">
        <v>2024</v>
      </c>
      <c r="F63" s="70" t="s">
        <v>317</v>
      </c>
      <c r="G63" s="23" t="s">
        <v>59</v>
      </c>
      <c r="H63" s="23" t="s">
        <v>52</v>
      </c>
      <c r="I63" s="23" t="s">
        <v>52</v>
      </c>
      <c r="J63" s="23">
        <v>1</v>
      </c>
      <c r="K63" s="23">
        <v>0</v>
      </c>
      <c r="L63" s="23">
        <v>1</v>
      </c>
      <c r="M63" s="23" t="s">
        <v>94</v>
      </c>
      <c r="N63" s="25">
        <v>0.25</v>
      </c>
      <c r="O63" s="23">
        <v>1</v>
      </c>
      <c r="P63" s="23">
        <v>0</v>
      </c>
      <c r="Q63" s="23">
        <v>1</v>
      </c>
      <c r="R63" s="23">
        <v>1</v>
      </c>
      <c r="S63" s="23">
        <v>1</v>
      </c>
      <c r="T63" s="23">
        <v>0</v>
      </c>
      <c r="U63" s="23">
        <v>0</v>
      </c>
      <c r="V63" s="23">
        <v>0</v>
      </c>
      <c r="W63" s="23" t="s">
        <v>135</v>
      </c>
      <c r="X63" s="23">
        <v>0</v>
      </c>
      <c r="Y63" s="23">
        <v>0</v>
      </c>
      <c r="Z63" s="23">
        <v>0</v>
      </c>
      <c r="AA63" s="23">
        <v>1</v>
      </c>
      <c r="AB63" s="23">
        <v>1</v>
      </c>
      <c r="AC63" s="23">
        <v>1</v>
      </c>
      <c r="AD63" s="23">
        <v>0</v>
      </c>
      <c r="AE63" s="23">
        <v>1</v>
      </c>
      <c r="AF63" s="23">
        <v>1</v>
      </c>
      <c r="AG63" s="23">
        <v>1</v>
      </c>
      <c r="AH63" s="23">
        <v>1</v>
      </c>
      <c r="AI63" s="23">
        <v>1</v>
      </c>
      <c r="AJ63" s="23">
        <v>1</v>
      </c>
      <c r="AK63" s="23">
        <v>0</v>
      </c>
      <c r="AL63" s="23">
        <v>1</v>
      </c>
      <c r="AM63" s="23">
        <v>1</v>
      </c>
      <c r="AN63" s="23">
        <v>1</v>
      </c>
      <c r="AO63" s="23">
        <v>0</v>
      </c>
      <c r="AP63" s="23">
        <v>1</v>
      </c>
      <c r="AQ63" s="23">
        <v>1</v>
      </c>
      <c r="AR63" s="23">
        <v>1</v>
      </c>
      <c r="AS63" s="23">
        <v>1</v>
      </c>
      <c r="AT63" s="23">
        <v>0</v>
      </c>
      <c r="AU63" s="23">
        <v>1</v>
      </c>
      <c r="AV63" s="23">
        <v>1</v>
      </c>
      <c r="AW63" s="23">
        <v>0</v>
      </c>
      <c r="AX63" s="23">
        <v>1</v>
      </c>
      <c r="AY63" s="23">
        <v>0</v>
      </c>
      <c r="AZ63" s="23">
        <v>0</v>
      </c>
      <c r="BA63" s="23">
        <v>1</v>
      </c>
      <c r="BB63" s="23">
        <v>0</v>
      </c>
      <c r="BC63" s="23">
        <v>0</v>
      </c>
      <c r="BD63" s="23">
        <v>0</v>
      </c>
      <c r="BE63" s="23">
        <v>0</v>
      </c>
      <c r="BF63" s="23">
        <v>0</v>
      </c>
      <c r="BG63" s="23">
        <v>1</v>
      </c>
      <c r="BH63" s="23">
        <v>1</v>
      </c>
      <c r="BI63" s="23">
        <v>1</v>
      </c>
      <c r="BJ63" s="23">
        <v>0</v>
      </c>
      <c r="BK63" s="23">
        <v>1</v>
      </c>
      <c r="BL63" s="23">
        <v>0</v>
      </c>
      <c r="BM63" s="23">
        <v>1</v>
      </c>
      <c r="BN63" s="23">
        <v>1</v>
      </c>
      <c r="BO63" s="21">
        <f t="shared" si="3"/>
        <v>23</v>
      </c>
      <c r="BP63" s="3"/>
      <c r="BQ63" s="3"/>
      <c r="BR63" s="3"/>
      <c r="BS63" s="3"/>
      <c r="BT63" s="3"/>
      <c r="BU63" s="3"/>
      <c r="BV63" s="3"/>
      <c r="BW63" s="3"/>
      <c r="BX63" s="3"/>
      <c r="BY63" s="3"/>
      <c r="BZ63" s="3"/>
      <c r="CA63" s="3"/>
      <c r="CB63" s="3"/>
      <c r="CC63" s="3"/>
      <c r="CD63" s="3"/>
    </row>
    <row r="64" spans="1:82" ht="15" customHeight="1" x14ac:dyDescent="0.2">
      <c r="A64">
        <v>63</v>
      </c>
      <c r="B64" t="s">
        <v>718</v>
      </c>
      <c r="C64" s="65" t="s">
        <v>136</v>
      </c>
      <c r="D64" s="3">
        <v>2019</v>
      </c>
      <c r="E64" s="3">
        <v>2020</v>
      </c>
      <c r="F64" s="3" t="s">
        <v>318</v>
      </c>
      <c r="G64" s="8" t="s">
        <v>63</v>
      </c>
      <c r="H64" s="8" t="s">
        <v>123</v>
      </c>
      <c r="I64" s="8" t="s">
        <v>123</v>
      </c>
      <c r="J64" s="8">
        <v>0</v>
      </c>
      <c r="K64" s="8">
        <v>0</v>
      </c>
      <c r="L64" s="8">
        <v>0</v>
      </c>
      <c r="M64" s="8" t="s">
        <v>65</v>
      </c>
      <c r="N64" s="9">
        <v>0.5</v>
      </c>
      <c r="O64" s="8">
        <v>1</v>
      </c>
      <c r="P64" s="8">
        <v>0</v>
      </c>
      <c r="Q64" s="8">
        <v>0</v>
      </c>
      <c r="R64" s="8">
        <v>0</v>
      </c>
      <c r="S64" s="8">
        <v>1</v>
      </c>
      <c r="T64" s="8">
        <v>0</v>
      </c>
      <c r="U64" s="8">
        <v>0</v>
      </c>
      <c r="V64" s="8">
        <v>0</v>
      </c>
      <c r="W64" s="8" t="s">
        <v>138</v>
      </c>
      <c r="X64" s="8">
        <v>1</v>
      </c>
      <c r="Y64" s="8">
        <v>0</v>
      </c>
      <c r="Z64" s="8">
        <v>0</v>
      </c>
      <c r="AA64" s="8">
        <v>0</v>
      </c>
      <c r="AB64" s="8">
        <v>0</v>
      </c>
      <c r="AC64" s="8">
        <v>0</v>
      </c>
      <c r="AD64" s="8">
        <v>0</v>
      </c>
      <c r="AE64" s="8">
        <v>0</v>
      </c>
      <c r="AF64" s="8">
        <v>1</v>
      </c>
      <c r="AG64" s="8">
        <v>1</v>
      </c>
      <c r="AH64" s="8">
        <v>1</v>
      </c>
      <c r="AI64" s="8">
        <v>1</v>
      </c>
      <c r="AJ64" s="8">
        <v>0</v>
      </c>
      <c r="AK64" s="8">
        <v>0</v>
      </c>
      <c r="AL64" s="8">
        <v>0</v>
      </c>
      <c r="AM64" s="8">
        <v>1</v>
      </c>
      <c r="AN64" s="8">
        <v>0</v>
      </c>
      <c r="AO64" s="8">
        <v>0</v>
      </c>
      <c r="AP64" s="8">
        <v>0</v>
      </c>
      <c r="AQ64" s="8">
        <v>0</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0</v>
      </c>
      <c r="BL64" s="8">
        <v>0</v>
      </c>
      <c r="BM64" s="8">
        <v>0</v>
      </c>
      <c r="BN64" s="8">
        <v>0</v>
      </c>
      <c r="BO64" s="3">
        <f t="shared" ref="BO64:BO135" si="6">SUM(AE64:BN64)</f>
        <v>5</v>
      </c>
      <c r="BP64" s="3"/>
      <c r="BQ64" s="3"/>
      <c r="BR64" s="3"/>
      <c r="BS64" s="3"/>
      <c r="BT64" s="3"/>
      <c r="BU64" s="3"/>
      <c r="BV64" s="3"/>
      <c r="BW64" s="3"/>
      <c r="BX64" s="3"/>
      <c r="BY64" s="3"/>
      <c r="BZ64" s="3"/>
      <c r="CA64" s="3"/>
      <c r="CB64" s="3"/>
      <c r="CC64" s="3"/>
      <c r="CD64" s="3"/>
    </row>
    <row r="65" spans="1:82" ht="15" customHeight="1" x14ac:dyDescent="0.2">
      <c r="A65">
        <v>64</v>
      </c>
      <c r="B65" t="s">
        <v>719</v>
      </c>
      <c r="C65" s="65" t="s">
        <v>136</v>
      </c>
      <c r="D65" s="3">
        <v>2022</v>
      </c>
      <c r="E65" s="3">
        <v>2022</v>
      </c>
      <c r="F65" s="3" t="s">
        <v>319</v>
      </c>
      <c r="G65" s="8" t="s">
        <v>63</v>
      </c>
      <c r="H65" s="8" t="s">
        <v>123</v>
      </c>
      <c r="I65" s="8" t="s">
        <v>123</v>
      </c>
      <c r="J65" s="8">
        <v>0</v>
      </c>
      <c r="K65" s="8">
        <v>0</v>
      </c>
      <c r="L65" s="8">
        <v>0</v>
      </c>
      <c r="M65" s="8" t="s">
        <v>65</v>
      </c>
      <c r="N65" s="9">
        <v>0.2</v>
      </c>
      <c r="O65" s="8">
        <v>0</v>
      </c>
      <c r="P65" s="8">
        <v>0</v>
      </c>
      <c r="Q65" s="8">
        <v>0</v>
      </c>
      <c r="R65" s="8">
        <v>0</v>
      </c>
      <c r="S65" s="8">
        <v>1</v>
      </c>
      <c r="T65" s="8">
        <v>0</v>
      </c>
      <c r="U65" s="8">
        <v>0</v>
      </c>
      <c r="V65" s="8">
        <v>0</v>
      </c>
      <c r="W65" s="8" t="s">
        <v>138</v>
      </c>
      <c r="X65" s="8">
        <v>1</v>
      </c>
      <c r="Y65" s="8">
        <v>0</v>
      </c>
      <c r="Z65" s="8">
        <v>0</v>
      </c>
      <c r="AA65" s="8">
        <v>0</v>
      </c>
      <c r="AB65" s="8">
        <v>0</v>
      </c>
      <c r="AC65" s="8">
        <v>0</v>
      </c>
      <c r="AD65" s="8">
        <v>0</v>
      </c>
      <c r="AE65" s="8">
        <v>0</v>
      </c>
      <c r="AF65" s="8">
        <v>1</v>
      </c>
      <c r="AG65" s="8">
        <v>1</v>
      </c>
      <c r="AH65" s="8">
        <v>1</v>
      </c>
      <c r="AI65" s="8">
        <v>1</v>
      </c>
      <c r="AJ65" s="8">
        <v>0</v>
      </c>
      <c r="AK65" s="8">
        <v>0</v>
      </c>
      <c r="AL65" s="8">
        <v>0</v>
      </c>
      <c r="AM65" s="8">
        <v>1</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3">
        <f t="shared" ref="BO65" si="7">SUM(AE65:BN65)</f>
        <v>5</v>
      </c>
      <c r="BP65" s="3"/>
      <c r="BQ65" s="3"/>
      <c r="BR65" s="3"/>
      <c r="BS65" s="3"/>
      <c r="BT65" s="3"/>
      <c r="BU65" s="3"/>
      <c r="BV65" s="3"/>
      <c r="BW65" s="3"/>
      <c r="BX65" s="3"/>
      <c r="BY65" s="3"/>
      <c r="BZ65" s="3"/>
      <c r="CA65" s="3"/>
      <c r="CB65" s="3"/>
      <c r="CC65" s="3"/>
      <c r="CD65" s="3"/>
    </row>
    <row r="66" spans="1:82" ht="15" customHeight="1" x14ac:dyDescent="0.2">
      <c r="A66">
        <v>65</v>
      </c>
      <c r="B66" t="s">
        <v>720</v>
      </c>
      <c r="C66" s="65" t="s">
        <v>140</v>
      </c>
      <c r="D66" s="7" t="s">
        <v>71</v>
      </c>
      <c r="E66" s="7" t="s">
        <v>71</v>
      </c>
      <c r="F66" s="3" t="s">
        <v>320</v>
      </c>
      <c r="G66" s="8" t="s">
        <v>63</v>
      </c>
      <c r="H66" s="8" t="s">
        <v>64</v>
      </c>
      <c r="I66" s="8" t="s">
        <v>64</v>
      </c>
      <c r="J66" s="8">
        <v>0</v>
      </c>
      <c r="K66" s="8">
        <v>0</v>
      </c>
      <c r="L66" s="8">
        <v>0</v>
      </c>
      <c r="M66" s="8" t="s">
        <v>142</v>
      </c>
      <c r="N66" s="14" t="s">
        <v>144</v>
      </c>
      <c r="O66" s="6">
        <v>1</v>
      </c>
      <c r="P66" s="8">
        <v>0</v>
      </c>
      <c r="Q66" s="8">
        <v>1</v>
      </c>
      <c r="R66" s="8">
        <v>1</v>
      </c>
      <c r="S66" s="8">
        <v>1</v>
      </c>
      <c r="T66" s="8">
        <v>0</v>
      </c>
      <c r="U66" s="8">
        <v>0</v>
      </c>
      <c r="V66" s="8">
        <v>1</v>
      </c>
      <c r="W66" s="8" t="s">
        <v>143</v>
      </c>
      <c r="X66" s="8">
        <v>0</v>
      </c>
      <c r="Y66" s="8">
        <v>0</v>
      </c>
      <c r="Z66" s="8">
        <v>0</v>
      </c>
      <c r="AA66" s="8">
        <v>0</v>
      </c>
      <c r="AB66" s="8">
        <v>1</v>
      </c>
      <c r="AC66" s="8">
        <v>0</v>
      </c>
      <c r="AD66" s="8">
        <v>0</v>
      </c>
      <c r="AE66" s="8">
        <v>1</v>
      </c>
      <c r="AF66" s="8">
        <v>1</v>
      </c>
      <c r="AG66" s="8">
        <v>0</v>
      </c>
      <c r="AH66" s="8">
        <v>1</v>
      </c>
      <c r="AI66" s="8">
        <v>1</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3">
        <f t="shared" si="6"/>
        <v>4</v>
      </c>
      <c r="BP66" s="3"/>
      <c r="BQ66" s="3"/>
      <c r="BR66" s="3"/>
      <c r="BS66" s="3"/>
      <c r="BT66" s="3"/>
      <c r="BU66" s="3"/>
      <c r="BV66" s="3"/>
      <c r="BW66" s="3"/>
      <c r="BX66" s="3"/>
      <c r="BY66" s="3"/>
      <c r="BZ66" s="3"/>
      <c r="CA66" s="3"/>
      <c r="CB66" s="3"/>
      <c r="CC66" s="3"/>
      <c r="CD66" s="3"/>
    </row>
    <row r="67" spans="1:82" ht="15" customHeight="1" x14ac:dyDescent="0.2">
      <c r="A67">
        <v>66</v>
      </c>
      <c r="B67" t="s">
        <v>721</v>
      </c>
      <c r="C67" s="65" t="s">
        <v>140</v>
      </c>
      <c r="D67" s="7" t="s">
        <v>73</v>
      </c>
      <c r="E67" s="7" t="s">
        <v>73</v>
      </c>
      <c r="F67" s="3" t="s">
        <v>321</v>
      </c>
      <c r="G67" s="8" t="s">
        <v>63</v>
      </c>
      <c r="H67" s="8" t="s">
        <v>64</v>
      </c>
      <c r="I67" s="8" t="s">
        <v>64</v>
      </c>
      <c r="J67" s="8">
        <v>0</v>
      </c>
      <c r="K67" s="8">
        <v>0</v>
      </c>
      <c r="L67" s="8">
        <v>0</v>
      </c>
      <c r="M67" s="8" t="s">
        <v>146</v>
      </c>
      <c r="N67" s="14" t="s">
        <v>144</v>
      </c>
      <c r="O67" s="6">
        <v>1</v>
      </c>
      <c r="P67" s="8">
        <v>0</v>
      </c>
      <c r="Q67" s="8">
        <v>1</v>
      </c>
      <c r="R67" s="8">
        <v>0</v>
      </c>
      <c r="S67" s="8">
        <v>1</v>
      </c>
      <c r="T67" s="8">
        <v>0</v>
      </c>
      <c r="U67" s="8">
        <v>0</v>
      </c>
      <c r="V67" s="8">
        <v>1</v>
      </c>
      <c r="W67" s="8" t="s">
        <v>143</v>
      </c>
      <c r="X67" s="8">
        <v>0</v>
      </c>
      <c r="Y67" s="8">
        <v>0</v>
      </c>
      <c r="Z67" s="8">
        <v>0</v>
      </c>
      <c r="AA67" s="8">
        <v>0</v>
      </c>
      <c r="AB67" s="8">
        <v>1</v>
      </c>
      <c r="AC67" s="8">
        <v>0</v>
      </c>
      <c r="AD67" s="8">
        <v>0</v>
      </c>
      <c r="AE67" s="8">
        <v>1</v>
      </c>
      <c r="AF67" s="8">
        <v>1</v>
      </c>
      <c r="AG67" s="8">
        <v>0</v>
      </c>
      <c r="AH67" s="8">
        <v>1</v>
      </c>
      <c r="AI67" s="8">
        <v>1</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1</v>
      </c>
      <c r="BH67" s="8">
        <v>0</v>
      </c>
      <c r="BI67" s="8">
        <v>0</v>
      </c>
      <c r="BJ67" s="8">
        <v>0</v>
      </c>
      <c r="BK67" s="8">
        <v>0</v>
      </c>
      <c r="BL67" s="8">
        <v>0</v>
      </c>
      <c r="BM67" s="8">
        <v>0</v>
      </c>
      <c r="BN67" s="8">
        <v>0</v>
      </c>
      <c r="BO67" s="3">
        <f t="shared" si="6"/>
        <v>5</v>
      </c>
      <c r="BP67" s="3"/>
      <c r="BQ67" s="3"/>
      <c r="BR67" s="3"/>
      <c r="BS67" s="3"/>
      <c r="BT67" s="3"/>
      <c r="BU67" s="3"/>
      <c r="BV67" s="3"/>
      <c r="BW67" s="3"/>
      <c r="BX67" s="3"/>
      <c r="BY67" s="3"/>
      <c r="BZ67" s="3"/>
      <c r="CA67" s="3"/>
      <c r="CB67" s="3"/>
      <c r="CC67" s="3"/>
      <c r="CD67" s="3"/>
    </row>
    <row r="68" spans="1:82" ht="15" customHeight="1" x14ac:dyDescent="0.2">
      <c r="A68">
        <v>67</v>
      </c>
      <c r="B68" t="s">
        <v>722</v>
      </c>
      <c r="C68" s="65" t="s">
        <v>140</v>
      </c>
      <c r="D68" s="7" t="s">
        <v>76</v>
      </c>
      <c r="E68" s="7" t="s">
        <v>76</v>
      </c>
      <c r="F68" s="3" t="s">
        <v>322</v>
      </c>
      <c r="G68" s="8" t="s">
        <v>63</v>
      </c>
      <c r="H68" s="8" t="s">
        <v>64</v>
      </c>
      <c r="I68" s="8" t="s">
        <v>64</v>
      </c>
      <c r="J68" s="8">
        <v>0</v>
      </c>
      <c r="K68" s="8">
        <v>0</v>
      </c>
      <c r="L68" s="8">
        <v>0</v>
      </c>
      <c r="M68" s="8" t="s">
        <v>146</v>
      </c>
      <c r="N68" s="14" t="s">
        <v>144</v>
      </c>
      <c r="O68" s="6">
        <v>1</v>
      </c>
      <c r="P68" s="8">
        <v>0</v>
      </c>
      <c r="Q68" s="8">
        <v>1</v>
      </c>
      <c r="R68" s="8">
        <v>0</v>
      </c>
      <c r="S68" s="8">
        <v>1</v>
      </c>
      <c r="T68" s="8">
        <v>0</v>
      </c>
      <c r="U68" s="8">
        <v>0</v>
      </c>
      <c r="V68" s="8">
        <v>1</v>
      </c>
      <c r="W68" s="8" t="s">
        <v>143</v>
      </c>
      <c r="X68" s="8">
        <v>0</v>
      </c>
      <c r="Y68" s="8">
        <v>0</v>
      </c>
      <c r="Z68" s="8">
        <v>0</v>
      </c>
      <c r="AA68" s="8">
        <v>0</v>
      </c>
      <c r="AB68" s="8">
        <v>1</v>
      </c>
      <c r="AC68" s="8">
        <v>0</v>
      </c>
      <c r="AD68" s="8">
        <v>0</v>
      </c>
      <c r="AE68" s="8">
        <v>1</v>
      </c>
      <c r="AF68" s="8">
        <v>1</v>
      </c>
      <c r="AG68" s="8">
        <v>0</v>
      </c>
      <c r="AH68" s="8">
        <v>1</v>
      </c>
      <c r="AI68" s="8">
        <v>1</v>
      </c>
      <c r="AJ68" s="8">
        <v>0</v>
      </c>
      <c r="AK68" s="8">
        <v>0</v>
      </c>
      <c r="AL68" s="8">
        <v>0</v>
      </c>
      <c r="AM68" s="8">
        <v>1</v>
      </c>
      <c r="AN68" s="8">
        <v>0</v>
      </c>
      <c r="AO68" s="8">
        <v>0</v>
      </c>
      <c r="AP68" s="8">
        <v>1</v>
      </c>
      <c r="AQ68" s="8">
        <v>1</v>
      </c>
      <c r="AR68" s="8">
        <v>0</v>
      </c>
      <c r="AS68" s="8">
        <v>1</v>
      </c>
      <c r="AT68" s="8">
        <v>0</v>
      </c>
      <c r="AU68" s="8">
        <v>1</v>
      </c>
      <c r="AV68" s="8">
        <v>0</v>
      </c>
      <c r="AW68" s="8">
        <v>0</v>
      </c>
      <c r="AX68" s="8">
        <v>0</v>
      </c>
      <c r="AY68" s="8">
        <v>0</v>
      </c>
      <c r="AZ68" s="8">
        <v>0</v>
      </c>
      <c r="BA68" s="8">
        <v>1</v>
      </c>
      <c r="BB68" s="8">
        <v>0</v>
      </c>
      <c r="BC68" s="8">
        <v>0</v>
      </c>
      <c r="BD68" s="8">
        <v>0</v>
      </c>
      <c r="BE68" s="8">
        <v>0</v>
      </c>
      <c r="BF68" s="8">
        <v>1</v>
      </c>
      <c r="BG68" s="8">
        <v>1</v>
      </c>
      <c r="BH68" s="8">
        <v>0</v>
      </c>
      <c r="BI68" s="8">
        <v>1</v>
      </c>
      <c r="BJ68" s="8">
        <v>0</v>
      </c>
      <c r="BK68" s="8">
        <v>0</v>
      </c>
      <c r="BL68" s="8">
        <v>0</v>
      </c>
      <c r="BM68" s="8">
        <v>1</v>
      </c>
      <c r="BN68" s="8">
        <v>0</v>
      </c>
      <c r="BO68" s="3">
        <f t="shared" si="6"/>
        <v>14</v>
      </c>
      <c r="BP68" s="3"/>
      <c r="BQ68" s="3"/>
      <c r="BR68" s="3"/>
      <c r="BS68" s="3"/>
      <c r="BT68" s="3"/>
      <c r="BU68" s="3"/>
      <c r="BV68" s="3"/>
      <c r="BW68" s="3"/>
      <c r="BX68" s="3"/>
      <c r="BY68" s="3"/>
      <c r="BZ68" s="3"/>
      <c r="CA68" s="3"/>
      <c r="CB68" s="3"/>
      <c r="CC68" s="3"/>
      <c r="CD68" s="3"/>
    </row>
    <row r="69" spans="1:82" ht="15" customHeight="1" x14ac:dyDescent="0.2">
      <c r="A69">
        <v>68</v>
      </c>
      <c r="B69" t="s">
        <v>723</v>
      </c>
      <c r="C69" s="65" t="s">
        <v>140</v>
      </c>
      <c r="D69" s="7" t="s">
        <v>78</v>
      </c>
      <c r="E69" s="7" t="s">
        <v>78</v>
      </c>
      <c r="F69" s="3" t="s">
        <v>323</v>
      </c>
      <c r="G69" s="8" t="s">
        <v>63</v>
      </c>
      <c r="H69" s="8" t="s">
        <v>64</v>
      </c>
      <c r="I69" s="8" t="s">
        <v>64</v>
      </c>
      <c r="J69" s="8">
        <v>0</v>
      </c>
      <c r="K69" s="8">
        <v>0</v>
      </c>
      <c r="L69" s="8">
        <v>0</v>
      </c>
      <c r="M69" s="8" t="s">
        <v>95</v>
      </c>
      <c r="N69" s="14" t="s">
        <v>144</v>
      </c>
      <c r="O69" s="8">
        <v>1</v>
      </c>
      <c r="P69" s="8">
        <v>0</v>
      </c>
      <c r="Q69" s="8">
        <v>1</v>
      </c>
      <c r="R69" s="8">
        <v>0</v>
      </c>
      <c r="S69" s="8">
        <v>1</v>
      </c>
      <c r="T69" s="8">
        <v>0</v>
      </c>
      <c r="U69" s="8">
        <v>0</v>
      </c>
      <c r="V69" s="8">
        <v>1</v>
      </c>
      <c r="W69" s="8" t="s">
        <v>143</v>
      </c>
      <c r="X69" s="8">
        <v>0</v>
      </c>
      <c r="Y69" s="8">
        <v>0</v>
      </c>
      <c r="Z69" s="8">
        <v>0</v>
      </c>
      <c r="AA69" s="8">
        <v>0</v>
      </c>
      <c r="AB69" s="8">
        <v>1</v>
      </c>
      <c r="AC69" s="8">
        <v>0.5</v>
      </c>
      <c r="AD69" s="8">
        <v>0.5</v>
      </c>
      <c r="AE69" s="8">
        <v>1</v>
      </c>
      <c r="AF69" s="8">
        <v>1</v>
      </c>
      <c r="AG69" s="8">
        <v>0</v>
      </c>
      <c r="AH69" s="8">
        <v>1</v>
      </c>
      <c r="AI69" s="8">
        <v>1</v>
      </c>
      <c r="AJ69" s="8">
        <v>1</v>
      </c>
      <c r="AK69" s="8">
        <v>0</v>
      </c>
      <c r="AL69" s="8">
        <v>0</v>
      </c>
      <c r="AM69" s="8">
        <v>1</v>
      </c>
      <c r="AN69" s="8">
        <v>0</v>
      </c>
      <c r="AO69" s="8">
        <v>0</v>
      </c>
      <c r="AP69" s="8">
        <v>1</v>
      </c>
      <c r="AQ69" s="8">
        <v>1</v>
      </c>
      <c r="AR69" s="8">
        <v>1</v>
      </c>
      <c r="AS69" s="8">
        <v>1</v>
      </c>
      <c r="AT69" s="8">
        <v>0</v>
      </c>
      <c r="AU69" s="8">
        <v>1</v>
      </c>
      <c r="AV69" s="8">
        <v>0</v>
      </c>
      <c r="AW69" s="8">
        <v>1</v>
      </c>
      <c r="AX69" s="8">
        <v>1</v>
      </c>
      <c r="AY69" s="8">
        <v>0</v>
      </c>
      <c r="AZ69" s="8">
        <v>0</v>
      </c>
      <c r="BA69" s="8">
        <v>1</v>
      </c>
      <c r="BB69" s="8">
        <v>0</v>
      </c>
      <c r="BC69" s="8">
        <v>0</v>
      </c>
      <c r="BD69" s="8">
        <v>0</v>
      </c>
      <c r="BE69" s="8">
        <v>0</v>
      </c>
      <c r="BF69" s="8">
        <v>1</v>
      </c>
      <c r="BG69" s="8">
        <v>1</v>
      </c>
      <c r="BH69" s="8">
        <v>0</v>
      </c>
      <c r="BI69" s="8">
        <v>1</v>
      </c>
      <c r="BJ69" s="8">
        <v>1</v>
      </c>
      <c r="BK69" s="8">
        <v>0</v>
      </c>
      <c r="BL69" s="8">
        <v>0</v>
      </c>
      <c r="BM69" s="8">
        <v>1</v>
      </c>
      <c r="BN69" s="8">
        <v>1</v>
      </c>
      <c r="BO69" s="3">
        <f t="shared" si="6"/>
        <v>20</v>
      </c>
      <c r="BP69" s="3"/>
      <c r="BQ69" s="3"/>
      <c r="BR69" s="3"/>
      <c r="BS69" s="3"/>
      <c r="BT69" s="3"/>
      <c r="BU69" s="3"/>
      <c r="BV69" s="3"/>
      <c r="BW69" s="3"/>
      <c r="BX69" s="3"/>
      <c r="BY69" s="3"/>
      <c r="BZ69" s="3"/>
      <c r="CA69" s="3"/>
      <c r="CB69" s="3"/>
      <c r="CC69" s="3"/>
      <c r="CD69" s="3"/>
    </row>
    <row r="70" spans="1:82" ht="15" customHeight="1" x14ac:dyDescent="0.2">
      <c r="A70">
        <v>69</v>
      </c>
      <c r="B70" t="s">
        <v>724</v>
      </c>
      <c r="C70" s="65" t="s">
        <v>140</v>
      </c>
      <c r="D70" s="7" t="s">
        <v>79</v>
      </c>
      <c r="E70" s="7" t="s">
        <v>79</v>
      </c>
      <c r="F70" s="3" t="s">
        <v>324</v>
      </c>
      <c r="G70" s="8" t="s">
        <v>63</v>
      </c>
      <c r="H70" s="8" t="s">
        <v>64</v>
      </c>
      <c r="I70" s="8" t="s">
        <v>64</v>
      </c>
      <c r="J70" s="8">
        <v>1</v>
      </c>
      <c r="K70" s="8">
        <v>0</v>
      </c>
      <c r="L70" s="8">
        <v>1</v>
      </c>
      <c r="M70" s="8" t="s">
        <v>147</v>
      </c>
      <c r="N70" s="9">
        <v>0.03</v>
      </c>
      <c r="O70" s="8">
        <v>1</v>
      </c>
      <c r="P70" s="8">
        <v>0</v>
      </c>
      <c r="Q70" s="8">
        <v>1</v>
      </c>
      <c r="R70" s="8">
        <v>0</v>
      </c>
      <c r="S70" s="8">
        <v>1</v>
      </c>
      <c r="T70" s="8">
        <v>0</v>
      </c>
      <c r="U70" s="8">
        <v>0</v>
      </c>
      <c r="V70" s="8">
        <v>1</v>
      </c>
      <c r="W70" s="8" t="s">
        <v>143</v>
      </c>
      <c r="X70" s="8">
        <v>0</v>
      </c>
      <c r="Y70" s="8">
        <v>0</v>
      </c>
      <c r="Z70" s="8">
        <v>0</v>
      </c>
      <c r="AA70" s="8">
        <v>1</v>
      </c>
      <c r="AB70" s="8">
        <v>1</v>
      </c>
      <c r="AC70" s="8">
        <v>0.5</v>
      </c>
      <c r="AD70" s="8">
        <v>1</v>
      </c>
      <c r="AE70" s="8">
        <v>1</v>
      </c>
      <c r="AF70" s="8">
        <v>1</v>
      </c>
      <c r="AG70" s="8">
        <v>1</v>
      </c>
      <c r="AH70" s="8">
        <v>1</v>
      </c>
      <c r="AI70" s="8">
        <v>1</v>
      </c>
      <c r="AJ70" s="8">
        <v>1</v>
      </c>
      <c r="AK70" s="8">
        <v>0</v>
      </c>
      <c r="AL70" s="8">
        <v>1</v>
      </c>
      <c r="AM70" s="8">
        <v>1</v>
      </c>
      <c r="AN70" s="8">
        <v>1</v>
      </c>
      <c r="AO70" s="8">
        <v>0</v>
      </c>
      <c r="AP70" s="8">
        <v>1</v>
      </c>
      <c r="AQ70" s="8">
        <v>1</v>
      </c>
      <c r="AR70" s="8">
        <v>1</v>
      </c>
      <c r="AS70" s="8">
        <v>1</v>
      </c>
      <c r="AT70" s="8">
        <v>0</v>
      </c>
      <c r="AU70" s="8">
        <v>1</v>
      </c>
      <c r="AV70" s="8">
        <v>0</v>
      </c>
      <c r="AW70" s="8">
        <v>1</v>
      </c>
      <c r="AX70" s="8">
        <v>1</v>
      </c>
      <c r="AY70" s="8">
        <v>0</v>
      </c>
      <c r="AZ70" s="8">
        <v>0</v>
      </c>
      <c r="BA70" s="8">
        <v>1</v>
      </c>
      <c r="BB70" s="8">
        <v>0</v>
      </c>
      <c r="BC70" s="8">
        <v>0</v>
      </c>
      <c r="BD70" s="8">
        <v>0</v>
      </c>
      <c r="BE70" s="8">
        <v>0</v>
      </c>
      <c r="BF70" s="8">
        <v>1</v>
      </c>
      <c r="BG70" s="8">
        <v>1</v>
      </c>
      <c r="BH70" s="8">
        <v>0</v>
      </c>
      <c r="BI70" s="8">
        <v>1</v>
      </c>
      <c r="BJ70" s="8">
        <v>1</v>
      </c>
      <c r="BK70" s="8">
        <v>0</v>
      </c>
      <c r="BL70" s="8">
        <v>0</v>
      </c>
      <c r="BM70" s="8">
        <v>1</v>
      </c>
      <c r="BN70" s="8">
        <v>1</v>
      </c>
      <c r="BO70" s="3">
        <f t="shared" si="6"/>
        <v>23</v>
      </c>
      <c r="BP70" s="3"/>
      <c r="BQ70" s="3"/>
      <c r="BR70" s="3"/>
      <c r="BS70" s="3"/>
      <c r="BT70" s="3"/>
      <c r="BU70" s="3"/>
      <c r="BV70" s="3"/>
      <c r="BW70" s="3"/>
      <c r="BX70" s="3"/>
      <c r="BY70" s="3"/>
      <c r="BZ70" s="3"/>
      <c r="CA70" s="3"/>
      <c r="CB70" s="3"/>
      <c r="CC70" s="3"/>
      <c r="CD70" s="3"/>
    </row>
    <row r="71" spans="1:82" ht="15" customHeight="1" x14ac:dyDescent="0.2">
      <c r="A71">
        <v>70</v>
      </c>
      <c r="B71" t="s">
        <v>725</v>
      </c>
      <c r="C71" s="65" t="s">
        <v>140</v>
      </c>
      <c r="D71" s="7" t="s">
        <v>79</v>
      </c>
      <c r="E71" s="7" t="s">
        <v>80</v>
      </c>
      <c r="F71" s="3" t="s">
        <v>325</v>
      </c>
      <c r="G71" s="8" t="s">
        <v>63</v>
      </c>
      <c r="H71" s="8" t="s">
        <v>64</v>
      </c>
      <c r="I71" s="8" t="s">
        <v>64</v>
      </c>
      <c r="J71" s="8">
        <v>1</v>
      </c>
      <c r="K71" s="8">
        <v>0</v>
      </c>
      <c r="L71" s="8">
        <v>1</v>
      </c>
      <c r="M71" s="8" t="s">
        <v>147</v>
      </c>
      <c r="N71" s="9">
        <v>0.03</v>
      </c>
      <c r="O71" s="8">
        <v>1</v>
      </c>
      <c r="P71" s="8">
        <v>0</v>
      </c>
      <c r="Q71" s="8">
        <v>1</v>
      </c>
      <c r="R71" s="8">
        <v>0</v>
      </c>
      <c r="S71" s="8">
        <v>1</v>
      </c>
      <c r="T71" s="8">
        <v>0</v>
      </c>
      <c r="U71" s="8">
        <v>0</v>
      </c>
      <c r="V71" s="8">
        <v>1</v>
      </c>
      <c r="W71" s="8" t="s">
        <v>143</v>
      </c>
      <c r="X71" s="8">
        <v>0</v>
      </c>
      <c r="Y71" s="8">
        <v>0</v>
      </c>
      <c r="Z71" s="8">
        <v>0</v>
      </c>
      <c r="AA71" s="8">
        <v>1</v>
      </c>
      <c r="AB71" s="8">
        <v>1</v>
      </c>
      <c r="AC71" s="8">
        <v>0.5</v>
      </c>
      <c r="AD71" s="8">
        <v>1</v>
      </c>
      <c r="AE71" s="8">
        <v>1</v>
      </c>
      <c r="AF71" s="8">
        <v>1</v>
      </c>
      <c r="AG71" s="8">
        <v>1</v>
      </c>
      <c r="AH71" s="8">
        <v>1</v>
      </c>
      <c r="AI71" s="8">
        <v>1</v>
      </c>
      <c r="AJ71" s="8">
        <v>1</v>
      </c>
      <c r="AK71" s="8">
        <v>0</v>
      </c>
      <c r="AL71" s="8">
        <v>1</v>
      </c>
      <c r="AM71" s="8">
        <v>1</v>
      </c>
      <c r="AN71" s="8">
        <v>1</v>
      </c>
      <c r="AO71" s="8">
        <v>0</v>
      </c>
      <c r="AP71" s="8">
        <v>1</v>
      </c>
      <c r="AQ71" s="8">
        <v>1</v>
      </c>
      <c r="AR71" s="8">
        <v>1</v>
      </c>
      <c r="AS71" s="8">
        <v>1</v>
      </c>
      <c r="AT71" s="8">
        <v>0</v>
      </c>
      <c r="AU71" s="8">
        <v>1</v>
      </c>
      <c r="AV71" s="8">
        <v>0</v>
      </c>
      <c r="AW71" s="8">
        <v>1</v>
      </c>
      <c r="AX71" s="8">
        <v>1</v>
      </c>
      <c r="AY71" s="8">
        <v>0</v>
      </c>
      <c r="AZ71" s="8">
        <v>0</v>
      </c>
      <c r="BA71" s="8">
        <v>1</v>
      </c>
      <c r="BB71" s="8">
        <v>0</v>
      </c>
      <c r="BC71" s="8">
        <v>0</v>
      </c>
      <c r="BD71" s="8">
        <v>0</v>
      </c>
      <c r="BE71" s="8">
        <v>0</v>
      </c>
      <c r="BF71" s="8">
        <v>1</v>
      </c>
      <c r="BG71" s="8">
        <v>1</v>
      </c>
      <c r="BH71" s="8">
        <v>0</v>
      </c>
      <c r="BI71" s="8">
        <v>1</v>
      </c>
      <c r="BJ71" s="8">
        <v>1</v>
      </c>
      <c r="BK71" s="8">
        <v>0</v>
      </c>
      <c r="BL71" s="8">
        <v>0</v>
      </c>
      <c r="BM71" s="8">
        <v>1</v>
      </c>
      <c r="BN71" s="8">
        <v>1</v>
      </c>
      <c r="BO71" s="3">
        <f t="shared" si="6"/>
        <v>23</v>
      </c>
      <c r="BP71" s="3"/>
      <c r="BQ71" s="3"/>
      <c r="BR71" s="3"/>
      <c r="BS71" s="3"/>
      <c r="BT71" s="3"/>
      <c r="BU71" s="3"/>
      <c r="BV71" s="3"/>
      <c r="BW71" s="3"/>
      <c r="BX71" s="3"/>
      <c r="BY71" s="3"/>
      <c r="BZ71" s="3"/>
      <c r="CA71" s="3"/>
      <c r="CB71" s="3"/>
      <c r="CC71" s="3"/>
      <c r="CD71" s="3"/>
    </row>
    <row r="72" spans="1:82" ht="15" customHeight="1" x14ac:dyDescent="0.2">
      <c r="A72">
        <v>71</v>
      </c>
      <c r="B72" t="s">
        <v>726</v>
      </c>
      <c r="C72" s="65" t="s">
        <v>140</v>
      </c>
      <c r="D72" s="7" t="s">
        <v>80</v>
      </c>
      <c r="E72" s="7" t="s">
        <v>244</v>
      </c>
      <c r="F72" s="3" t="s">
        <v>326</v>
      </c>
      <c r="G72" s="8" t="s">
        <v>63</v>
      </c>
      <c r="H72" s="8" t="s">
        <v>64</v>
      </c>
      <c r="I72" s="8" t="s">
        <v>64</v>
      </c>
      <c r="J72" s="8">
        <v>1</v>
      </c>
      <c r="K72" s="8">
        <v>0</v>
      </c>
      <c r="L72" s="8">
        <v>1</v>
      </c>
      <c r="M72" s="8" t="s">
        <v>147</v>
      </c>
      <c r="N72" s="9">
        <v>0.03</v>
      </c>
      <c r="O72" s="8">
        <v>1</v>
      </c>
      <c r="P72" s="8">
        <v>0</v>
      </c>
      <c r="Q72" s="8">
        <v>1</v>
      </c>
      <c r="R72" s="8">
        <v>0</v>
      </c>
      <c r="S72" s="8">
        <v>1</v>
      </c>
      <c r="T72" s="8">
        <v>0</v>
      </c>
      <c r="U72" s="8">
        <v>0</v>
      </c>
      <c r="V72" s="8">
        <v>1</v>
      </c>
      <c r="W72" s="8" t="s">
        <v>143</v>
      </c>
      <c r="X72" s="8">
        <v>0</v>
      </c>
      <c r="Y72" s="8">
        <v>0</v>
      </c>
      <c r="Z72" s="8">
        <v>0</v>
      </c>
      <c r="AA72" s="8">
        <v>1</v>
      </c>
      <c r="AB72" s="8">
        <v>1</v>
      </c>
      <c r="AC72" s="8">
        <v>0.5</v>
      </c>
      <c r="AD72" s="8">
        <v>1</v>
      </c>
      <c r="AE72" s="8">
        <v>1</v>
      </c>
      <c r="AF72" s="8">
        <v>1</v>
      </c>
      <c r="AG72" s="8">
        <v>1</v>
      </c>
      <c r="AH72" s="8">
        <v>1</v>
      </c>
      <c r="AI72" s="8">
        <v>1</v>
      </c>
      <c r="AJ72" s="8">
        <v>1</v>
      </c>
      <c r="AK72" s="8">
        <v>0</v>
      </c>
      <c r="AL72" s="8">
        <v>1</v>
      </c>
      <c r="AM72" s="8">
        <v>1</v>
      </c>
      <c r="AN72" s="8">
        <v>1</v>
      </c>
      <c r="AO72" s="8">
        <v>0</v>
      </c>
      <c r="AP72" s="8">
        <v>1</v>
      </c>
      <c r="AQ72" s="8">
        <v>1</v>
      </c>
      <c r="AR72" s="8">
        <v>1</v>
      </c>
      <c r="AS72" s="8">
        <v>1</v>
      </c>
      <c r="AT72" s="8">
        <v>0</v>
      </c>
      <c r="AU72" s="8">
        <v>1</v>
      </c>
      <c r="AV72" s="8">
        <v>0</v>
      </c>
      <c r="AW72" s="8">
        <v>1</v>
      </c>
      <c r="AX72" s="8">
        <v>1</v>
      </c>
      <c r="AY72" s="8">
        <v>0</v>
      </c>
      <c r="AZ72" s="8">
        <v>0</v>
      </c>
      <c r="BA72" s="8">
        <v>1</v>
      </c>
      <c r="BB72" s="8">
        <v>0</v>
      </c>
      <c r="BC72" s="8">
        <v>0</v>
      </c>
      <c r="BD72" s="8">
        <v>0</v>
      </c>
      <c r="BE72" s="8">
        <v>0</v>
      </c>
      <c r="BF72" s="8">
        <v>1</v>
      </c>
      <c r="BG72" s="8">
        <v>1</v>
      </c>
      <c r="BH72" s="8">
        <v>0</v>
      </c>
      <c r="BI72" s="8">
        <v>1</v>
      </c>
      <c r="BJ72" s="8">
        <v>1</v>
      </c>
      <c r="BK72" s="8">
        <v>0</v>
      </c>
      <c r="BL72" s="8">
        <v>0</v>
      </c>
      <c r="BM72" s="8">
        <v>1</v>
      </c>
      <c r="BN72" s="8">
        <v>1</v>
      </c>
      <c r="BO72" s="3">
        <f t="shared" si="6"/>
        <v>23</v>
      </c>
      <c r="BP72" s="3"/>
      <c r="BQ72" s="3"/>
      <c r="BR72" s="3"/>
      <c r="BS72" s="3"/>
      <c r="BT72" s="3"/>
      <c r="BU72" s="3"/>
      <c r="BV72" s="3"/>
      <c r="BW72" s="3"/>
      <c r="BX72" s="3"/>
      <c r="BY72" s="3"/>
      <c r="BZ72" s="3"/>
      <c r="CA72" s="3"/>
      <c r="CB72" s="3"/>
      <c r="CC72" s="3"/>
      <c r="CD72" s="3"/>
    </row>
    <row r="73" spans="1:82" ht="15" customHeight="1" x14ac:dyDescent="0.2">
      <c r="A73">
        <v>72</v>
      </c>
      <c r="B73" t="s">
        <v>727</v>
      </c>
      <c r="C73" s="65" t="s">
        <v>140</v>
      </c>
      <c r="D73" s="7" t="s">
        <v>244</v>
      </c>
      <c r="E73" s="7" t="s">
        <v>244</v>
      </c>
      <c r="F73" s="3" t="s">
        <v>327</v>
      </c>
      <c r="G73" s="8" t="s">
        <v>63</v>
      </c>
      <c r="H73" s="8" t="s">
        <v>64</v>
      </c>
      <c r="I73" s="8" t="s">
        <v>64</v>
      </c>
      <c r="J73" s="8">
        <v>1</v>
      </c>
      <c r="K73" s="8">
        <v>0</v>
      </c>
      <c r="L73" s="8">
        <v>1</v>
      </c>
      <c r="M73" s="8" t="s">
        <v>147</v>
      </c>
      <c r="N73" s="9">
        <v>0.03</v>
      </c>
      <c r="O73" s="8">
        <v>1</v>
      </c>
      <c r="P73" s="8">
        <v>0</v>
      </c>
      <c r="Q73" s="8">
        <v>1</v>
      </c>
      <c r="R73" s="8">
        <v>0</v>
      </c>
      <c r="S73" s="8">
        <v>1</v>
      </c>
      <c r="T73" s="8">
        <v>0</v>
      </c>
      <c r="U73" s="8">
        <v>0</v>
      </c>
      <c r="V73" s="8">
        <v>1</v>
      </c>
      <c r="W73" s="8" t="s">
        <v>143</v>
      </c>
      <c r="X73" s="8">
        <v>0</v>
      </c>
      <c r="Y73" s="8">
        <v>0</v>
      </c>
      <c r="Z73" s="8">
        <v>0</v>
      </c>
      <c r="AA73" s="8">
        <v>1</v>
      </c>
      <c r="AB73" s="8">
        <v>1</v>
      </c>
      <c r="AC73" s="8">
        <v>0.5</v>
      </c>
      <c r="AD73" s="8">
        <v>1</v>
      </c>
      <c r="AE73" s="8">
        <v>1</v>
      </c>
      <c r="AF73" s="8">
        <v>1</v>
      </c>
      <c r="AG73" s="8">
        <v>1</v>
      </c>
      <c r="AH73" s="8">
        <v>1</v>
      </c>
      <c r="AI73" s="8">
        <v>1</v>
      </c>
      <c r="AJ73" s="8">
        <v>1</v>
      </c>
      <c r="AK73" s="8">
        <v>0</v>
      </c>
      <c r="AL73" s="8">
        <v>1</v>
      </c>
      <c r="AM73" s="8">
        <v>1</v>
      </c>
      <c r="AN73" s="8">
        <v>1</v>
      </c>
      <c r="AO73" s="8">
        <v>0</v>
      </c>
      <c r="AP73" s="8">
        <v>1</v>
      </c>
      <c r="AQ73" s="8">
        <v>1</v>
      </c>
      <c r="AR73" s="8">
        <v>1</v>
      </c>
      <c r="AS73" s="8">
        <v>1</v>
      </c>
      <c r="AT73" s="8">
        <v>0</v>
      </c>
      <c r="AU73" s="8">
        <v>1</v>
      </c>
      <c r="AV73" s="8">
        <v>0</v>
      </c>
      <c r="AW73" s="8">
        <v>1</v>
      </c>
      <c r="AX73" s="8">
        <v>1</v>
      </c>
      <c r="AY73" s="8">
        <v>0</v>
      </c>
      <c r="AZ73" s="8">
        <v>0</v>
      </c>
      <c r="BA73" s="8">
        <v>1</v>
      </c>
      <c r="BB73" s="8">
        <v>0</v>
      </c>
      <c r="BC73" s="8">
        <v>0</v>
      </c>
      <c r="BD73" s="8">
        <v>0</v>
      </c>
      <c r="BE73" s="8">
        <v>0</v>
      </c>
      <c r="BF73" s="8">
        <v>1</v>
      </c>
      <c r="BG73" s="8">
        <v>1</v>
      </c>
      <c r="BH73" s="8">
        <v>0</v>
      </c>
      <c r="BI73" s="8">
        <v>1</v>
      </c>
      <c r="BJ73" s="8">
        <v>1</v>
      </c>
      <c r="BK73" s="8">
        <v>0</v>
      </c>
      <c r="BL73" s="8">
        <v>0</v>
      </c>
      <c r="BM73" s="8">
        <v>1</v>
      </c>
      <c r="BN73" s="8">
        <v>1</v>
      </c>
      <c r="BO73" s="3">
        <f t="shared" ref="BO73" si="8">SUM(AE73:BN73)</f>
        <v>23</v>
      </c>
      <c r="BP73" s="3"/>
      <c r="BQ73" s="3"/>
      <c r="BR73" s="3"/>
      <c r="BS73" s="3"/>
      <c r="BT73" s="3"/>
      <c r="BU73" s="3"/>
      <c r="BV73" s="3"/>
      <c r="BW73" s="3"/>
      <c r="BX73" s="3"/>
      <c r="BY73" s="3"/>
      <c r="BZ73" s="3"/>
      <c r="CA73" s="3"/>
      <c r="CB73" s="3"/>
      <c r="CC73" s="3"/>
      <c r="CD73" s="3"/>
    </row>
    <row r="74" spans="1:82" ht="15" customHeight="1" x14ac:dyDescent="0.2">
      <c r="A74">
        <v>73</v>
      </c>
      <c r="B74" t="s">
        <v>728</v>
      </c>
      <c r="C74" s="65" t="s">
        <v>140</v>
      </c>
      <c r="D74" s="7" t="s">
        <v>244</v>
      </c>
      <c r="E74" s="7" t="s">
        <v>244</v>
      </c>
      <c r="F74" s="3" t="s">
        <v>328</v>
      </c>
      <c r="G74" s="8" t="s">
        <v>63</v>
      </c>
      <c r="H74" s="8" t="s">
        <v>64</v>
      </c>
      <c r="I74" s="8" t="s">
        <v>64</v>
      </c>
      <c r="J74" s="8">
        <v>1</v>
      </c>
      <c r="K74" s="8">
        <v>0</v>
      </c>
      <c r="L74" s="8">
        <v>1</v>
      </c>
      <c r="M74" s="8" t="s">
        <v>147</v>
      </c>
      <c r="N74" s="9">
        <v>0.03</v>
      </c>
      <c r="O74" s="8">
        <v>1</v>
      </c>
      <c r="P74" s="8">
        <v>0</v>
      </c>
      <c r="Q74" s="8">
        <v>1</v>
      </c>
      <c r="R74" s="8">
        <v>0</v>
      </c>
      <c r="S74" s="8">
        <v>1</v>
      </c>
      <c r="T74" s="8">
        <v>0</v>
      </c>
      <c r="U74" s="8">
        <v>0</v>
      </c>
      <c r="V74" s="8">
        <v>1</v>
      </c>
      <c r="W74" s="8" t="s">
        <v>143</v>
      </c>
      <c r="X74" s="8">
        <v>0</v>
      </c>
      <c r="Y74" s="8">
        <v>0</v>
      </c>
      <c r="Z74" s="8">
        <v>0</v>
      </c>
      <c r="AA74" s="8">
        <v>1</v>
      </c>
      <c r="AB74" s="8">
        <v>1</v>
      </c>
      <c r="AC74" s="8">
        <v>0.5</v>
      </c>
      <c r="AD74" s="8">
        <v>1</v>
      </c>
      <c r="AE74" s="8">
        <v>1</v>
      </c>
      <c r="AF74" s="8">
        <v>1</v>
      </c>
      <c r="AG74" s="8">
        <v>1</v>
      </c>
      <c r="AH74" s="8">
        <v>1</v>
      </c>
      <c r="AI74" s="8">
        <v>1</v>
      </c>
      <c r="AJ74" s="8">
        <v>1</v>
      </c>
      <c r="AK74" s="8">
        <v>0</v>
      </c>
      <c r="AL74" s="8">
        <v>1</v>
      </c>
      <c r="AM74" s="8">
        <v>1</v>
      </c>
      <c r="AN74" s="8">
        <v>1</v>
      </c>
      <c r="AO74" s="8">
        <v>0</v>
      </c>
      <c r="AP74" s="8">
        <v>1</v>
      </c>
      <c r="AQ74" s="8">
        <v>1</v>
      </c>
      <c r="AR74" s="8">
        <v>1</v>
      </c>
      <c r="AS74" s="8">
        <v>1</v>
      </c>
      <c r="AT74" s="8">
        <v>0</v>
      </c>
      <c r="AU74" s="8">
        <v>1</v>
      </c>
      <c r="AV74" s="8">
        <v>0</v>
      </c>
      <c r="AW74" s="8">
        <v>1</v>
      </c>
      <c r="AX74" s="8">
        <v>1</v>
      </c>
      <c r="AY74" s="8">
        <v>0</v>
      </c>
      <c r="AZ74" s="8">
        <v>0</v>
      </c>
      <c r="BA74" s="8">
        <v>1</v>
      </c>
      <c r="BB74" s="8">
        <v>0</v>
      </c>
      <c r="BC74" s="8">
        <v>0</v>
      </c>
      <c r="BD74" s="8">
        <v>0</v>
      </c>
      <c r="BE74" s="8">
        <v>0</v>
      </c>
      <c r="BF74" s="8">
        <v>1</v>
      </c>
      <c r="BG74" s="8">
        <v>1</v>
      </c>
      <c r="BH74" s="8">
        <v>0</v>
      </c>
      <c r="BI74" s="8">
        <v>1</v>
      </c>
      <c r="BJ74" s="8">
        <v>1</v>
      </c>
      <c r="BK74" s="8">
        <v>0</v>
      </c>
      <c r="BL74" s="8">
        <v>0</v>
      </c>
      <c r="BM74" s="8">
        <v>1</v>
      </c>
      <c r="BN74" s="8">
        <v>1</v>
      </c>
      <c r="BO74" s="3">
        <f t="shared" ref="BO74" si="9">SUM(AE74:BN74)</f>
        <v>23</v>
      </c>
      <c r="BP74" s="3"/>
      <c r="BQ74" s="3"/>
      <c r="BR74" s="3"/>
      <c r="BS74" s="3"/>
      <c r="BT74" s="3"/>
      <c r="BU74" s="3"/>
      <c r="BV74" s="3"/>
      <c r="BW74" s="3"/>
      <c r="BX74" s="3"/>
      <c r="BY74" s="3"/>
      <c r="BZ74" s="3"/>
      <c r="CA74" s="3"/>
      <c r="CB74" s="3"/>
      <c r="CC74" s="3"/>
      <c r="CD74" s="3"/>
    </row>
    <row r="75" spans="1:82" ht="15" customHeight="1" x14ac:dyDescent="0.2">
      <c r="A75">
        <v>74</v>
      </c>
      <c r="B75" t="s">
        <v>729</v>
      </c>
      <c r="C75" s="65" t="s">
        <v>148</v>
      </c>
      <c r="D75" s="7" t="s">
        <v>329</v>
      </c>
      <c r="E75" s="7" t="s">
        <v>329</v>
      </c>
      <c r="F75" s="3" t="s">
        <v>330</v>
      </c>
      <c r="G75" s="8" t="s">
        <v>63</v>
      </c>
      <c r="H75" s="8" t="s">
        <v>64</v>
      </c>
      <c r="I75" s="8" t="s">
        <v>52</v>
      </c>
      <c r="J75" s="8">
        <v>0</v>
      </c>
      <c r="K75" s="8">
        <v>0</v>
      </c>
      <c r="L75" s="8">
        <v>0</v>
      </c>
      <c r="M75" s="8" t="s">
        <v>65</v>
      </c>
      <c r="N75" s="9">
        <v>0.1</v>
      </c>
      <c r="O75" s="8">
        <v>0</v>
      </c>
      <c r="P75" s="8">
        <v>0</v>
      </c>
      <c r="Q75" s="8">
        <v>0</v>
      </c>
      <c r="R75" s="8">
        <v>0</v>
      </c>
      <c r="S75" s="8">
        <v>1</v>
      </c>
      <c r="T75" s="8">
        <v>0</v>
      </c>
      <c r="U75" s="8">
        <v>0</v>
      </c>
      <c r="V75" s="8">
        <v>1</v>
      </c>
      <c r="W75" s="8" t="s">
        <v>149</v>
      </c>
      <c r="X75" s="8">
        <v>0</v>
      </c>
      <c r="Y75" s="8">
        <v>0</v>
      </c>
      <c r="Z75" s="8">
        <v>0</v>
      </c>
      <c r="AA75" s="8">
        <v>0</v>
      </c>
      <c r="AB75" s="8">
        <v>0</v>
      </c>
      <c r="AC75" s="8">
        <v>0</v>
      </c>
      <c r="AD75" s="8">
        <v>0</v>
      </c>
      <c r="AE75" s="8">
        <v>1</v>
      </c>
      <c r="AF75" s="8">
        <v>1</v>
      </c>
      <c r="AG75" s="8">
        <v>1</v>
      </c>
      <c r="AH75" s="8">
        <v>1</v>
      </c>
      <c r="AI75" s="8">
        <v>1</v>
      </c>
      <c r="AJ75" s="8">
        <v>1</v>
      </c>
      <c r="AK75" s="8">
        <v>1</v>
      </c>
      <c r="AL75" s="8">
        <v>1</v>
      </c>
      <c r="AM75" s="8">
        <v>1</v>
      </c>
      <c r="AN75" s="8">
        <v>1</v>
      </c>
      <c r="AO75" s="8">
        <v>1</v>
      </c>
      <c r="AP75" s="8">
        <v>0</v>
      </c>
      <c r="AQ75" s="8">
        <v>0</v>
      </c>
      <c r="AR75" s="8">
        <v>0</v>
      </c>
      <c r="AS75" s="8">
        <v>0</v>
      </c>
      <c r="AT75" s="8">
        <v>1</v>
      </c>
      <c r="AU75" s="8">
        <v>0</v>
      </c>
      <c r="AV75" s="8">
        <v>0</v>
      </c>
      <c r="AW75" s="8">
        <v>0</v>
      </c>
      <c r="AX75" s="8">
        <v>1</v>
      </c>
      <c r="AY75" s="8">
        <v>0</v>
      </c>
      <c r="AZ75" s="8">
        <v>0</v>
      </c>
      <c r="BA75" s="8">
        <v>0</v>
      </c>
      <c r="BB75" s="8">
        <v>0</v>
      </c>
      <c r="BC75" s="8">
        <v>0</v>
      </c>
      <c r="BD75" s="8">
        <v>0</v>
      </c>
      <c r="BE75" s="8">
        <v>0</v>
      </c>
      <c r="BF75" s="8">
        <v>0</v>
      </c>
      <c r="BG75" s="8">
        <v>1</v>
      </c>
      <c r="BH75" s="8">
        <v>1</v>
      </c>
      <c r="BI75" s="8">
        <v>1</v>
      </c>
      <c r="BJ75" s="8">
        <v>0</v>
      </c>
      <c r="BK75" s="8">
        <v>1</v>
      </c>
      <c r="BL75" s="8">
        <v>0</v>
      </c>
      <c r="BM75" s="8">
        <v>0</v>
      </c>
      <c r="BN75" s="8">
        <v>0</v>
      </c>
      <c r="BO75" s="3">
        <f t="shared" si="6"/>
        <v>17</v>
      </c>
      <c r="BP75" s="3"/>
      <c r="BQ75" s="3"/>
      <c r="BR75" s="3"/>
      <c r="BS75" s="3"/>
      <c r="BT75" s="3"/>
      <c r="BU75" s="3"/>
      <c r="BV75" s="3"/>
      <c r="BW75" s="3"/>
      <c r="BX75" s="3"/>
      <c r="BY75" s="3"/>
      <c r="BZ75" s="3"/>
      <c r="CA75" s="3"/>
      <c r="CB75" s="3"/>
      <c r="CC75" s="3"/>
      <c r="CD75" s="3"/>
    </row>
    <row r="76" spans="1:82" ht="15" customHeight="1" x14ac:dyDescent="0.2">
      <c r="A76">
        <v>75</v>
      </c>
      <c r="B76" t="s">
        <v>730</v>
      </c>
      <c r="C76" s="65" t="s">
        <v>148</v>
      </c>
      <c r="D76" s="7" t="s">
        <v>284</v>
      </c>
      <c r="E76" s="7" t="s">
        <v>284</v>
      </c>
      <c r="F76" s="3" t="s">
        <v>331</v>
      </c>
      <c r="G76" s="8" t="s">
        <v>63</v>
      </c>
      <c r="H76" s="8" t="s">
        <v>64</v>
      </c>
      <c r="I76" s="8" t="s">
        <v>52</v>
      </c>
      <c r="J76" s="8">
        <v>0</v>
      </c>
      <c r="K76" s="8">
        <v>0</v>
      </c>
      <c r="L76" s="8">
        <v>0</v>
      </c>
      <c r="M76" s="8" t="s">
        <v>65</v>
      </c>
      <c r="N76" s="9">
        <v>0.1</v>
      </c>
      <c r="O76" s="8">
        <v>0</v>
      </c>
      <c r="P76" s="8">
        <v>0</v>
      </c>
      <c r="Q76" s="8">
        <v>0</v>
      </c>
      <c r="R76" s="8">
        <v>0</v>
      </c>
      <c r="S76" s="8">
        <v>1</v>
      </c>
      <c r="T76" s="8">
        <v>0</v>
      </c>
      <c r="U76" s="8">
        <v>0</v>
      </c>
      <c r="V76" s="8">
        <v>1</v>
      </c>
      <c r="W76" s="8" t="s">
        <v>149</v>
      </c>
      <c r="X76" s="8">
        <v>0</v>
      </c>
      <c r="Y76" s="8">
        <v>0</v>
      </c>
      <c r="Z76" s="8">
        <v>0</v>
      </c>
      <c r="AA76" s="8">
        <v>0</v>
      </c>
      <c r="AB76" s="8">
        <v>0</v>
      </c>
      <c r="AC76" s="8">
        <v>0</v>
      </c>
      <c r="AD76" s="8">
        <v>0</v>
      </c>
      <c r="AE76" s="8">
        <v>1</v>
      </c>
      <c r="AF76" s="8">
        <v>1</v>
      </c>
      <c r="AG76" s="8">
        <v>1</v>
      </c>
      <c r="AH76" s="8">
        <v>1</v>
      </c>
      <c r="AI76" s="8">
        <v>1</v>
      </c>
      <c r="AJ76" s="8">
        <v>1</v>
      </c>
      <c r="AK76" s="8">
        <v>1</v>
      </c>
      <c r="AL76" s="8">
        <v>1</v>
      </c>
      <c r="AM76" s="8">
        <v>1</v>
      </c>
      <c r="AN76" s="8">
        <v>1</v>
      </c>
      <c r="AO76" s="8">
        <v>1</v>
      </c>
      <c r="AP76" s="8">
        <v>0</v>
      </c>
      <c r="AQ76" s="8">
        <v>0</v>
      </c>
      <c r="AR76" s="8">
        <v>0</v>
      </c>
      <c r="AS76" s="8">
        <v>0</v>
      </c>
      <c r="AT76" s="8">
        <v>1</v>
      </c>
      <c r="AU76" s="8">
        <v>0</v>
      </c>
      <c r="AV76" s="8">
        <v>0</v>
      </c>
      <c r="AW76" s="8">
        <v>0</v>
      </c>
      <c r="AX76" s="8">
        <v>1</v>
      </c>
      <c r="AY76" s="8">
        <v>0</v>
      </c>
      <c r="AZ76" s="8">
        <v>0</v>
      </c>
      <c r="BA76" s="8">
        <v>0</v>
      </c>
      <c r="BB76" s="8">
        <v>0</v>
      </c>
      <c r="BC76" s="8">
        <v>0</v>
      </c>
      <c r="BD76" s="8">
        <v>0</v>
      </c>
      <c r="BE76" s="8">
        <v>0</v>
      </c>
      <c r="BF76" s="8">
        <v>0</v>
      </c>
      <c r="BG76" s="8">
        <v>1</v>
      </c>
      <c r="BH76" s="8">
        <v>1</v>
      </c>
      <c r="BI76" s="8">
        <v>1</v>
      </c>
      <c r="BJ76" s="8">
        <v>0</v>
      </c>
      <c r="BK76" s="8">
        <v>1</v>
      </c>
      <c r="BL76" s="8">
        <v>0</v>
      </c>
      <c r="BM76" s="8">
        <v>0</v>
      </c>
      <c r="BN76" s="8">
        <v>0</v>
      </c>
      <c r="BO76" s="3">
        <f t="shared" si="6"/>
        <v>17</v>
      </c>
      <c r="BP76" s="3"/>
      <c r="BQ76" s="3"/>
      <c r="BR76" s="3"/>
      <c r="BS76" s="3"/>
      <c r="BT76" s="3"/>
      <c r="BU76" s="3"/>
      <c r="BV76" s="3"/>
      <c r="BW76" s="3"/>
      <c r="BX76" s="3"/>
      <c r="BY76" s="3"/>
      <c r="BZ76" s="3"/>
      <c r="CA76" s="3"/>
      <c r="CB76" s="3"/>
      <c r="CC76" s="3"/>
      <c r="CD76" s="3"/>
    </row>
    <row r="77" spans="1:82" ht="15" customHeight="1" x14ac:dyDescent="0.2">
      <c r="A77">
        <v>76</v>
      </c>
      <c r="B77" t="s">
        <v>729</v>
      </c>
      <c r="C77" s="65" t="s">
        <v>148</v>
      </c>
      <c r="D77" s="7" t="s">
        <v>86</v>
      </c>
      <c r="E77" s="7" t="s">
        <v>86</v>
      </c>
      <c r="F77" s="3" t="s">
        <v>332</v>
      </c>
      <c r="G77" s="8" t="s">
        <v>63</v>
      </c>
      <c r="H77" s="8" t="s">
        <v>64</v>
      </c>
      <c r="I77" s="8" t="s">
        <v>52</v>
      </c>
      <c r="J77" s="8">
        <v>0</v>
      </c>
      <c r="K77" s="8">
        <v>0</v>
      </c>
      <c r="L77" s="8">
        <v>0</v>
      </c>
      <c r="M77" s="8" t="s">
        <v>65</v>
      </c>
      <c r="N77" s="9">
        <v>0.1</v>
      </c>
      <c r="O77" s="8">
        <v>0</v>
      </c>
      <c r="P77" s="8">
        <v>0</v>
      </c>
      <c r="Q77" s="8">
        <v>0</v>
      </c>
      <c r="R77" s="8">
        <v>0</v>
      </c>
      <c r="S77" s="8">
        <v>1</v>
      </c>
      <c r="T77" s="8">
        <v>0</v>
      </c>
      <c r="U77" s="8">
        <v>0</v>
      </c>
      <c r="V77" s="8">
        <v>1</v>
      </c>
      <c r="W77" s="8" t="s">
        <v>149</v>
      </c>
      <c r="X77" s="8">
        <v>0</v>
      </c>
      <c r="Y77" s="8">
        <v>0</v>
      </c>
      <c r="Z77" s="8">
        <v>0</v>
      </c>
      <c r="AA77" s="8">
        <v>0</v>
      </c>
      <c r="AB77" s="8">
        <v>0</v>
      </c>
      <c r="AC77" s="8">
        <v>0</v>
      </c>
      <c r="AD77" s="8">
        <v>0</v>
      </c>
      <c r="AE77" s="8">
        <v>1</v>
      </c>
      <c r="AF77" s="8">
        <v>1</v>
      </c>
      <c r="AG77" s="8">
        <v>1</v>
      </c>
      <c r="AH77" s="8">
        <v>1</v>
      </c>
      <c r="AI77" s="8">
        <v>1</v>
      </c>
      <c r="AJ77" s="8">
        <v>1</v>
      </c>
      <c r="AK77" s="8">
        <v>1</v>
      </c>
      <c r="AL77" s="8">
        <v>1</v>
      </c>
      <c r="AM77" s="8">
        <v>1</v>
      </c>
      <c r="AN77" s="8">
        <v>1</v>
      </c>
      <c r="AO77" s="8">
        <v>1</v>
      </c>
      <c r="AP77" s="8">
        <v>0</v>
      </c>
      <c r="AQ77" s="8">
        <v>0</v>
      </c>
      <c r="AR77" s="8">
        <v>0</v>
      </c>
      <c r="AS77" s="8">
        <v>0</v>
      </c>
      <c r="AT77" s="8">
        <v>1</v>
      </c>
      <c r="AU77" s="8">
        <v>0</v>
      </c>
      <c r="AV77" s="8">
        <v>0</v>
      </c>
      <c r="AW77" s="8">
        <v>0</v>
      </c>
      <c r="AX77" s="8">
        <v>1</v>
      </c>
      <c r="AY77" s="8">
        <v>0</v>
      </c>
      <c r="AZ77" s="8">
        <v>0</v>
      </c>
      <c r="BA77" s="8">
        <v>0</v>
      </c>
      <c r="BB77" s="8">
        <v>0</v>
      </c>
      <c r="BC77" s="8">
        <v>0</v>
      </c>
      <c r="BD77" s="8">
        <v>0</v>
      </c>
      <c r="BE77" s="8">
        <v>0</v>
      </c>
      <c r="BF77" s="8">
        <v>0</v>
      </c>
      <c r="BG77" s="8">
        <v>1</v>
      </c>
      <c r="BH77" s="8">
        <v>1</v>
      </c>
      <c r="BI77" s="8">
        <v>1</v>
      </c>
      <c r="BJ77" s="8">
        <v>0</v>
      </c>
      <c r="BK77" s="8">
        <v>1</v>
      </c>
      <c r="BL77" s="8">
        <v>0</v>
      </c>
      <c r="BM77" s="8">
        <v>0</v>
      </c>
      <c r="BN77" s="8">
        <v>0</v>
      </c>
      <c r="BO77" s="3">
        <f t="shared" si="6"/>
        <v>17</v>
      </c>
      <c r="BP77" s="3"/>
      <c r="BQ77" s="3"/>
      <c r="BR77" s="3"/>
      <c r="BS77" s="3"/>
      <c r="BT77" s="3"/>
      <c r="BU77" s="3"/>
      <c r="BV77" s="3"/>
      <c r="BW77" s="3"/>
      <c r="BX77" s="3"/>
      <c r="BY77" s="3"/>
      <c r="BZ77" s="3"/>
      <c r="CA77" s="3"/>
      <c r="CB77" s="3"/>
      <c r="CC77" s="3"/>
      <c r="CD77" s="3"/>
    </row>
    <row r="78" spans="1:82" ht="15" customHeight="1" x14ac:dyDescent="0.2">
      <c r="A78">
        <v>77</v>
      </c>
      <c r="B78" t="s">
        <v>729</v>
      </c>
      <c r="C78" s="65" t="s">
        <v>148</v>
      </c>
      <c r="D78" s="7" t="s">
        <v>91</v>
      </c>
      <c r="E78" s="7" t="s">
        <v>91</v>
      </c>
      <c r="F78" s="3" t="s">
        <v>332</v>
      </c>
      <c r="G78" s="8" t="s">
        <v>63</v>
      </c>
      <c r="H78" s="8" t="s">
        <v>64</v>
      </c>
      <c r="I78" s="8" t="s">
        <v>52</v>
      </c>
      <c r="J78" s="8">
        <v>0</v>
      </c>
      <c r="K78" s="8">
        <v>1</v>
      </c>
      <c r="L78" s="8">
        <v>0</v>
      </c>
      <c r="M78" s="8" t="s">
        <v>65</v>
      </c>
      <c r="N78" s="9">
        <v>0.1</v>
      </c>
      <c r="O78" s="8">
        <v>0</v>
      </c>
      <c r="P78" s="8">
        <v>0</v>
      </c>
      <c r="Q78" s="8">
        <v>0</v>
      </c>
      <c r="R78" s="8">
        <v>0</v>
      </c>
      <c r="S78" s="8">
        <v>1</v>
      </c>
      <c r="T78" s="8">
        <v>0</v>
      </c>
      <c r="U78" s="8">
        <v>0</v>
      </c>
      <c r="V78" s="8">
        <v>1</v>
      </c>
      <c r="W78" s="8" t="s">
        <v>149</v>
      </c>
      <c r="X78" s="8">
        <v>0</v>
      </c>
      <c r="Y78" s="8">
        <v>0</v>
      </c>
      <c r="Z78" s="8">
        <v>0</v>
      </c>
      <c r="AA78" s="8">
        <v>0</v>
      </c>
      <c r="AB78" s="8">
        <v>0</v>
      </c>
      <c r="AC78" s="8">
        <v>0</v>
      </c>
      <c r="AD78" s="8">
        <v>0</v>
      </c>
      <c r="AE78" s="8">
        <v>1</v>
      </c>
      <c r="AF78" s="8">
        <v>1</v>
      </c>
      <c r="AG78" s="8">
        <v>1</v>
      </c>
      <c r="AH78" s="8">
        <v>1</v>
      </c>
      <c r="AI78" s="8">
        <v>1</v>
      </c>
      <c r="AJ78" s="8">
        <v>1</v>
      </c>
      <c r="AK78" s="8">
        <v>1</v>
      </c>
      <c r="AL78" s="8">
        <v>1</v>
      </c>
      <c r="AM78" s="8">
        <v>1</v>
      </c>
      <c r="AN78" s="8">
        <v>1</v>
      </c>
      <c r="AO78" s="8">
        <v>1</v>
      </c>
      <c r="AP78" s="8">
        <v>0</v>
      </c>
      <c r="AQ78" s="8">
        <v>0</v>
      </c>
      <c r="AR78" s="8">
        <v>0</v>
      </c>
      <c r="AS78" s="8">
        <v>0</v>
      </c>
      <c r="AT78" s="8">
        <v>1</v>
      </c>
      <c r="AU78" s="8">
        <v>0</v>
      </c>
      <c r="AV78" s="8">
        <v>0</v>
      </c>
      <c r="AW78" s="8">
        <v>0</v>
      </c>
      <c r="AX78" s="8">
        <v>1</v>
      </c>
      <c r="AY78" s="8">
        <v>0</v>
      </c>
      <c r="AZ78" s="8">
        <v>0</v>
      </c>
      <c r="BA78" s="8">
        <v>0</v>
      </c>
      <c r="BB78" s="8">
        <v>0</v>
      </c>
      <c r="BC78" s="8">
        <v>0</v>
      </c>
      <c r="BD78" s="8">
        <v>0</v>
      </c>
      <c r="BE78" s="8">
        <v>0</v>
      </c>
      <c r="BF78" s="8">
        <v>0</v>
      </c>
      <c r="BG78" s="8">
        <v>1</v>
      </c>
      <c r="BH78" s="8">
        <v>1</v>
      </c>
      <c r="BI78" s="8">
        <v>1</v>
      </c>
      <c r="BJ78" s="8">
        <v>0</v>
      </c>
      <c r="BK78" s="8">
        <v>1</v>
      </c>
      <c r="BL78" s="8">
        <v>0</v>
      </c>
      <c r="BM78" s="8">
        <v>0</v>
      </c>
      <c r="BN78" s="8">
        <v>0</v>
      </c>
      <c r="BO78" s="3">
        <f t="shared" si="6"/>
        <v>17</v>
      </c>
      <c r="BP78" s="3"/>
      <c r="BQ78" s="3"/>
      <c r="BR78" s="3"/>
      <c r="BS78" s="3"/>
      <c r="BT78" s="3"/>
      <c r="BU78" s="3"/>
      <c r="BV78" s="3"/>
      <c r="BW78" s="3"/>
      <c r="BX78" s="3"/>
      <c r="BY78" s="3"/>
      <c r="BZ78" s="3"/>
      <c r="CA78" s="3"/>
      <c r="CB78" s="3"/>
      <c r="CC78" s="3"/>
      <c r="CD78" s="3"/>
    </row>
    <row r="79" spans="1:82" ht="15" customHeight="1" x14ac:dyDescent="0.2">
      <c r="A79">
        <v>78</v>
      </c>
      <c r="B79" t="s">
        <v>729</v>
      </c>
      <c r="C79" s="65" t="s">
        <v>148</v>
      </c>
      <c r="D79" s="7" t="s">
        <v>73</v>
      </c>
      <c r="E79" s="7" t="s">
        <v>73</v>
      </c>
      <c r="F79" s="3" t="s">
        <v>332</v>
      </c>
      <c r="G79" s="8" t="s">
        <v>63</v>
      </c>
      <c r="H79" s="8" t="s">
        <v>64</v>
      </c>
      <c r="I79" s="8" t="s">
        <v>52</v>
      </c>
      <c r="J79" s="8">
        <v>0</v>
      </c>
      <c r="K79" s="8">
        <v>1</v>
      </c>
      <c r="L79" s="8">
        <v>0</v>
      </c>
      <c r="M79" s="8" t="s">
        <v>65</v>
      </c>
      <c r="N79" s="9">
        <v>0.1</v>
      </c>
      <c r="O79" s="8">
        <v>0</v>
      </c>
      <c r="P79" s="8">
        <v>0</v>
      </c>
      <c r="Q79" s="8">
        <v>0</v>
      </c>
      <c r="R79" s="8">
        <v>0</v>
      </c>
      <c r="S79" s="8">
        <v>1</v>
      </c>
      <c r="T79" s="8">
        <v>0</v>
      </c>
      <c r="U79" s="8">
        <v>0</v>
      </c>
      <c r="V79" s="8">
        <v>1</v>
      </c>
      <c r="W79" s="8" t="s">
        <v>149</v>
      </c>
      <c r="X79" s="8">
        <v>0</v>
      </c>
      <c r="Y79" s="8">
        <v>0</v>
      </c>
      <c r="Z79" s="8">
        <v>0</v>
      </c>
      <c r="AA79" s="8">
        <v>0</v>
      </c>
      <c r="AB79" s="8">
        <v>0</v>
      </c>
      <c r="AC79" s="8">
        <v>0</v>
      </c>
      <c r="AD79" s="8">
        <v>0</v>
      </c>
      <c r="AE79" s="8">
        <v>1</v>
      </c>
      <c r="AF79" s="8">
        <v>1</v>
      </c>
      <c r="AG79" s="8">
        <v>1</v>
      </c>
      <c r="AH79" s="8">
        <v>1</v>
      </c>
      <c r="AI79" s="8">
        <v>1</v>
      </c>
      <c r="AJ79" s="8">
        <v>1</v>
      </c>
      <c r="AK79" s="8">
        <v>1</v>
      </c>
      <c r="AL79" s="8">
        <v>1</v>
      </c>
      <c r="AM79" s="8">
        <v>1</v>
      </c>
      <c r="AN79" s="8">
        <v>1</v>
      </c>
      <c r="AO79" s="8">
        <v>1</v>
      </c>
      <c r="AP79" s="8">
        <v>0</v>
      </c>
      <c r="AQ79" s="8">
        <v>0</v>
      </c>
      <c r="AR79" s="8">
        <v>0</v>
      </c>
      <c r="AS79" s="8">
        <v>0</v>
      </c>
      <c r="AT79" s="8">
        <v>1</v>
      </c>
      <c r="AU79" s="8">
        <v>0</v>
      </c>
      <c r="AV79" s="8">
        <v>0</v>
      </c>
      <c r="AW79" s="8">
        <v>0</v>
      </c>
      <c r="AX79" s="8">
        <v>1</v>
      </c>
      <c r="AY79" s="8">
        <v>0</v>
      </c>
      <c r="AZ79" s="8">
        <v>0</v>
      </c>
      <c r="BA79" s="8">
        <v>0</v>
      </c>
      <c r="BB79" s="8">
        <v>0</v>
      </c>
      <c r="BC79" s="8">
        <v>0</v>
      </c>
      <c r="BD79" s="8">
        <v>0</v>
      </c>
      <c r="BE79" s="8">
        <v>0</v>
      </c>
      <c r="BF79" s="8">
        <v>0</v>
      </c>
      <c r="BG79" s="8">
        <v>1</v>
      </c>
      <c r="BH79" s="8">
        <v>1</v>
      </c>
      <c r="BI79" s="8">
        <v>1</v>
      </c>
      <c r="BJ79" s="8">
        <v>0</v>
      </c>
      <c r="BK79" s="8">
        <v>1</v>
      </c>
      <c r="BL79" s="8">
        <v>0</v>
      </c>
      <c r="BM79" s="8">
        <v>0</v>
      </c>
      <c r="BN79" s="8">
        <v>0</v>
      </c>
      <c r="BO79" s="3">
        <f t="shared" si="6"/>
        <v>17</v>
      </c>
      <c r="BP79" s="3"/>
      <c r="BQ79" s="3"/>
      <c r="BR79" s="3"/>
      <c r="BS79" s="3"/>
      <c r="BT79" s="3"/>
      <c r="BU79" s="3"/>
      <c r="BV79" s="3"/>
      <c r="BW79" s="3"/>
      <c r="BX79" s="3"/>
      <c r="BY79" s="3"/>
      <c r="BZ79" s="3"/>
      <c r="CA79" s="3"/>
      <c r="CB79" s="3"/>
      <c r="CC79" s="3"/>
      <c r="CD79" s="3"/>
    </row>
    <row r="80" spans="1:82" ht="15" customHeight="1" x14ac:dyDescent="0.2">
      <c r="A80">
        <v>79</v>
      </c>
      <c r="B80" t="s">
        <v>729</v>
      </c>
      <c r="C80" s="65" t="s">
        <v>148</v>
      </c>
      <c r="D80" s="7" t="s">
        <v>76</v>
      </c>
      <c r="E80" s="7" t="s">
        <v>76</v>
      </c>
      <c r="F80" s="3" t="s">
        <v>332</v>
      </c>
      <c r="G80" s="8" t="s">
        <v>63</v>
      </c>
      <c r="H80" s="8" t="s">
        <v>64</v>
      </c>
      <c r="I80" s="8" t="s">
        <v>52</v>
      </c>
      <c r="J80" s="8">
        <v>1</v>
      </c>
      <c r="K80" s="8">
        <v>1</v>
      </c>
      <c r="L80" s="8">
        <v>0</v>
      </c>
      <c r="M80" s="8" t="s">
        <v>150</v>
      </c>
      <c r="N80" s="9">
        <v>0.1</v>
      </c>
      <c r="O80" s="8">
        <v>0</v>
      </c>
      <c r="P80" s="8">
        <v>0</v>
      </c>
      <c r="Q80" s="8">
        <v>1</v>
      </c>
      <c r="R80" s="8">
        <v>1</v>
      </c>
      <c r="S80" s="8">
        <v>1</v>
      </c>
      <c r="T80" s="8">
        <v>0</v>
      </c>
      <c r="U80" s="8">
        <v>0</v>
      </c>
      <c r="V80" s="8">
        <v>1</v>
      </c>
      <c r="W80" s="8" t="s">
        <v>149</v>
      </c>
      <c r="X80" s="8">
        <v>0</v>
      </c>
      <c r="Y80" s="8">
        <v>0</v>
      </c>
      <c r="Z80" s="8">
        <v>0</v>
      </c>
      <c r="AA80" s="8">
        <v>0</v>
      </c>
      <c r="AB80" s="8">
        <v>0</v>
      </c>
      <c r="AC80" s="8">
        <v>0</v>
      </c>
      <c r="AD80" s="8">
        <v>0</v>
      </c>
      <c r="AE80" s="8">
        <v>1</v>
      </c>
      <c r="AF80" s="8">
        <v>1</v>
      </c>
      <c r="AG80" s="8">
        <v>1</v>
      </c>
      <c r="AH80" s="8">
        <v>1</v>
      </c>
      <c r="AI80" s="8">
        <v>1</v>
      </c>
      <c r="AJ80" s="8">
        <v>1</v>
      </c>
      <c r="AK80" s="8">
        <v>1</v>
      </c>
      <c r="AL80" s="8">
        <v>1</v>
      </c>
      <c r="AM80" s="8">
        <v>1</v>
      </c>
      <c r="AN80" s="8">
        <v>1</v>
      </c>
      <c r="AO80" s="8">
        <v>1</v>
      </c>
      <c r="AP80" s="8">
        <v>0</v>
      </c>
      <c r="AQ80" s="8">
        <v>1</v>
      </c>
      <c r="AR80" s="8">
        <v>0</v>
      </c>
      <c r="AS80" s="8">
        <v>0</v>
      </c>
      <c r="AT80" s="8">
        <v>1</v>
      </c>
      <c r="AU80" s="8">
        <v>0</v>
      </c>
      <c r="AV80" s="8">
        <v>0</v>
      </c>
      <c r="AW80" s="8">
        <v>0</v>
      </c>
      <c r="AX80" s="8">
        <v>1</v>
      </c>
      <c r="AY80" s="8">
        <v>0</v>
      </c>
      <c r="AZ80" s="8">
        <v>0</v>
      </c>
      <c r="BA80" s="8">
        <v>0</v>
      </c>
      <c r="BB80" s="8">
        <v>0</v>
      </c>
      <c r="BC80" s="8">
        <v>0</v>
      </c>
      <c r="BD80" s="8">
        <v>0</v>
      </c>
      <c r="BE80" s="8">
        <v>0</v>
      </c>
      <c r="BF80" s="8">
        <v>0</v>
      </c>
      <c r="BG80" s="8">
        <v>1</v>
      </c>
      <c r="BH80" s="8">
        <v>1</v>
      </c>
      <c r="BI80" s="8">
        <v>1</v>
      </c>
      <c r="BJ80" s="8">
        <v>0</v>
      </c>
      <c r="BK80" s="8">
        <v>1</v>
      </c>
      <c r="BL80" s="8">
        <v>0</v>
      </c>
      <c r="BM80" s="8">
        <v>0</v>
      </c>
      <c r="BN80" s="8">
        <v>0</v>
      </c>
      <c r="BO80" s="3">
        <f t="shared" si="6"/>
        <v>18</v>
      </c>
      <c r="BP80" s="3"/>
      <c r="BQ80" s="3"/>
      <c r="BR80" s="3"/>
      <c r="BS80" s="3"/>
      <c r="BT80" s="3"/>
      <c r="BU80" s="3"/>
      <c r="BV80" s="3"/>
      <c r="BW80" s="3"/>
      <c r="BX80" s="3"/>
      <c r="BY80" s="3"/>
      <c r="BZ80" s="3"/>
      <c r="CA80" s="3"/>
      <c r="CB80" s="3"/>
      <c r="CC80" s="3"/>
      <c r="CD80" s="3"/>
    </row>
    <row r="81" spans="1:82" ht="15" customHeight="1" x14ac:dyDescent="0.2">
      <c r="A81">
        <v>80</v>
      </c>
      <c r="B81" t="s">
        <v>731</v>
      </c>
      <c r="C81" s="65" t="s">
        <v>148</v>
      </c>
      <c r="D81" s="7" t="s">
        <v>78</v>
      </c>
      <c r="E81" s="7" t="s">
        <v>79</v>
      </c>
      <c r="F81" s="3" t="s">
        <v>333</v>
      </c>
      <c r="G81" s="8" t="s">
        <v>63</v>
      </c>
      <c r="H81" s="8" t="s">
        <v>64</v>
      </c>
      <c r="I81" s="8" t="s">
        <v>52</v>
      </c>
      <c r="J81" s="8">
        <v>0</v>
      </c>
      <c r="K81" s="8">
        <v>1</v>
      </c>
      <c r="L81" s="8">
        <v>0</v>
      </c>
      <c r="M81" s="8" t="s">
        <v>101</v>
      </c>
      <c r="N81" s="9">
        <v>0.01</v>
      </c>
      <c r="O81" s="8">
        <v>1</v>
      </c>
      <c r="P81" s="8">
        <v>0</v>
      </c>
      <c r="Q81" s="8">
        <v>1</v>
      </c>
      <c r="R81" s="8">
        <v>1</v>
      </c>
      <c r="S81" s="8">
        <v>1</v>
      </c>
      <c r="T81" s="8">
        <v>0</v>
      </c>
      <c r="U81" s="8">
        <v>0</v>
      </c>
      <c r="V81" s="8">
        <v>1</v>
      </c>
      <c r="W81" s="8" t="s">
        <v>149</v>
      </c>
      <c r="X81" s="8">
        <v>0</v>
      </c>
      <c r="Y81" s="8">
        <v>0</v>
      </c>
      <c r="Z81" s="8">
        <v>1</v>
      </c>
      <c r="AA81" s="8">
        <v>0</v>
      </c>
      <c r="AB81" s="8">
        <v>0</v>
      </c>
      <c r="AC81" s="8">
        <v>0</v>
      </c>
      <c r="AD81" s="8">
        <v>0</v>
      </c>
      <c r="AE81" s="8">
        <v>1</v>
      </c>
      <c r="AF81" s="8">
        <v>1</v>
      </c>
      <c r="AG81" s="8">
        <v>1</v>
      </c>
      <c r="AH81" s="8">
        <v>1</v>
      </c>
      <c r="AI81" s="8">
        <v>1</v>
      </c>
      <c r="AJ81" s="8">
        <v>0</v>
      </c>
      <c r="AK81" s="8">
        <v>1</v>
      </c>
      <c r="AL81" s="8">
        <v>1</v>
      </c>
      <c r="AM81" s="8">
        <v>1</v>
      </c>
      <c r="AN81" s="8">
        <v>1</v>
      </c>
      <c r="AO81" s="8">
        <v>1</v>
      </c>
      <c r="AP81" s="8">
        <v>0</v>
      </c>
      <c r="AQ81" s="8">
        <v>1</v>
      </c>
      <c r="AR81" s="8">
        <v>1</v>
      </c>
      <c r="AS81" s="8">
        <v>1</v>
      </c>
      <c r="AT81" s="8">
        <v>1</v>
      </c>
      <c r="AU81" s="8">
        <v>0</v>
      </c>
      <c r="AV81" s="8">
        <v>0</v>
      </c>
      <c r="AW81" s="8">
        <v>0</v>
      </c>
      <c r="AX81" s="8">
        <v>1</v>
      </c>
      <c r="AY81" s="8">
        <v>0</v>
      </c>
      <c r="AZ81" s="8">
        <v>0</v>
      </c>
      <c r="BA81" s="8">
        <v>1</v>
      </c>
      <c r="BB81" s="8">
        <v>0</v>
      </c>
      <c r="BC81" s="8">
        <v>1</v>
      </c>
      <c r="BD81" s="8">
        <v>0</v>
      </c>
      <c r="BE81" s="8">
        <v>0</v>
      </c>
      <c r="BF81" s="8">
        <v>0</v>
      </c>
      <c r="BG81" s="8">
        <v>1</v>
      </c>
      <c r="BH81" s="8">
        <v>1</v>
      </c>
      <c r="BI81" s="8">
        <v>1</v>
      </c>
      <c r="BJ81" s="8">
        <v>0</v>
      </c>
      <c r="BK81" s="8">
        <v>1</v>
      </c>
      <c r="BL81" s="8">
        <v>0</v>
      </c>
      <c r="BM81" s="8">
        <v>1</v>
      </c>
      <c r="BN81" s="8">
        <v>0</v>
      </c>
      <c r="BO81" s="3">
        <f t="shared" si="6"/>
        <v>22</v>
      </c>
      <c r="BP81" s="3"/>
      <c r="BQ81" s="3"/>
      <c r="BR81" s="3"/>
      <c r="BS81" s="3"/>
      <c r="BT81" s="3"/>
      <c r="BU81" s="3"/>
      <c r="BV81" s="3"/>
      <c r="BW81" s="3"/>
      <c r="BX81" s="3"/>
      <c r="BY81" s="3"/>
      <c r="BZ81" s="3"/>
      <c r="CA81" s="3"/>
      <c r="CB81" s="3"/>
      <c r="CC81" s="3"/>
      <c r="CD81" s="3"/>
    </row>
    <row r="82" spans="1:82" ht="15" customHeight="1" x14ac:dyDescent="0.2">
      <c r="A82">
        <v>81</v>
      </c>
      <c r="B82" t="s">
        <v>732</v>
      </c>
      <c r="C82" s="65" t="s">
        <v>148</v>
      </c>
      <c r="D82" s="7" t="s">
        <v>80</v>
      </c>
      <c r="E82" s="7" t="s">
        <v>80</v>
      </c>
      <c r="F82" s="3" t="s">
        <v>334</v>
      </c>
      <c r="G82" s="8" t="s">
        <v>63</v>
      </c>
      <c r="H82" s="8" t="s">
        <v>64</v>
      </c>
      <c r="I82" s="8" t="s">
        <v>52</v>
      </c>
      <c r="J82" s="8">
        <v>0</v>
      </c>
      <c r="K82" s="8">
        <v>1</v>
      </c>
      <c r="L82" s="8">
        <v>1</v>
      </c>
      <c r="M82" s="8" t="s">
        <v>101</v>
      </c>
      <c r="N82" s="9">
        <v>0.01</v>
      </c>
      <c r="O82" s="8">
        <v>1</v>
      </c>
      <c r="P82" s="8">
        <v>0</v>
      </c>
      <c r="Q82" s="8">
        <v>1</v>
      </c>
      <c r="R82" s="8">
        <v>1</v>
      </c>
      <c r="S82" s="8">
        <v>1</v>
      </c>
      <c r="T82" s="8">
        <v>0</v>
      </c>
      <c r="U82" s="8">
        <v>0</v>
      </c>
      <c r="V82" s="8">
        <v>1</v>
      </c>
      <c r="W82" s="8" t="s">
        <v>149</v>
      </c>
      <c r="X82" s="8">
        <v>0</v>
      </c>
      <c r="Y82" s="8">
        <v>0</v>
      </c>
      <c r="Z82" s="8">
        <v>1</v>
      </c>
      <c r="AA82" s="8">
        <v>1</v>
      </c>
      <c r="AB82" s="8">
        <v>0</v>
      </c>
      <c r="AC82" s="8">
        <v>0</v>
      </c>
      <c r="AD82" s="8">
        <v>0</v>
      </c>
      <c r="AE82" s="8">
        <v>1</v>
      </c>
      <c r="AF82" s="8">
        <v>1</v>
      </c>
      <c r="AG82" s="8">
        <v>1</v>
      </c>
      <c r="AH82" s="8">
        <v>1</v>
      </c>
      <c r="AI82" s="8">
        <v>1</v>
      </c>
      <c r="AJ82" s="8">
        <v>0</v>
      </c>
      <c r="AK82" s="8">
        <v>1</v>
      </c>
      <c r="AL82" s="8">
        <v>1</v>
      </c>
      <c r="AM82" s="8">
        <v>1</v>
      </c>
      <c r="AN82" s="8">
        <v>1</v>
      </c>
      <c r="AO82" s="8">
        <v>1</v>
      </c>
      <c r="AP82" s="8">
        <v>0</v>
      </c>
      <c r="AQ82" s="8">
        <v>1</v>
      </c>
      <c r="AR82" s="8">
        <v>1</v>
      </c>
      <c r="AS82" s="8">
        <v>1</v>
      </c>
      <c r="AT82" s="8">
        <v>1</v>
      </c>
      <c r="AU82" s="8">
        <v>0</v>
      </c>
      <c r="AV82" s="8">
        <v>0</v>
      </c>
      <c r="AW82" s="8">
        <v>0</v>
      </c>
      <c r="AX82" s="8">
        <v>1</v>
      </c>
      <c r="AY82" s="8">
        <v>0</v>
      </c>
      <c r="AZ82" s="8">
        <v>0</v>
      </c>
      <c r="BA82" s="8">
        <v>1</v>
      </c>
      <c r="BB82" s="8">
        <v>0</v>
      </c>
      <c r="BC82" s="8">
        <v>1</v>
      </c>
      <c r="BD82" s="8">
        <v>0</v>
      </c>
      <c r="BE82" s="8">
        <v>0</v>
      </c>
      <c r="BF82" s="8">
        <v>0</v>
      </c>
      <c r="BG82" s="8">
        <v>1</v>
      </c>
      <c r="BH82" s="8">
        <v>1</v>
      </c>
      <c r="BI82" s="8">
        <v>1</v>
      </c>
      <c r="BJ82" s="8">
        <v>0</v>
      </c>
      <c r="BK82" s="8">
        <v>1</v>
      </c>
      <c r="BL82" s="8">
        <v>0</v>
      </c>
      <c r="BM82" s="8">
        <v>1</v>
      </c>
      <c r="BN82" s="8">
        <v>0</v>
      </c>
      <c r="BO82" s="3">
        <f t="shared" si="6"/>
        <v>22</v>
      </c>
      <c r="BP82" s="3"/>
      <c r="BQ82" s="3"/>
      <c r="BR82" s="3"/>
      <c r="BS82" s="3"/>
      <c r="BT82" s="3"/>
      <c r="BU82" s="3"/>
      <c r="BV82" s="3"/>
      <c r="BW82" s="3"/>
      <c r="BX82" s="3"/>
      <c r="BY82" s="3"/>
      <c r="BZ82" s="3"/>
      <c r="CA82" s="3"/>
      <c r="CB82" s="3"/>
      <c r="CC82" s="3"/>
      <c r="CD82" s="3"/>
    </row>
    <row r="83" spans="1:82" ht="15" customHeight="1" x14ac:dyDescent="0.2">
      <c r="A83">
        <v>82</v>
      </c>
      <c r="B83" t="s">
        <v>733</v>
      </c>
      <c r="C83" s="65" t="s">
        <v>148</v>
      </c>
      <c r="D83" s="7" t="s">
        <v>244</v>
      </c>
      <c r="E83" s="7" t="s">
        <v>244</v>
      </c>
      <c r="F83" s="3" t="s">
        <v>335</v>
      </c>
      <c r="G83" s="8" t="s">
        <v>336</v>
      </c>
      <c r="H83" s="8" t="s">
        <v>64</v>
      </c>
      <c r="I83" s="8" t="s">
        <v>52</v>
      </c>
      <c r="J83" s="8">
        <v>0</v>
      </c>
      <c r="K83" s="8">
        <v>1</v>
      </c>
      <c r="L83" s="8">
        <v>1</v>
      </c>
      <c r="M83" s="8" t="s">
        <v>101</v>
      </c>
      <c r="N83" s="9">
        <v>0.01</v>
      </c>
      <c r="O83" s="8">
        <v>1</v>
      </c>
      <c r="P83" s="8">
        <v>0</v>
      </c>
      <c r="Q83" s="8">
        <v>1</v>
      </c>
      <c r="R83" s="8">
        <v>1</v>
      </c>
      <c r="S83" s="8">
        <v>1</v>
      </c>
      <c r="T83" s="8">
        <v>0</v>
      </c>
      <c r="U83" s="8">
        <v>0</v>
      </c>
      <c r="V83" s="8">
        <v>1</v>
      </c>
      <c r="W83" s="8" t="s">
        <v>149</v>
      </c>
      <c r="X83" s="8">
        <v>0</v>
      </c>
      <c r="Y83" s="8">
        <v>0</v>
      </c>
      <c r="Z83" s="8">
        <v>1</v>
      </c>
      <c r="AA83" s="8">
        <v>1</v>
      </c>
      <c r="AB83" s="8">
        <v>0</v>
      </c>
      <c r="AC83" s="8">
        <v>0</v>
      </c>
      <c r="AD83" s="8">
        <v>0</v>
      </c>
      <c r="AE83" s="8">
        <v>1</v>
      </c>
      <c r="AF83" s="8">
        <v>1</v>
      </c>
      <c r="AG83" s="8">
        <v>1</v>
      </c>
      <c r="AH83" s="8">
        <v>1</v>
      </c>
      <c r="AI83" s="8">
        <v>1</v>
      </c>
      <c r="AJ83" s="8">
        <v>0</v>
      </c>
      <c r="AK83" s="8">
        <v>1</v>
      </c>
      <c r="AL83" s="8">
        <v>1</v>
      </c>
      <c r="AM83" s="8">
        <v>1</v>
      </c>
      <c r="AN83" s="8">
        <v>1</v>
      </c>
      <c r="AO83" s="8">
        <v>1</v>
      </c>
      <c r="AP83" s="8">
        <v>0</v>
      </c>
      <c r="AQ83" s="8">
        <v>1</v>
      </c>
      <c r="AR83" s="8">
        <v>1</v>
      </c>
      <c r="AS83" s="8">
        <v>1</v>
      </c>
      <c r="AT83" s="8">
        <v>1</v>
      </c>
      <c r="AU83" s="8">
        <v>0</v>
      </c>
      <c r="AV83" s="8">
        <v>0</v>
      </c>
      <c r="AW83" s="8">
        <v>0</v>
      </c>
      <c r="AX83" s="8">
        <v>1</v>
      </c>
      <c r="AY83" s="8">
        <v>0</v>
      </c>
      <c r="AZ83" s="8">
        <v>0</v>
      </c>
      <c r="BA83" s="8">
        <v>1</v>
      </c>
      <c r="BB83" s="8">
        <v>0</v>
      </c>
      <c r="BC83" s="8">
        <v>1</v>
      </c>
      <c r="BD83" s="8">
        <v>0</v>
      </c>
      <c r="BE83" s="8">
        <v>0</v>
      </c>
      <c r="BF83" s="8">
        <v>0</v>
      </c>
      <c r="BG83" s="8">
        <v>1</v>
      </c>
      <c r="BH83" s="8">
        <v>1</v>
      </c>
      <c r="BI83" s="8">
        <v>1</v>
      </c>
      <c r="BJ83" s="8">
        <v>0</v>
      </c>
      <c r="BK83" s="8">
        <v>1</v>
      </c>
      <c r="BL83" s="8">
        <v>0</v>
      </c>
      <c r="BM83" s="8">
        <v>1</v>
      </c>
      <c r="BN83" s="8">
        <v>0</v>
      </c>
      <c r="BO83" s="3">
        <f t="shared" si="6"/>
        <v>22</v>
      </c>
      <c r="BP83" s="3"/>
      <c r="BQ83" s="3"/>
      <c r="BR83" s="3"/>
      <c r="BS83" s="3"/>
      <c r="BT83" s="3"/>
      <c r="BU83" s="3"/>
      <c r="BV83" s="3"/>
      <c r="BW83" s="3"/>
      <c r="BX83" s="3"/>
      <c r="BY83" s="3"/>
      <c r="BZ83" s="3"/>
      <c r="CA83" s="3"/>
      <c r="CB83" s="3"/>
      <c r="CC83" s="3"/>
      <c r="CD83" s="3"/>
    </row>
    <row r="84" spans="1:82" ht="15" customHeight="1" x14ac:dyDescent="0.2">
      <c r="A84">
        <v>83</v>
      </c>
      <c r="B84" t="s">
        <v>734</v>
      </c>
      <c r="C84" s="65" t="s">
        <v>152</v>
      </c>
      <c r="D84" s="7" t="s">
        <v>76</v>
      </c>
      <c r="E84" s="7" t="s">
        <v>76</v>
      </c>
      <c r="F84" s="3" t="s">
        <v>337</v>
      </c>
      <c r="G84" s="8" t="s">
        <v>63</v>
      </c>
      <c r="H84" s="8" t="s">
        <v>64</v>
      </c>
      <c r="I84" s="8" t="s">
        <v>64</v>
      </c>
      <c r="J84" s="8">
        <v>0</v>
      </c>
      <c r="K84" s="8">
        <v>0</v>
      </c>
      <c r="L84" s="8">
        <v>0</v>
      </c>
      <c r="M84" s="8" t="s">
        <v>101</v>
      </c>
      <c r="N84" s="9">
        <v>0.1</v>
      </c>
      <c r="O84" s="8">
        <v>1</v>
      </c>
      <c r="P84" s="8">
        <v>0</v>
      </c>
      <c r="Q84" s="8">
        <v>1</v>
      </c>
      <c r="R84" s="8">
        <v>0</v>
      </c>
      <c r="S84" s="8">
        <v>1</v>
      </c>
      <c r="T84" s="8">
        <v>0</v>
      </c>
      <c r="U84" s="8">
        <v>0</v>
      </c>
      <c r="V84" s="8">
        <v>1</v>
      </c>
      <c r="W84" s="8" t="s">
        <v>153</v>
      </c>
      <c r="X84" s="8">
        <v>0</v>
      </c>
      <c r="Y84" s="8">
        <v>0</v>
      </c>
      <c r="Z84" s="8">
        <v>0</v>
      </c>
      <c r="AA84" s="8">
        <v>0</v>
      </c>
      <c r="AB84" s="8">
        <v>0</v>
      </c>
      <c r="AC84" s="8">
        <v>1</v>
      </c>
      <c r="AD84" s="8">
        <v>0</v>
      </c>
      <c r="AE84" s="8">
        <v>0</v>
      </c>
      <c r="AF84" s="8">
        <v>1</v>
      </c>
      <c r="AG84" s="8">
        <v>0</v>
      </c>
      <c r="AH84" s="8">
        <v>0</v>
      </c>
      <c r="AI84" s="8">
        <v>1</v>
      </c>
      <c r="AJ84" s="8">
        <v>1</v>
      </c>
      <c r="AK84" s="8">
        <v>0</v>
      </c>
      <c r="AL84" s="8">
        <v>1</v>
      </c>
      <c r="AM84" s="8">
        <v>0</v>
      </c>
      <c r="AN84" s="8">
        <v>1</v>
      </c>
      <c r="AO84" s="8">
        <v>0</v>
      </c>
      <c r="AP84" s="8">
        <v>0</v>
      </c>
      <c r="AQ84" s="8">
        <v>0</v>
      </c>
      <c r="AR84" s="8">
        <v>0</v>
      </c>
      <c r="AS84" s="8">
        <v>0</v>
      </c>
      <c r="AT84" s="8">
        <v>0</v>
      </c>
      <c r="AU84" s="8">
        <v>0</v>
      </c>
      <c r="AV84" s="8">
        <v>0</v>
      </c>
      <c r="AW84" s="8">
        <v>0</v>
      </c>
      <c r="AX84" s="8">
        <v>0</v>
      </c>
      <c r="AY84" s="8">
        <v>0</v>
      </c>
      <c r="AZ84" s="8">
        <v>0</v>
      </c>
      <c r="BA84" s="8">
        <v>0</v>
      </c>
      <c r="BB84" s="8">
        <v>0</v>
      </c>
      <c r="BC84" s="8">
        <v>0</v>
      </c>
      <c r="BD84" s="8">
        <v>0</v>
      </c>
      <c r="BE84" s="8">
        <v>0</v>
      </c>
      <c r="BF84" s="8">
        <v>0</v>
      </c>
      <c r="BG84" s="8">
        <v>0</v>
      </c>
      <c r="BH84" s="8">
        <v>1</v>
      </c>
      <c r="BI84" s="8">
        <v>0</v>
      </c>
      <c r="BJ84" s="8">
        <v>0</v>
      </c>
      <c r="BK84" s="8">
        <v>0</v>
      </c>
      <c r="BL84" s="8">
        <v>0</v>
      </c>
      <c r="BM84" s="8">
        <v>0</v>
      </c>
      <c r="BN84" s="8">
        <v>0</v>
      </c>
      <c r="BO84" s="3">
        <f t="shared" si="6"/>
        <v>6</v>
      </c>
      <c r="BP84" s="3"/>
      <c r="BQ84" s="3"/>
      <c r="BR84" s="3"/>
      <c r="BS84" s="3"/>
      <c r="BT84" s="3"/>
      <c r="BU84" s="3"/>
      <c r="BV84" s="3"/>
      <c r="BW84" s="3"/>
      <c r="BX84" s="3"/>
      <c r="BY84" s="3"/>
      <c r="BZ84" s="3"/>
      <c r="CA84" s="3"/>
      <c r="CB84" s="3"/>
      <c r="CC84" s="3"/>
      <c r="CD84" s="3"/>
    </row>
    <row r="85" spans="1:82" ht="15" customHeight="1" x14ac:dyDescent="0.2">
      <c r="A85">
        <v>84</v>
      </c>
      <c r="B85" t="s">
        <v>735</v>
      </c>
      <c r="C85" s="65" t="s">
        <v>154</v>
      </c>
      <c r="D85" s="7" t="s">
        <v>91</v>
      </c>
      <c r="E85" s="7" t="s">
        <v>91</v>
      </c>
      <c r="F85" s="3" t="s">
        <v>338</v>
      </c>
      <c r="G85" s="8" t="s">
        <v>63</v>
      </c>
      <c r="H85" s="8" t="s">
        <v>151</v>
      </c>
      <c r="I85" s="8" t="s">
        <v>151</v>
      </c>
      <c r="J85" s="8">
        <v>0</v>
      </c>
      <c r="K85" s="8">
        <v>0</v>
      </c>
      <c r="L85" s="8">
        <v>1</v>
      </c>
      <c r="M85" s="8" t="s">
        <v>146</v>
      </c>
      <c r="N85" s="9">
        <v>0.05</v>
      </c>
      <c r="O85" s="8">
        <v>1</v>
      </c>
      <c r="P85" s="8">
        <v>0</v>
      </c>
      <c r="Q85" s="8">
        <v>1</v>
      </c>
      <c r="R85" s="8">
        <v>0</v>
      </c>
      <c r="S85" s="8">
        <v>1</v>
      </c>
      <c r="T85" s="8">
        <v>0</v>
      </c>
      <c r="U85" s="8">
        <v>0</v>
      </c>
      <c r="V85" s="8">
        <v>1</v>
      </c>
      <c r="W85" s="8" t="s">
        <v>155</v>
      </c>
      <c r="X85" s="8">
        <v>0</v>
      </c>
      <c r="Y85" s="8">
        <v>0</v>
      </c>
      <c r="Z85" s="8">
        <v>1</v>
      </c>
      <c r="AA85" s="8">
        <v>1</v>
      </c>
      <c r="AB85" s="8">
        <v>0</v>
      </c>
      <c r="AC85" s="8">
        <v>1</v>
      </c>
      <c r="AD85" s="8">
        <v>0</v>
      </c>
      <c r="AE85" s="8">
        <v>1</v>
      </c>
      <c r="AF85" s="8">
        <v>1</v>
      </c>
      <c r="AG85" s="8">
        <v>1</v>
      </c>
      <c r="AH85" s="8">
        <v>1</v>
      </c>
      <c r="AI85" s="8">
        <v>1</v>
      </c>
      <c r="AJ85" s="8">
        <v>0</v>
      </c>
      <c r="AK85" s="8">
        <v>0</v>
      </c>
      <c r="AL85" s="8">
        <v>0</v>
      </c>
      <c r="AM85" s="8">
        <v>0</v>
      </c>
      <c r="AN85" s="8">
        <v>0</v>
      </c>
      <c r="AO85" s="8">
        <v>0</v>
      </c>
      <c r="AP85" s="8">
        <v>0</v>
      </c>
      <c r="AQ85" s="8">
        <v>0</v>
      </c>
      <c r="AR85" s="8">
        <v>0</v>
      </c>
      <c r="AS85" s="8">
        <v>0</v>
      </c>
      <c r="AT85" s="8">
        <v>0</v>
      </c>
      <c r="AU85" s="8">
        <v>0</v>
      </c>
      <c r="AV85" s="8">
        <v>0</v>
      </c>
      <c r="AW85" s="8">
        <v>0</v>
      </c>
      <c r="AX85" s="8">
        <v>0</v>
      </c>
      <c r="AY85" s="8">
        <v>0</v>
      </c>
      <c r="AZ85" s="8">
        <v>0</v>
      </c>
      <c r="BA85" s="8">
        <v>0</v>
      </c>
      <c r="BB85" s="8">
        <v>0</v>
      </c>
      <c r="BC85" s="8">
        <v>0</v>
      </c>
      <c r="BD85" s="8">
        <v>0</v>
      </c>
      <c r="BE85" s="8">
        <v>0</v>
      </c>
      <c r="BF85" s="8">
        <v>0</v>
      </c>
      <c r="BG85" s="8">
        <v>0</v>
      </c>
      <c r="BH85" s="8">
        <v>1</v>
      </c>
      <c r="BI85" s="8">
        <v>1</v>
      </c>
      <c r="BJ85" s="8">
        <v>1</v>
      </c>
      <c r="BK85" s="8">
        <v>0</v>
      </c>
      <c r="BL85" s="8">
        <v>0</v>
      </c>
      <c r="BM85" s="8">
        <v>0</v>
      </c>
      <c r="BN85" s="8">
        <v>0</v>
      </c>
      <c r="BO85" s="3">
        <f t="shared" si="6"/>
        <v>8</v>
      </c>
      <c r="BP85" s="3"/>
      <c r="BQ85" s="3"/>
      <c r="BR85" s="3"/>
      <c r="BS85" s="3"/>
      <c r="BT85" s="3"/>
      <c r="BU85" s="3"/>
      <c r="BV85" s="3"/>
      <c r="BW85" s="3"/>
      <c r="BX85" s="3"/>
      <c r="BY85" s="3"/>
      <c r="BZ85" s="3"/>
      <c r="CA85" s="3"/>
      <c r="CB85" s="3"/>
      <c r="CC85" s="3"/>
      <c r="CD85" s="3"/>
    </row>
    <row r="86" spans="1:82" ht="15" customHeight="1" x14ac:dyDescent="0.2">
      <c r="A86">
        <v>85</v>
      </c>
      <c r="B86" t="s">
        <v>736</v>
      </c>
      <c r="C86" s="65" t="s">
        <v>154</v>
      </c>
      <c r="D86" s="7" t="s">
        <v>73</v>
      </c>
      <c r="E86" s="7" t="s">
        <v>73</v>
      </c>
      <c r="F86" s="3" t="s">
        <v>339</v>
      </c>
      <c r="G86" s="8" t="s">
        <v>63</v>
      </c>
      <c r="H86" s="8" t="s">
        <v>151</v>
      </c>
      <c r="I86" s="8" t="s">
        <v>151</v>
      </c>
      <c r="J86" s="8">
        <v>1</v>
      </c>
      <c r="K86" s="8">
        <v>0</v>
      </c>
      <c r="L86" s="8">
        <v>1</v>
      </c>
      <c r="M86" s="8" t="s">
        <v>58</v>
      </c>
      <c r="N86" s="9">
        <v>0.05</v>
      </c>
      <c r="O86" s="8">
        <v>1</v>
      </c>
      <c r="P86" s="8">
        <v>0</v>
      </c>
      <c r="Q86" s="8">
        <v>1</v>
      </c>
      <c r="R86" s="8">
        <v>0</v>
      </c>
      <c r="S86" s="8">
        <v>1</v>
      </c>
      <c r="T86" s="8">
        <v>0</v>
      </c>
      <c r="U86" s="8">
        <v>0</v>
      </c>
      <c r="V86" s="8">
        <v>1</v>
      </c>
      <c r="W86" s="8" t="s">
        <v>155</v>
      </c>
      <c r="X86" s="8">
        <v>0</v>
      </c>
      <c r="Y86" s="8">
        <v>0</v>
      </c>
      <c r="Z86" s="8">
        <v>1</v>
      </c>
      <c r="AA86" s="8">
        <v>1</v>
      </c>
      <c r="AB86" s="8">
        <v>0</v>
      </c>
      <c r="AC86" s="8">
        <v>0</v>
      </c>
      <c r="AD86" s="8">
        <v>0</v>
      </c>
      <c r="AE86" s="8">
        <v>1</v>
      </c>
      <c r="AF86" s="8">
        <v>1</v>
      </c>
      <c r="AG86" s="8">
        <v>1</v>
      </c>
      <c r="AH86" s="8">
        <v>1</v>
      </c>
      <c r="AI86" s="8">
        <v>1</v>
      </c>
      <c r="AJ86" s="8">
        <v>0</v>
      </c>
      <c r="AK86" s="8">
        <v>0</v>
      </c>
      <c r="AL86" s="8">
        <v>0</v>
      </c>
      <c r="AM86" s="8">
        <v>1</v>
      </c>
      <c r="AN86" s="8">
        <v>0</v>
      </c>
      <c r="AO86" s="8">
        <v>0</v>
      </c>
      <c r="AP86" s="8">
        <v>0</v>
      </c>
      <c r="AQ86" s="8">
        <v>0</v>
      </c>
      <c r="AR86" s="8">
        <v>0</v>
      </c>
      <c r="AS86" s="8">
        <v>0</v>
      </c>
      <c r="AT86" s="8">
        <v>0</v>
      </c>
      <c r="AU86" s="8">
        <v>0</v>
      </c>
      <c r="AV86" s="8">
        <v>0</v>
      </c>
      <c r="AW86" s="8">
        <v>0</v>
      </c>
      <c r="AX86" s="8">
        <v>1</v>
      </c>
      <c r="AY86" s="8">
        <v>0</v>
      </c>
      <c r="AZ86" s="8">
        <v>0</v>
      </c>
      <c r="BA86" s="8">
        <v>0</v>
      </c>
      <c r="BB86" s="8">
        <v>0</v>
      </c>
      <c r="BC86" s="8">
        <v>0</v>
      </c>
      <c r="BD86" s="8">
        <v>0</v>
      </c>
      <c r="BE86" s="8">
        <v>0</v>
      </c>
      <c r="BF86" s="8">
        <v>0</v>
      </c>
      <c r="BG86" s="8">
        <v>0</v>
      </c>
      <c r="BH86" s="8">
        <v>1</v>
      </c>
      <c r="BI86" s="8">
        <v>1</v>
      </c>
      <c r="BJ86" s="8">
        <v>1</v>
      </c>
      <c r="BK86" s="8">
        <v>0</v>
      </c>
      <c r="BL86" s="8">
        <v>0</v>
      </c>
      <c r="BM86" s="8">
        <v>0</v>
      </c>
      <c r="BN86" s="8">
        <v>0</v>
      </c>
      <c r="BO86" s="3">
        <f t="shared" si="6"/>
        <v>10</v>
      </c>
      <c r="BP86" s="3"/>
      <c r="BQ86" s="3"/>
      <c r="BR86" s="3"/>
      <c r="BS86" s="3"/>
      <c r="BT86" s="3"/>
      <c r="BU86" s="3"/>
      <c r="BV86" s="3"/>
      <c r="BW86" s="3"/>
      <c r="BX86" s="3"/>
      <c r="BY86" s="3"/>
      <c r="BZ86" s="3"/>
      <c r="CA86" s="3"/>
      <c r="CB86" s="3"/>
      <c r="CC86" s="3"/>
      <c r="CD86" s="3"/>
    </row>
    <row r="87" spans="1:82" ht="15" customHeight="1" x14ac:dyDescent="0.2">
      <c r="A87">
        <v>86</v>
      </c>
      <c r="B87" t="s">
        <v>736</v>
      </c>
      <c r="C87" s="65" t="s">
        <v>154</v>
      </c>
      <c r="D87" s="7" t="s">
        <v>77</v>
      </c>
      <c r="E87" s="7" t="s">
        <v>77</v>
      </c>
      <c r="F87" s="3" t="s">
        <v>340</v>
      </c>
      <c r="G87" s="8" t="s">
        <v>63</v>
      </c>
      <c r="H87" s="8" t="s">
        <v>151</v>
      </c>
      <c r="I87" s="8" t="s">
        <v>151</v>
      </c>
      <c r="J87" s="8">
        <v>1</v>
      </c>
      <c r="K87" s="8">
        <v>0</v>
      </c>
      <c r="L87" s="8">
        <v>1</v>
      </c>
      <c r="M87" s="8" t="s">
        <v>142</v>
      </c>
      <c r="N87" s="9">
        <v>0.25</v>
      </c>
      <c r="O87" s="8">
        <v>1</v>
      </c>
      <c r="P87" s="8">
        <v>0</v>
      </c>
      <c r="Q87" s="8">
        <v>1</v>
      </c>
      <c r="R87" s="8">
        <v>0</v>
      </c>
      <c r="S87" s="8">
        <v>1</v>
      </c>
      <c r="T87" s="8">
        <v>0</v>
      </c>
      <c r="U87" s="8">
        <v>0</v>
      </c>
      <c r="V87" s="8">
        <v>1</v>
      </c>
      <c r="W87" s="8" t="s">
        <v>155</v>
      </c>
      <c r="X87" s="8">
        <v>0</v>
      </c>
      <c r="Y87" s="8">
        <v>0</v>
      </c>
      <c r="Z87" s="8">
        <v>1</v>
      </c>
      <c r="AA87" s="8">
        <v>1</v>
      </c>
      <c r="AB87" s="8">
        <v>0</v>
      </c>
      <c r="AC87" s="8">
        <v>0.5</v>
      </c>
      <c r="AD87" s="8">
        <v>0</v>
      </c>
      <c r="AE87" s="8">
        <v>1</v>
      </c>
      <c r="AF87" s="8">
        <v>1</v>
      </c>
      <c r="AG87" s="8">
        <v>1</v>
      </c>
      <c r="AH87" s="8">
        <v>1</v>
      </c>
      <c r="AI87" s="8">
        <v>1</v>
      </c>
      <c r="AJ87" s="8">
        <v>0</v>
      </c>
      <c r="AK87" s="8">
        <v>0</v>
      </c>
      <c r="AL87" s="8">
        <v>0</v>
      </c>
      <c r="AM87" s="8">
        <v>1</v>
      </c>
      <c r="AN87" s="8">
        <v>1</v>
      </c>
      <c r="AO87" s="8">
        <v>0</v>
      </c>
      <c r="AP87" s="8">
        <v>0</v>
      </c>
      <c r="AQ87" s="8">
        <v>0</v>
      </c>
      <c r="AR87" s="8">
        <v>0</v>
      </c>
      <c r="AS87" s="8">
        <v>0</v>
      </c>
      <c r="AT87" s="8">
        <v>1</v>
      </c>
      <c r="AU87" s="8">
        <v>0</v>
      </c>
      <c r="AV87" s="8">
        <v>1</v>
      </c>
      <c r="AW87" s="8">
        <v>0</v>
      </c>
      <c r="AX87" s="8">
        <v>1</v>
      </c>
      <c r="AY87" s="8">
        <v>0</v>
      </c>
      <c r="AZ87" s="8">
        <v>0</v>
      </c>
      <c r="BA87" s="8">
        <v>0</v>
      </c>
      <c r="BB87" s="8">
        <v>0</v>
      </c>
      <c r="BC87" s="8">
        <v>0</v>
      </c>
      <c r="BD87" s="8">
        <v>0</v>
      </c>
      <c r="BE87" s="8">
        <v>0</v>
      </c>
      <c r="BF87" s="8">
        <v>0</v>
      </c>
      <c r="BG87" s="8">
        <v>0</v>
      </c>
      <c r="BH87" s="8">
        <v>1</v>
      </c>
      <c r="BI87" s="8">
        <v>1</v>
      </c>
      <c r="BJ87" s="8">
        <v>1</v>
      </c>
      <c r="BK87" s="8">
        <v>0</v>
      </c>
      <c r="BL87" s="8">
        <v>0</v>
      </c>
      <c r="BM87" s="8">
        <v>0</v>
      </c>
      <c r="BN87" s="8">
        <v>0</v>
      </c>
      <c r="BO87" s="3">
        <f t="shared" si="6"/>
        <v>13</v>
      </c>
      <c r="BP87" s="3"/>
      <c r="BQ87" s="3"/>
      <c r="BR87" s="3"/>
      <c r="BS87" s="3"/>
      <c r="BT87" s="3"/>
      <c r="BU87" s="3"/>
      <c r="BV87" s="3"/>
      <c r="BW87" s="3"/>
      <c r="BX87" s="3"/>
      <c r="BY87" s="3"/>
      <c r="BZ87" s="3"/>
      <c r="CA87" s="3"/>
      <c r="CB87" s="3"/>
      <c r="CC87" s="3"/>
      <c r="CD87" s="3"/>
    </row>
    <row r="88" spans="1:82" s="33" customFormat="1" ht="15" customHeight="1" x14ac:dyDescent="0.2">
      <c r="A88">
        <v>87</v>
      </c>
      <c r="B88" t="s">
        <v>737</v>
      </c>
      <c r="C88" s="66" t="s">
        <v>156</v>
      </c>
      <c r="D88" s="22" t="s">
        <v>251</v>
      </c>
      <c r="E88" s="22" t="s">
        <v>251</v>
      </c>
      <c r="F88" s="21" t="s">
        <v>341</v>
      </c>
      <c r="G88" s="23" t="s">
        <v>63</v>
      </c>
      <c r="H88" s="23" t="s">
        <v>64</v>
      </c>
      <c r="I88" s="23" t="s">
        <v>64</v>
      </c>
      <c r="J88" s="23">
        <v>0</v>
      </c>
      <c r="K88" s="23">
        <v>0</v>
      </c>
      <c r="L88" s="23">
        <v>0</v>
      </c>
      <c r="M88" s="23" t="s">
        <v>60</v>
      </c>
      <c r="N88" s="25">
        <v>0.25</v>
      </c>
      <c r="O88" s="23">
        <v>0</v>
      </c>
      <c r="P88" s="23">
        <v>0</v>
      </c>
      <c r="Q88" s="23">
        <v>1</v>
      </c>
      <c r="R88" s="23">
        <v>1</v>
      </c>
      <c r="S88" s="23">
        <v>1</v>
      </c>
      <c r="T88" s="23">
        <v>0</v>
      </c>
      <c r="U88" s="23">
        <v>0</v>
      </c>
      <c r="V88" s="23">
        <v>0</v>
      </c>
      <c r="W88" s="23" t="s">
        <v>157</v>
      </c>
      <c r="X88" s="23">
        <v>0</v>
      </c>
      <c r="Y88" s="23">
        <v>0</v>
      </c>
      <c r="Z88" s="23">
        <v>0</v>
      </c>
      <c r="AA88" s="23">
        <v>0</v>
      </c>
      <c r="AB88" s="23">
        <v>1</v>
      </c>
      <c r="AC88" s="23">
        <v>1</v>
      </c>
      <c r="AD88" s="23">
        <v>0</v>
      </c>
      <c r="AE88" s="23">
        <v>1</v>
      </c>
      <c r="AF88" s="23">
        <v>1</v>
      </c>
      <c r="AG88" s="23">
        <v>1</v>
      </c>
      <c r="AH88" s="23">
        <v>1</v>
      </c>
      <c r="AI88" s="23">
        <v>1</v>
      </c>
      <c r="AJ88" s="23">
        <v>1</v>
      </c>
      <c r="AK88" s="23">
        <v>0</v>
      </c>
      <c r="AL88" s="23">
        <v>1</v>
      </c>
      <c r="AM88" s="23">
        <v>1</v>
      </c>
      <c r="AN88" s="23">
        <v>1</v>
      </c>
      <c r="AO88" s="23">
        <v>0</v>
      </c>
      <c r="AP88" s="23">
        <v>1</v>
      </c>
      <c r="AQ88" s="23">
        <v>1</v>
      </c>
      <c r="AR88" s="23">
        <v>0</v>
      </c>
      <c r="AS88" s="23">
        <v>1</v>
      </c>
      <c r="AT88" s="23">
        <v>0</v>
      </c>
      <c r="AU88" s="23">
        <v>1</v>
      </c>
      <c r="AV88" s="23">
        <v>0</v>
      </c>
      <c r="AW88" s="23">
        <v>0</v>
      </c>
      <c r="AX88" s="23">
        <v>1</v>
      </c>
      <c r="AY88" s="23">
        <v>0</v>
      </c>
      <c r="AZ88" s="23">
        <v>0</v>
      </c>
      <c r="BA88" s="23">
        <v>0</v>
      </c>
      <c r="BB88" s="23">
        <v>0</v>
      </c>
      <c r="BC88" s="23">
        <v>0</v>
      </c>
      <c r="BD88" s="23">
        <v>0</v>
      </c>
      <c r="BE88" s="23">
        <v>0</v>
      </c>
      <c r="BF88" s="23">
        <v>1</v>
      </c>
      <c r="BG88" s="23">
        <v>1</v>
      </c>
      <c r="BH88" s="23">
        <v>1</v>
      </c>
      <c r="BI88" s="23">
        <v>1</v>
      </c>
      <c r="BJ88" s="23">
        <v>0</v>
      </c>
      <c r="BK88" s="23">
        <v>0</v>
      </c>
      <c r="BL88" s="23">
        <v>0</v>
      </c>
      <c r="BM88" s="23">
        <v>0</v>
      </c>
      <c r="BN88" s="23">
        <v>1</v>
      </c>
      <c r="BO88" s="21">
        <f t="shared" si="6"/>
        <v>19</v>
      </c>
      <c r="BP88" s="21"/>
      <c r="BQ88" s="21"/>
      <c r="BR88" s="21"/>
      <c r="BS88" s="21"/>
      <c r="BT88" s="21"/>
      <c r="BU88" s="21"/>
      <c r="BV88" s="21"/>
      <c r="BW88" s="21"/>
      <c r="BX88" s="21"/>
      <c r="BY88" s="21"/>
      <c r="BZ88" s="21"/>
      <c r="CA88" s="21"/>
      <c r="CB88" s="21"/>
      <c r="CC88" s="21"/>
      <c r="CD88" s="21"/>
    </row>
    <row r="89" spans="1:82" ht="15" customHeight="1" x14ac:dyDescent="0.2">
      <c r="A89">
        <v>88</v>
      </c>
      <c r="B89" t="s">
        <v>738</v>
      </c>
      <c r="C89" s="65" t="s">
        <v>158</v>
      </c>
      <c r="D89" s="7" t="s">
        <v>257</v>
      </c>
      <c r="E89" s="7" t="s">
        <v>257</v>
      </c>
      <c r="F89" s="3" t="s">
        <v>342</v>
      </c>
      <c r="G89" s="8" t="s">
        <v>63</v>
      </c>
      <c r="H89" s="8" t="s">
        <v>64</v>
      </c>
      <c r="I89" s="8" t="s">
        <v>64</v>
      </c>
      <c r="J89" s="8">
        <v>0</v>
      </c>
      <c r="K89" s="8">
        <v>1</v>
      </c>
      <c r="L89" s="8">
        <v>1</v>
      </c>
      <c r="M89" s="8" t="s">
        <v>87</v>
      </c>
      <c r="N89" s="6" t="s">
        <v>159</v>
      </c>
      <c r="O89" s="8">
        <v>0</v>
      </c>
      <c r="P89" s="8">
        <v>1</v>
      </c>
      <c r="Q89" s="8">
        <v>1</v>
      </c>
      <c r="R89" s="8">
        <v>1</v>
      </c>
      <c r="S89" s="8">
        <v>1</v>
      </c>
      <c r="T89" s="8">
        <v>1</v>
      </c>
      <c r="U89" s="8">
        <v>0</v>
      </c>
      <c r="V89" s="8">
        <v>1</v>
      </c>
      <c r="W89" s="8" t="s">
        <v>160</v>
      </c>
      <c r="X89" s="8">
        <v>1</v>
      </c>
      <c r="Y89" s="8">
        <v>0</v>
      </c>
      <c r="Z89" s="8">
        <v>0</v>
      </c>
      <c r="AA89" s="8">
        <v>1</v>
      </c>
      <c r="AB89" s="8">
        <v>0</v>
      </c>
      <c r="AC89" s="8">
        <v>0</v>
      </c>
      <c r="AD89" s="8">
        <v>0</v>
      </c>
      <c r="AE89" s="8">
        <v>1</v>
      </c>
      <c r="AF89" s="8">
        <v>1</v>
      </c>
      <c r="AG89" s="8">
        <v>0</v>
      </c>
      <c r="AH89" s="8">
        <v>1</v>
      </c>
      <c r="AI89" s="8">
        <v>0</v>
      </c>
      <c r="AJ89" s="8">
        <v>0</v>
      </c>
      <c r="AK89" s="8">
        <v>1</v>
      </c>
      <c r="AL89" s="8">
        <v>1</v>
      </c>
      <c r="AM89" s="8">
        <v>1</v>
      </c>
      <c r="AN89" s="8">
        <v>1</v>
      </c>
      <c r="AO89" s="8">
        <v>0</v>
      </c>
      <c r="AP89" s="8">
        <v>0</v>
      </c>
      <c r="AQ89" s="8">
        <v>0</v>
      </c>
      <c r="AR89" s="8">
        <v>0</v>
      </c>
      <c r="AS89" s="8">
        <v>0</v>
      </c>
      <c r="AT89" s="8">
        <v>0</v>
      </c>
      <c r="AU89" s="8">
        <v>0</v>
      </c>
      <c r="AV89" s="8">
        <v>0</v>
      </c>
      <c r="AW89" s="8">
        <v>0</v>
      </c>
      <c r="AX89" s="8">
        <v>0</v>
      </c>
      <c r="AY89" s="8">
        <v>0</v>
      </c>
      <c r="AZ89" s="8">
        <v>0</v>
      </c>
      <c r="BA89" s="8">
        <v>0</v>
      </c>
      <c r="BB89" s="8">
        <v>0</v>
      </c>
      <c r="BC89" s="8">
        <v>0</v>
      </c>
      <c r="BD89" s="8">
        <v>0</v>
      </c>
      <c r="BE89" s="8">
        <v>0</v>
      </c>
      <c r="BF89" s="8">
        <v>0</v>
      </c>
      <c r="BG89" s="8">
        <v>0</v>
      </c>
      <c r="BH89" s="8">
        <v>0</v>
      </c>
      <c r="BI89" s="8">
        <v>0</v>
      </c>
      <c r="BJ89" s="8">
        <v>0</v>
      </c>
      <c r="BK89" s="8">
        <v>0</v>
      </c>
      <c r="BL89" s="8">
        <v>0</v>
      </c>
      <c r="BM89" s="8">
        <v>0</v>
      </c>
      <c r="BN89" s="8">
        <v>0</v>
      </c>
      <c r="BO89" s="3">
        <f t="shared" si="6"/>
        <v>7</v>
      </c>
      <c r="BP89" s="3"/>
      <c r="BQ89" s="3"/>
      <c r="BR89" s="3"/>
      <c r="BS89" s="3"/>
      <c r="BT89" s="3"/>
      <c r="BU89" s="3"/>
      <c r="BV89" s="3"/>
      <c r="BW89" s="3"/>
      <c r="BX89" s="3"/>
      <c r="BY89" s="3"/>
      <c r="BZ89" s="3"/>
      <c r="CA89" s="3"/>
      <c r="CB89" s="3"/>
      <c r="CC89" s="3"/>
      <c r="CD89" s="3"/>
    </row>
    <row r="90" spans="1:82" ht="15" customHeight="1" x14ac:dyDescent="0.2">
      <c r="A90">
        <v>89</v>
      </c>
      <c r="B90" t="s">
        <v>739</v>
      </c>
      <c r="C90" s="65" t="s">
        <v>161</v>
      </c>
      <c r="D90" s="7" t="s">
        <v>343</v>
      </c>
      <c r="E90" s="7" t="s">
        <v>343</v>
      </c>
      <c r="F90" s="3" t="s">
        <v>344</v>
      </c>
      <c r="G90" s="8" t="s">
        <v>63</v>
      </c>
      <c r="H90" s="8" t="s">
        <v>64</v>
      </c>
      <c r="I90" s="8" t="s">
        <v>64</v>
      </c>
      <c r="J90" s="8">
        <v>0</v>
      </c>
      <c r="K90" s="8">
        <v>0</v>
      </c>
      <c r="L90" s="8">
        <v>0</v>
      </c>
      <c r="M90" s="8" t="s">
        <v>65</v>
      </c>
      <c r="N90" s="9">
        <v>0</v>
      </c>
      <c r="O90" s="8">
        <v>1</v>
      </c>
      <c r="P90" s="8">
        <v>0</v>
      </c>
      <c r="Q90" s="8">
        <v>1</v>
      </c>
      <c r="R90" s="8">
        <v>0</v>
      </c>
      <c r="S90" s="8">
        <v>1</v>
      </c>
      <c r="T90" s="8">
        <v>0</v>
      </c>
      <c r="U90" s="8">
        <v>0</v>
      </c>
      <c r="V90" s="8">
        <v>0</v>
      </c>
      <c r="W90" s="8" t="s">
        <v>162</v>
      </c>
      <c r="X90" s="8">
        <v>0</v>
      </c>
      <c r="Y90" s="8">
        <v>0</v>
      </c>
      <c r="Z90" s="8">
        <v>0</v>
      </c>
      <c r="AA90" s="8">
        <v>0</v>
      </c>
      <c r="AB90" s="8">
        <v>0</v>
      </c>
      <c r="AC90" s="8">
        <v>0</v>
      </c>
      <c r="AD90" s="8">
        <v>0</v>
      </c>
      <c r="AE90" s="8">
        <v>0</v>
      </c>
      <c r="AF90" s="8">
        <v>1</v>
      </c>
      <c r="AG90" s="8">
        <v>0</v>
      </c>
      <c r="AH90" s="8">
        <v>0</v>
      </c>
      <c r="AI90" s="8">
        <v>0</v>
      </c>
      <c r="AJ90" s="8">
        <v>0</v>
      </c>
      <c r="AK90" s="8">
        <v>0</v>
      </c>
      <c r="AL90" s="8">
        <v>0</v>
      </c>
      <c r="AM90" s="8">
        <v>0</v>
      </c>
      <c r="AN90" s="8">
        <v>0</v>
      </c>
      <c r="AO90" s="8">
        <v>0</v>
      </c>
      <c r="AP90" s="8">
        <v>0</v>
      </c>
      <c r="AQ90" s="8">
        <v>0</v>
      </c>
      <c r="AR90" s="8">
        <v>0</v>
      </c>
      <c r="AS90" s="8">
        <v>0</v>
      </c>
      <c r="AT90" s="8">
        <v>0</v>
      </c>
      <c r="AU90" s="8">
        <v>0</v>
      </c>
      <c r="AV90" s="8">
        <v>0</v>
      </c>
      <c r="AW90" s="8">
        <v>0</v>
      </c>
      <c r="AX90" s="8">
        <v>0</v>
      </c>
      <c r="AY90" s="8">
        <v>0</v>
      </c>
      <c r="AZ90" s="8">
        <v>0</v>
      </c>
      <c r="BA90" s="8">
        <v>0</v>
      </c>
      <c r="BB90" s="8">
        <v>0</v>
      </c>
      <c r="BC90" s="8">
        <v>0</v>
      </c>
      <c r="BD90" s="8">
        <v>0</v>
      </c>
      <c r="BE90" s="8">
        <v>0</v>
      </c>
      <c r="BF90" s="8">
        <v>0</v>
      </c>
      <c r="BG90" s="8">
        <v>0</v>
      </c>
      <c r="BH90" s="8">
        <v>1</v>
      </c>
      <c r="BI90" s="8">
        <v>0</v>
      </c>
      <c r="BJ90" s="8">
        <v>0</v>
      </c>
      <c r="BK90" s="8">
        <v>0</v>
      </c>
      <c r="BL90" s="8">
        <v>0</v>
      </c>
      <c r="BM90" s="8">
        <v>0</v>
      </c>
      <c r="BN90" s="8">
        <v>0</v>
      </c>
      <c r="BO90" s="3">
        <f t="shared" si="6"/>
        <v>2</v>
      </c>
      <c r="BP90" s="3"/>
      <c r="BQ90" s="3"/>
      <c r="BR90" s="3"/>
      <c r="BS90" s="3"/>
      <c r="BT90" s="3"/>
      <c r="BU90" s="3"/>
      <c r="BV90" s="3"/>
      <c r="BW90" s="3"/>
      <c r="BX90" s="3"/>
      <c r="BY90" s="3"/>
      <c r="BZ90" s="3"/>
      <c r="CA90" s="3"/>
      <c r="CB90" s="3"/>
      <c r="CC90" s="3"/>
      <c r="CD90" s="3"/>
    </row>
    <row r="91" spans="1:82" ht="15" customHeight="1" x14ac:dyDescent="0.2">
      <c r="A91">
        <v>90</v>
      </c>
      <c r="B91" t="s">
        <v>740</v>
      </c>
      <c r="C91" s="65" t="s">
        <v>161</v>
      </c>
      <c r="D91" s="7" t="s">
        <v>345</v>
      </c>
      <c r="E91" s="7" t="s">
        <v>345</v>
      </c>
      <c r="F91" s="3" t="s">
        <v>346</v>
      </c>
      <c r="G91" s="8" t="s">
        <v>63</v>
      </c>
      <c r="H91" s="8" t="s">
        <v>64</v>
      </c>
      <c r="I91" s="8" t="s">
        <v>64</v>
      </c>
      <c r="J91" s="8">
        <v>0</v>
      </c>
      <c r="K91" s="8">
        <v>0</v>
      </c>
      <c r="L91" s="8">
        <v>0</v>
      </c>
      <c r="M91" s="8" t="s">
        <v>65</v>
      </c>
      <c r="N91" s="9">
        <v>0</v>
      </c>
      <c r="O91" s="8">
        <v>1</v>
      </c>
      <c r="P91" s="8">
        <v>0</v>
      </c>
      <c r="Q91" s="8">
        <v>1</v>
      </c>
      <c r="R91" s="8">
        <v>0</v>
      </c>
      <c r="S91" s="8">
        <v>1</v>
      </c>
      <c r="T91" s="8">
        <v>0</v>
      </c>
      <c r="U91" s="8">
        <v>0</v>
      </c>
      <c r="V91" s="8">
        <v>0</v>
      </c>
      <c r="W91" s="8" t="s">
        <v>162</v>
      </c>
      <c r="X91" s="8">
        <v>0</v>
      </c>
      <c r="Y91" s="8">
        <v>0</v>
      </c>
      <c r="Z91" s="8">
        <v>0</v>
      </c>
      <c r="AA91" s="8">
        <v>0</v>
      </c>
      <c r="AB91" s="8">
        <v>0</v>
      </c>
      <c r="AC91" s="8">
        <v>0</v>
      </c>
      <c r="AD91" s="8">
        <v>0</v>
      </c>
      <c r="AE91" s="8">
        <v>0</v>
      </c>
      <c r="AF91" s="8">
        <v>1</v>
      </c>
      <c r="AG91" s="8">
        <v>0</v>
      </c>
      <c r="AH91" s="8">
        <v>0</v>
      </c>
      <c r="AI91" s="8">
        <v>0</v>
      </c>
      <c r="AJ91" s="8">
        <v>0</v>
      </c>
      <c r="AK91" s="8">
        <v>0</v>
      </c>
      <c r="AL91" s="8">
        <v>0</v>
      </c>
      <c r="AM91" s="8">
        <v>0</v>
      </c>
      <c r="AN91" s="8">
        <v>0</v>
      </c>
      <c r="AO91" s="8">
        <v>0</v>
      </c>
      <c r="AP91" s="8">
        <v>0</v>
      </c>
      <c r="AQ91" s="8">
        <v>0</v>
      </c>
      <c r="AR91" s="8">
        <v>0</v>
      </c>
      <c r="AS91" s="8">
        <v>0</v>
      </c>
      <c r="AT91" s="8">
        <v>0</v>
      </c>
      <c r="AU91" s="8">
        <v>0</v>
      </c>
      <c r="AV91" s="8">
        <v>0</v>
      </c>
      <c r="AW91" s="8">
        <v>0</v>
      </c>
      <c r="AX91" s="8">
        <v>0</v>
      </c>
      <c r="AY91" s="8">
        <v>0</v>
      </c>
      <c r="AZ91" s="8">
        <v>0</v>
      </c>
      <c r="BA91" s="8">
        <v>0</v>
      </c>
      <c r="BB91" s="8">
        <v>0</v>
      </c>
      <c r="BC91" s="8">
        <v>0</v>
      </c>
      <c r="BD91" s="8">
        <v>0</v>
      </c>
      <c r="BE91" s="8">
        <v>0</v>
      </c>
      <c r="BF91" s="8">
        <v>0</v>
      </c>
      <c r="BG91" s="8">
        <v>0</v>
      </c>
      <c r="BH91" s="8">
        <v>1</v>
      </c>
      <c r="BI91" s="8">
        <v>0</v>
      </c>
      <c r="BJ91" s="8">
        <v>0</v>
      </c>
      <c r="BK91" s="8">
        <v>0</v>
      </c>
      <c r="BL91" s="8">
        <v>0</v>
      </c>
      <c r="BM91" s="8">
        <v>0</v>
      </c>
      <c r="BN91" s="8">
        <v>0</v>
      </c>
      <c r="BO91" s="3">
        <f t="shared" si="6"/>
        <v>2</v>
      </c>
      <c r="BP91" s="3"/>
      <c r="BQ91" s="3"/>
      <c r="BR91" s="3"/>
      <c r="BS91" s="3"/>
      <c r="BT91" s="3"/>
      <c r="BU91" s="3"/>
      <c r="BV91" s="3"/>
      <c r="BW91" s="3"/>
      <c r="BX91" s="3"/>
      <c r="BY91" s="3"/>
      <c r="BZ91" s="3"/>
      <c r="CA91" s="3"/>
      <c r="CB91" s="3"/>
      <c r="CC91" s="3"/>
      <c r="CD91" s="3"/>
    </row>
    <row r="92" spans="1:82" ht="15" customHeight="1" x14ac:dyDescent="0.2">
      <c r="A92">
        <v>91</v>
      </c>
      <c r="B92" t="s">
        <v>741</v>
      </c>
      <c r="C92" s="65" t="s">
        <v>161</v>
      </c>
      <c r="D92" s="7" t="s">
        <v>77</v>
      </c>
      <c r="E92" s="7" t="s">
        <v>79</v>
      </c>
      <c r="F92" s="3" t="s">
        <v>347</v>
      </c>
      <c r="G92" s="8" t="s">
        <v>63</v>
      </c>
      <c r="H92" s="8" t="s">
        <v>64</v>
      </c>
      <c r="I92" s="8" t="s">
        <v>64</v>
      </c>
      <c r="J92" s="8">
        <v>1</v>
      </c>
      <c r="K92" s="8">
        <v>0</v>
      </c>
      <c r="L92" s="8">
        <v>0</v>
      </c>
      <c r="M92" s="8" t="s">
        <v>65</v>
      </c>
      <c r="N92" s="9">
        <v>0</v>
      </c>
      <c r="O92" s="8">
        <v>1</v>
      </c>
      <c r="P92" s="6">
        <v>0</v>
      </c>
      <c r="Q92" s="8">
        <v>1</v>
      </c>
      <c r="R92" s="8">
        <v>1</v>
      </c>
      <c r="S92" s="8">
        <v>1</v>
      </c>
      <c r="T92" s="8">
        <v>0</v>
      </c>
      <c r="U92" s="8">
        <v>0</v>
      </c>
      <c r="V92" s="8">
        <v>0</v>
      </c>
      <c r="W92" s="8" t="s">
        <v>162</v>
      </c>
      <c r="X92" s="8">
        <v>0</v>
      </c>
      <c r="Y92" s="8">
        <v>1</v>
      </c>
      <c r="Z92" s="8">
        <v>0</v>
      </c>
      <c r="AA92" s="8">
        <v>0</v>
      </c>
      <c r="AB92" s="8">
        <v>0</v>
      </c>
      <c r="AC92" s="8">
        <v>0</v>
      </c>
      <c r="AD92" s="8">
        <v>0</v>
      </c>
      <c r="AE92" s="8">
        <v>1</v>
      </c>
      <c r="AF92" s="8">
        <v>1</v>
      </c>
      <c r="AG92" s="8">
        <v>1</v>
      </c>
      <c r="AH92" s="8">
        <v>0</v>
      </c>
      <c r="AI92" s="8">
        <v>1</v>
      </c>
      <c r="AJ92" s="8">
        <v>0</v>
      </c>
      <c r="AK92" s="8">
        <v>0</v>
      </c>
      <c r="AL92" s="8">
        <v>0</v>
      </c>
      <c r="AM92" s="8">
        <v>1</v>
      </c>
      <c r="AN92" s="8">
        <v>0</v>
      </c>
      <c r="AO92" s="8">
        <v>0</v>
      </c>
      <c r="AP92" s="8">
        <v>0</v>
      </c>
      <c r="AQ92" s="8">
        <v>1</v>
      </c>
      <c r="AR92" s="8">
        <v>0</v>
      </c>
      <c r="AS92" s="8">
        <v>0</v>
      </c>
      <c r="AT92" s="8">
        <v>0</v>
      </c>
      <c r="AU92" s="8">
        <v>0</v>
      </c>
      <c r="AV92" s="8">
        <v>0</v>
      </c>
      <c r="AW92" s="8">
        <v>0</v>
      </c>
      <c r="AX92" s="8">
        <v>0</v>
      </c>
      <c r="AY92" s="8">
        <v>0</v>
      </c>
      <c r="AZ92" s="8">
        <v>0</v>
      </c>
      <c r="BA92" s="8">
        <v>0</v>
      </c>
      <c r="BB92" s="8">
        <v>0</v>
      </c>
      <c r="BC92" s="8">
        <v>0</v>
      </c>
      <c r="BD92" s="8">
        <v>0</v>
      </c>
      <c r="BE92" s="8">
        <v>0</v>
      </c>
      <c r="BF92" s="8">
        <v>0</v>
      </c>
      <c r="BG92" s="8">
        <v>0</v>
      </c>
      <c r="BH92" s="8">
        <v>1</v>
      </c>
      <c r="BI92" s="8">
        <v>0</v>
      </c>
      <c r="BJ92" s="8">
        <v>0</v>
      </c>
      <c r="BK92" s="8">
        <v>0</v>
      </c>
      <c r="BL92" s="8">
        <v>0</v>
      </c>
      <c r="BM92" s="8">
        <v>0</v>
      </c>
      <c r="BN92" s="8">
        <v>0</v>
      </c>
      <c r="BO92" s="3">
        <f t="shared" si="6"/>
        <v>7</v>
      </c>
      <c r="BP92" s="3"/>
      <c r="BQ92" s="3"/>
      <c r="BR92" s="3"/>
      <c r="BS92" s="3"/>
      <c r="BT92" s="3"/>
      <c r="BU92" s="3"/>
      <c r="BV92" s="3"/>
      <c r="BW92" s="3"/>
      <c r="BX92" s="3"/>
      <c r="BY92" s="3"/>
      <c r="BZ92" s="3"/>
      <c r="CA92" s="3"/>
      <c r="CB92" s="3"/>
      <c r="CC92" s="3"/>
      <c r="CD92" s="3"/>
    </row>
    <row r="93" spans="1:82" ht="15" customHeight="1" x14ac:dyDescent="0.2">
      <c r="A93">
        <v>92</v>
      </c>
      <c r="B93" t="s">
        <v>742</v>
      </c>
      <c r="C93" s="65" t="s">
        <v>161</v>
      </c>
      <c r="D93" s="7" t="s">
        <v>79</v>
      </c>
      <c r="E93" s="7" t="s">
        <v>79</v>
      </c>
      <c r="F93" s="3" t="s">
        <v>348</v>
      </c>
      <c r="G93" s="8" t="s">
        <v>63</v>
      </c>
      <c r="H93" s="8" t="s">
        <v>64</v>
      </c>
      <c r="I93" s="8" t="s">
        <v>64</v>
      </c>
      <c r="J93" s="8">
        <v>1</v>
      </c>
      <c r="K93" s="8">
        <v>0</v>
      </c>
      <c r="L93" s="8">
        <v>0</v>
      </c>
      <c r="M93" s="8" t="s">
        <v>65</v>
      </c>
      <c r="N93" s="9">
        <v>0</v>
      </c>
      <c r="O93" s="8">
        <v>1</v>
      </c>
      <c r="P93" s="6">
        <v>0</v>
      </c>
      <c r="Q93" s="8">
        <v>1</v>
      </c>
      <c r="R93" s="8">
        <v>1</v>
      </c>
      <c r="S93" s="8">
        <v>1</v>
      </c>
      <c r="T93" s="8">
        <v>0</v>
      </c>
      <c r="U93" s="8">
        <v>0</v>
      </c>
      <c r="V93" s="8">
        <v>0</v>
      </c>
      <c r="W93" s="8" t="s">
        <v>162</v>
      </c>
      <c r="X93" s="8">
        <v>0</v>
      </c>
      <c r="Y93" s="8">
        <v>1</v>
      </c>
      <c r="Z93" s="8">
        <v>0</v>
      </c>
      <c r="AA93" s="8">
        <v>0</v>
      </c>
      <c r="AB93" s="8">
        <v>0</v>
      </c>
      <c r="AC93" s="8">
        <v>0</v>
      </c>
      <c r="AD93" s="8">
        <v>0</v>
      </c>
      <c r="AE93" s="8">
        <v>1</v>
      </c>
      <c r="AF93" s="8">
        <v>1</v>
      </c>
      <c r="AG93" s="8">
        <v>1</v>
      </c>
      <c r="AH93" s="8">
        <v>0</v>
      </c>
      <c r="AI93" s="8">
        <v>1</v>
      </c>
      <c r="AJ93" s="8">
        <v>0</v>
      </c>
      <c r="AK93" s="8">
        <v>0</v>
      </c>
      <c r="AL93" s="8">
        <v>0</v>
      </c>
      <c r="AM93" s="8">
        <v>1</v>
      </c>
      <c r="AN93" s="8">
        <v>0</v>
      </c>
      <c r="AO93" s="8">
        <v>0</v>
      </c>
      <c r="AP93" s="8">
        <v>0</v>
      </c>
      <c r="AQ93" s="8">
        <v>1</v>
      </c>
      <c r="AR93" s="8">
        <v>0</v>
      </c>
      <c r="AS93" s="8">
        <v>0</v>
      </c>
      <c r="AT93" s="8">
        <v>0</v>
      </c>
      <c r="AU93" s="8">
        <v>0</v>
      </c>
      <c r="AV93" s="8">
        <v>0</v>
      </c>
      <c r="AW93" s="8">
        <v>0</v>
      </c>
      <c r="AX93" s="8">
        <v>0</v>
      </c>
      <c r="AY93" s="8">
        <v>0</v>
      </c>
      <c r="AZ93" s="8">
        <v>0</v>
      </c>
      <c r="BA93" s="8">
        <v>0</v>
      </c>
      <c r="BB93" s="8">
        <v>0</v>
      </c>
      <c r="BC93" s="8">
        <v>0</v>
      </c>
      <c r="BD93" s="8">
        <v>0</v>
      </c>
      <c r="BE93" s="8">
        <v>0</v>
      </c>
      <c r="BF93" s="8">
        <v>0</v>
      </c>
      <c r="BG93" s="8">
        <v>0</v>
      </c>
      <c r="BH93" s="8">
        <v>1</v>
      </c>
      <c r="BI93" s="8">
        <v>0</v>
      </c>
      <c r="BJ93" s="8">
        <v>0</v>
      </c>
      <c r="BK93" s="8">
        <v>0</v>
      </c>
      <c r="BL93" s="8">
        <v>0</v>
      </c>
      <c r="BM93" s="8">
        <v>0</v>
      </c>
      <c r="BN93" s="8">
        <v>0</v>
      </c>
      <c r="BO93" s="3">
        <f t="shared" si="6"/>
        <v>7</v>
      </c>
      <c r="BP93" s="3"/>
      <c r="BQ93" s="3"/>
      <c r="BR93" s="3"/>
      <c r="BS93" s="3"/>
      <c r="BT93" s="3"/>
      <c r="BU93" s="3"/>
      <c r="BV93" s="3"/>
      <c r="BW93" s="3"/>
      <c r="BX93" s="3"/>
      <c r="BY93" s="3"/>
      <c r="BZ93" s="3"/>
      <c r="CA93" s="3"/>
      <c r="CB93" s="3"/>
      <c r="CC93" s="3"/>
      <c r="CD93" s="3"/>
    </row>
    <row r="94" spans="1:82" ht="15" customHeight="1" x14ac:dyDescent="0.2">
      <c r="A94">
        <v>93</v>
      </c>
      <c r="B94" t="s">
        <v>743</v>
      </c>
      <c r="C94" s="65" t="s">
        <v>161</v>
      </c>
      <c r="D94" s="7" t="s">
        <v>244</v>
      </c>
      <c r="E94" s="7" t="s">
        <v>244</v>
      </c>
      <c r="F94" s="71" t="s">
        <v>349</v>
      </c>
      <c r="G94" s="8" t="s">
        <v>63</v>
      </c>
      <c r="H94" s="8" t="s">
        <v>64</v>
      </c>
      <c r="I94" s="8" t="s">
        <v>64</v>
      </c>
      <c r="J94" s="8">
        <v>1</v>
      </c>
      <c r="K94" s="8">
        <v>0</v>
      </c>
      <c r="L94" s="8">
        <v>0</v>
      </c>
      <c r="M94" s="8" t="s">
        <v>65</v>
      </c>
      <c r="N94" s="9">
        <v>0</v>
      </c>
      <c r="O94" s="8">
        <v>1</v>
      </c>
      <c r="P94" s="6">
        <v>0</v>
      </c>
      <c r="Q94" s="8">
        <v>1</v>
      </c>
      <c r="R94" s="8">
        <v>1</v>
      </c>
      <c r="S94" s="8">
        <v>1</v>
      </c>
      <c r="T94" s="8">
        <v>0</v>
      </c>
      <c r="U94" s="8">
        <v>0</v>
      </c>
      <c r="V94" s="8">
        <v>0</v>
      </c>
      <c r="W94" s="8" t="s">
        <v>350</v>
      </c>
      <c r="X94" s="8">
        <v>0</v>
      </c>
      <c r="Y94" s="8">
        <v>1</v>
      </c>
      <c r="Z94" s="8">
        <v>0</v>
      </c>
      <c r="AA94" s="8">
        <v>0</v>
      </c>
      <c r="AB94" s="8">
        <v>1</v>
      </c>
      <c r="AC94" s="8">
        <v>0</v>
      </c>
      <c r="AD94" s="8">
        <v>0</v>
      </c>
      <c r="AE94" s="8">
        <v>1</v>
      </c>
      <c r="AF94" s="8">
        <v>1</v>
      </c>
      <c r="AG94" s="8">
        <v>1</v>
      </c>
      <c r="AH94" s="8">
        <v>0</v>
      </c>
      <c r="AI94" s="8">
        <v>1</v>
      </c>
      <c r="AJ94" s="8">
        <v>0</v>
      </c>
      <c r="AK94" s="8">
        <v>0</v>
      </c>
      <c r="AL94" s="8">
        <v>0</v>
      </c>
      <c r="AM94" s="8">
        <v>1</v>
      </c>
      <c r="AN94" s="8">
        <v>0</v>
      </c>
      <c r="AO94" s="8">
        <v>0</v>
      </c>
      <c r="AP94" s="8">
        <v>0</v>
      </c>
      <c r="AQ94" s="8">
        <v>1</v>
      </c>
      <c r="AR94" s="8">
        <v>0</v>
      </c>
      <c r="AS94" s="8">
        <v>0</v>
      </c>
      <c r="AT94" s="8">
        <v>0</v>
      </c>
      <c r="AU94" s="8">
        <v>0</v>
      </c>
      <c r="AV94" s="8">
        <v>0</v>
      </c>
      <c r="AW94" s="8">
        <v>0</v>
      </c>
      <c r="AX94" s="8">
        <v>0</v>
      </c>
      <c r="AY94" s="8">
        <v>0</v>
      </c>
      <c r="AZ94" s="8">
        <v>0</v>
      </c>
      <c r="BA94" s="8">
        <v>0</v>
      </c>
      <c r="BB94" s="8">
        <v>0</v>
      </c>
      <c r="BC94" s="8">
        <v>0</v>
      </c>
      <c r="BD94" s="8">
        <v>0</v>
      </c>
      <c r="BE94" s="8">
        <v>0</v>
      </c>
      <c r="BF94" s="8">
        <v>0</v>
      </c>
      <c r="BG94" s="8">
        <v>0</v>
      </c>
      <c r="BH94" s="8">
        <v>1</v>
      </c>
      <c r="BI94" s="8">
        <v>0</v>
      </c>
      <c r="BJ94" s="8">
        <v>0</v>
      </c>
      <c r="BK94" s="8">
        <v>0</v>
      </c>
      <c r="BL94" s="8">
        <v>0</v>
      </c>
      <c r="BM94" s="8">
        <v>0</v>
      </c>
      <c r="BN94" s="8">
        <v>0</v>
      </c>
      <c r="BO94" s="3">
        <f t="shared" si="6"/>
        <v>7</v>
      </c>
      <c r="BP94" s="3"/>
      <c r="BQ94" s="3"/>
      <c r="BR94" s="3"/>
      <c r="BS94" s="3"/>
      <c r="BT94" s="3"/>
      <c r="BU94" s="3"/>
      <c r="BV94" s="3"/>
      <c r="BW94" s="3"/>
      <c r="BX94" s="3"/>
      <c r="BY94" s="3"/>
      <c r="BZ94" s="3"/>
      <c r="CA94" s="3"/>
      <c r="CB94" s="3"/>
      <c r="CC94" s="3"/>
      <c r="CD94" s="3"/>
    </row>
    <row r="95" spans="1:82" ht="15" customHeight="1" x14ac:dyDescent="0.2">
      <c r="A95">
        <v>94</v>
      </c>
      <c r="B95" t="s">
        <v>744</v>
      </c>
      <c r="C95" s="72" t="s">
        <v>161</v>
      </c>
      <c r="D95" s="38">
        <v>2023</v>
      </c>
      <c r="E95" s="38">
        <v>2023</v>
      </c>
      <c r="F95" s="38" t="s">
        <v>351</v>
      </c>
      <c r="G95" s="38" t="s">
        <v>63</v>
      </c>
      <c r="H95" s="38" t="s">
        <v>64</v>
      </c>
      <c r="I95" s="38" t="s">
        <v>64</v>
      </c>
      <c r="J95" s="38">
        <v>1</v>
      </c>
      <c r="K95" s="38">
        <v>0</v>
      </c>
      <c r="L95" s="38">
        <v>1</v>
      </c>
      <c r="M95" s="38" t="s">
        <v>65</v>
      </c>
      <c r="N95" s="38" t="s">
        <v>352</v>
      </c>
      <c r="O95" s="38">
        <v>1</v>
      </c>
      <c r="P95" s="38">
        <v>0</v>
      </c>
      <c r="Q95" s="38">
        <v>1</v>
      </c>
      <c r="R95" s="38">
        <v>1</v>
      </c>
      <c r="S95" s="38">
        <v>1</v>
      </c>
      <c r="T95" s="38">
        <v>0</v>
      </c>
      <c r="U95" s="38">
        <v>0</v>
      </c>
      <c r="V95" s="38">
        <v>0</v>
      </c>
      <c r="W95" s="38" t="s">
        <v>162</v>
      </c>
      <c r="X95" s="38">
        <v>0</v>
      </c>
      <c r="Y95" s="38">
        <v>1</v>
      </c>
      <c r="Z95" s="38">
        <v>0</v>
      </c>
      <c r="AA95" s="38">
        <v>1</v>
      </c>
      <c r="AB95" s="38">
        <v>1</v>
      </c>
      <c r="AC95" s="38">
        <v>0</v>
      </c>
      <c r="AD95" s="38">
        <v>0</v>
      </c>
      <c r="AE95" s="38">
        <v>1</v>
      </c>
      <c r="AF95" s="38">
        <v>1</v>
      </c>
      <c r="AG95" s="38">
        <v>0</v>
      </c>
      <c r="AH95" s="38">
        <v>1</v>
      </c>
      <c r="AI95" s="38">
        <v>1</v>
      </c>
      <c r="AJ95" s="38">
        <v>0</v>
      </c>
      <c r="AK95" s="38">
        <v>0</v>
      </c>
      <c r="AL95" s="38">
        <v>0</v>
      </c>
      <c r="AM95" s="38">
        <v>1</v>
      </c>
      <c r="AN95" s="38">
        <v>0</v>
      </c>
      <c r="AO95" s="38">
        <v>0</v>
      </c>
      <c r="AP95" s="38">
        <v>0</v>
      </c>
      <c r="AQ95" s="38">
        <v>1</v>
      </c>
      <c r="AR95" s="38">
        <v>0</v>
      </c>
      <c r="AS95" s="38">
        <v>0</v>
      </c>
      <c r="AT95" s="38">
        <v>0</v>
      </c>
      <c r="AU95" s="38">
        <v>1</v>
      </c>
      <c r="AV95" s="38">
        <v>0</v>
      </c>
      <c r="AW95" s="38">
        <v>0</v>
      </c>
      <c r="AX95" s="38">
        <v>1</v>
      </c>
      <c r="AY95" s="38">
        <v>0</v>
      </c>
      <c r="AZ95" s="38">
        <v>0</v>
      </c>
      <c r="BA95" s="38">
        <v>0</v>
      </c>
      <c r="BB95" s="38">
        <v>0</v>
      </c>
      <c r="BC95" s="38">
        <v>0</v>
      </c>
      <c r="BD95" s="38">
        <v>0</v>
      </c>
      <c r="BE95" s="38">
        <v>0</v>
      </c>
      <c r="BF95" s="38">
        <v>0</v>
      </c>
      <c r="BG95" s="38">
        <v>0</v>
      </c>
      <c r="BH95" s="38">
        <v>1</v>
      </c>
      <c r="BI95" s="38">
        <v>0</v>
      </c>
      <c r="BJ95" s="38">
        <v>0</v>
      </c>
      <c r="BK95" s="38">
        <v>0</v>
      </c>
      <c r="BL95" s="38">
        <v>0</v>
      </c>
      <c r="BM95" s="38">
        <v>0</v>
      </c>
      <c r="BN95" s="38">
        <v>0</v>
      </c>
      <c r="BO95" s="38">
        <v>9</v>
      </c>
      <c r="BP95" s="38" t="s">
        <v>163</v>
      </c>
      <c r="BQ95" s="38" t="s">
        <v>163</v>
      </c>
      <c r="BR95" s="38" t="s">
        <v>163</v>
      </c>
      <c r="BS95" s="38" t="s">
        <v>163</v>
      </c>
      <c r="BT95" s="38" t="s">
        <v>163</v>
      </c>
      <c r="BU95" s="38" t="s">
        <v>163</v>
      </c>
      <c r="BV95" s="38" t="s">
        <v>163</v>
      </c>
      <c r="BW95" s="38" t="s">
        <v>163</v>
      </c>
      <c r="BX95" s="38" t="s">
        <v>163</v>
      </c>
      <c r="BY95" s="38" t="s">
        <v>163</v>
      </c>
      <c r="BZ95" s="38" t="s">
        <v>163</v>
      </c>
      <c r="CA95" s="38" t="s">
        <v>163</v>
      </c>
      <c r="CB95" s="38" t="s">
        <v>163</v>
      </c>
      <c r="CC95" s="38" t="s">
        <v>163</v>
      </c>
      <c r="CD95" s="38" t="s">
        <v>163</v>
      </c>
    </row>
    <row r="96" spans="1:82" ht="15" customHeight="1" x14ac:dyDescent="0.2">
      <c r="A96">
        <v>95</v>
      </c>
      <c r="B96" t="s">
        <v>745</v>
      </c>
      <c r="C96" s="65" t="s">
        <v>164</v>
      </c>
      <c r="D96" s="7" t="s">
        <v>353</v>
      </c>
      <c r="E96" s="7" t="s">
        <v>353</v>
      </c>
      <c r="F96" s="3" t="s">
        <v>354</v>
      </c>
      <c r="G96" s="8" t="s">
        <v>51</v>
      </c>
      <c r="H96" s="8" t="s">
        <v>64</v>
      </c>
      <c r="I96" s="8" t="s">
        <v>64</v>
      </c>
      <c r="J96" s="8">
        <v>0</v>
      </c>
      <c r="K96" s="8">
        <v>1</v>
      </c>
      <c r="L96" s="8">
        <v>1</v>
      </c>
      <c r="M96" s="8" t="s">
        <v>67</v>
      </c>
      <c r="N96" s="9" t="s">
        <v>165</v>
      </c>
      <c r="O96" s="8">
        <v>0</v>
      </c>
      <c r="P96" s="6" t="s">
        <v>56</v>
      </c>
      <c r="Q96" s="8">
        <v>1</v>
      </c>
      <c r="R96" s="8">
        <v>1</v>
      </c>
      <c r="S96" s="8">
        <v>1</v>
      </c>
      <c r="T96" s="8">
        <v>1</v>
      </c>
      <c r="U96" s="8">
        <v>0</v>
      </c>
      <c r="V96" s="8">
        <v>1</v>
      </c>
      <c r="W96" s="8" t="s">
        <v>166</v>
      </c>
      <c r="X96" s="8">
        <v>0</v>
      </c>
      <c r="Y96" s="8">
        <v>0</v>
      </c>
      <c r="Z96" s="8">
        <v>0</v>
      </c>
      <c r="AA96" s="8">
        <v>0</v>
      </c>
      <c r="AB96" s="8">
        <v>0</v>
      </c>
      <c r="AC96" s="8">
        <v>0</v>
      </c>
      <c r="AD96" s="8">
        <v>0</v>
      </c>
      <c r="AE96" s="8">
        <v>0</v>
      </c>
      <c r="AF96" s="8">
        <v>0</v>
      </c>
      <c r="AG96" s="8">
        <v>0</v>
      </c>
      <c r="AH96" s="8">
        <v>0</v>
      </c>
      <c r="AI96" s="8">
        <v>0</v>
      </c>
      <c r="AJ96" s="8">
        <v>0</v>
      </c>
      <c r="AK96" s="8">
        <v>0</v>
      </c>
      <c r="AL96" s="8">
        <v>0</v>
      </c>
      <c r="AM96" s="8">
        <v>0</v>
      </c>
      <c r="AN96" s="8">
        <v>0</v>
      </c>
      <c r="AO96" s="8">
        <v>0</v>
      </c>
      <c r="AP96" s="8">
        <v>0</v>
      </c>
      <c r="AQ96" s="8">
        <v>0</v>
      </c>
      <c r="AR96" s="8">
        <v>0</v>
      </c>
      <c r="AS96" s="8">
        <v>0</v>
      </c>
      <c r="AT96" s="8">
        <v>0</v>
      </c>
      <c r="AU96" s="8">
        <v>0</v>
      </c>
      <c r="AV96" s="8">
        <v>0</v>
      </c>
      <c r="AW96" s="8">
        <v>0</v>
      </c>
      <c r="AX96" s="8">
        <v>0</v>
      </c>
      <c r="AY96" s="8">
        <v>0</v>
      </c>
      <c r="AZ96" s="8">
        <v>0</v>
      </c>
      <c r="BA96" s="8">
        <v>0</v>
      </c>
      <c r="BB96" s="8">
        <v>0</v>
      </c>
      <c r="BC96" s="8">
        <v>0</v>
      </c>
      <c r="BD96" s="8">
        <v>0</v>
      </c>
      <c r="BE96" s="8">
        <v>0</v>
      </c>
      <c r="BF96" s="8">
        <v>0</v>
      </c>
      <c r="BG96" s="8">
        <v>0</v>
      </c>
      <c r="BH96" s="8">
        <v>0</v>
      </c>
      <c r="BI96" s="8">
        <v>0</v>
      </c>
      <c r="BJ96" s="8">
        <v>0</v>
      </c>
      <c r="BK96" s="8">
        <v>0</v>
      </c>
      <c r="BL96" s="8">
        <v>0</v>
      </c>
      <c r="BM96" s="8">
        <v>0</v>
      </c>
      <c r="BN96" s="8">
        <v>0</v>
      </c>
      <c r="BO96" s="3">
        <f t="shared" si="6"/>
        <v>0</v>
      </c>
      <c r="BP96" s="3"/>
      <c r="BQ96" s="3"/>
      <c r="BR96" s="3"/>
      <c r="BS96" s="3"/>
      <c r="BT96" s="3"/>
      <c r="BU96" s="3"/>
      <c r="BV96" s="3"/>
      <c r="BW96" s="3"/>
      <c r="BX96" s="3"/>
      <c r="BY96" s="3"/>
      <c r="BZ96" s="3"/>
      <c r="CA96" s="3"/>
      <c r="CB96" s="3"/>
      <c r="CC96" s="3"/>
      <c r="CD96" s="3"/>
    </row>
    <row r="97" spans="1:82" ht="15" customHeight="1" x14ac:dyDescent="0.2">
      <c r="A97">
        <v>96</v>
      </c>
      <c r="B97" t="s">
        <v>746</v>
      </c>
      <c r="C97" s="65" t="s">
        <v>164</v>
      </c>
      <c r="D97" s="7" t="s">
        <v>355</v>
      </c>
      <c r="E97" s="7" t="s">
        <v>355</v>
      </c>
      <c r="F97" s="3" t="s">
        <v>356</v>
      </c>
      <c r="G97" s="8" t="s">
        <v>51</v>
      </c>
      <c r="H97" s="8" t="s">
        <v>64</v>
      </c>
      <c r="I97" s="8" t="s">
        <v>64</v>
      </c>
      <c r="J97" s="8">
        <v>0</v>
      </c>
      <c r="K97" s="8">
        <v>1</v>
      </c>
      <c r="L97" s="8">
        <v>1</v>
      </c>
      <c r="M97" s="8" t="s">
        <v>67</v>
      </c>
      <c r="N97" s="9" t="s">
        <v>165</v>
      </c>
      <c r="O97" s="8">
        <v>0</v>
      </c>
      <c r="P97" s="6" t="s">
        <v>56</v>
      </c>
      <c r="Q97" s="8">
        <v>1</v>
      </c>
      <c r="R97" s="8">
        <v>1</v>
      </c>
      <c r="S97" s="8">
        <v>1</v>
      </c>
      <c r="T97" s="8">
        <v>1</v>
      </c>
      <c r="U97" s="8">
        <v>0</v>
      </c>
      <c r="V97" s="8">
        <v>1</v>
      </c>
      <c r="W97" s="8" t="s">
        <v>166</v>
      </c>
      <c r="X97" s="8">
        <v>0</v>
      </c>
      <c r="Y97" s="8">
        <v>0</v>
      </c>
      <c r="Z97" s="8">
        <v>0</v>
      </c>
      <c r="AA97" s="8">
        <v>1</v>
      </c>
      <c r="AB97" s="8">
        <v>0</v>
      </c>
      <c r="AC97" s="8">
        <v>0</v>
      </c>
      <c r="AD97" s="8">
        <v>0</v>
      </c>
      <c r="AE97" s="8">
        <v>0</v>
      </c>
      <c r="AF97" s="8">
        <v>0</v>
      </c>
      <c r="AG97" s="8">
        <v>0</v>
      </c>
      <c r="AH97" s="8">
        <v>0</v>
      </c>
      <c r="AI97" s="8">
        <v>0</v>
      </c>
      <c r="AJ97" s="8">
        <v>0</v>
      </c>
      <c r="AK97" s="8">
        <v>0</v>
      </c>
      <c r="AL97" s="8">
        <v>0</v>
      </c>
      <c r="AM97" s="8">
        <v>0</v>
      </c>
      <c r="AN97" s="8">
        <v>0</v>
      </c>
      <c r="AO97" s="8">
        <v>0</v>
      </c>
      <c r="AP97" s="8">
        <v>0</v>
      </c>
      <c r="AQ97" s="8">
        <v>0</v>
      </c>
      <c r="AR97" s="8">
        <v>0</v>
      </c>
      <c r="AS97" s="8">
        <v>0</v>
      </c>
      <c r="AT97" s="8">
        <v>0</v>
      </c>
      <c r="AU97" s="8">
        <v>0</v>
      </c>
      <c r="AV97" s="8">
        <v>0</v>
      </c>
      <c r="AW97" s="8">
        <v>0</v>
      </c>
      <c r="AX97" s="8">
        <v>0</v>
      </c>
      <c r="AY97" s="8">
        <v>0</v>
      </c>
      <c r="AZ97" s="8">
        <v>0</v>
      </c>
      <c r="BA97" s="8">
        <v>0</v>
      </c>
      <c r="BB97" s="8">
        <v>0</v>
      </c>
      <c r="BC97" s="8">
        <v>0</v>
      </c>
      <c r="BD97" s="8">
        <v>0</v>
      </c>
      <c r="BE97" s="8">
        <v>0</v>
      </c>
      <c r="BF97" s="8">
        <v>0</v>
      </c>
      <c r="BG97" s="8">
        <v>0</v>
      </c>
      <c r="BH97" s="8">
        <v>0</v>
      </c>
      <c r="BI97" s="8">
        <v>0</v>
      </c>
      <c r="BJ97" s="8">
        <v>0</v>
      </c>
      <c r="BK97" s="8">
        <v>0</v>
      </c>
      <c r="BL97" s="8">
        <v>0</v>
      </c>
      <c r="BM97" s="8">
        <v>0</v>
      </c>
      <c r="BN97" s="8">
        <v>0</v>
      </c>
      <c r="BO97" s="3">
        <f t="shared" si="6"/>
        <v>0</v>
      </c>
      <c r="BP97" s="3"/>
      <c r="BQ97" s="3"/>
      <c r="BR97" s="3"/>
      <c r="BS97" s="3"/>
      <c r="BT97" s="3"/>
      <c r="BU97" s="3"/>
      <c r="BV97" s="3"/>
      <c r="BW97" s="3"/>
      <c r="BX97" s="3"/>
      <c r="BY97" s="3"/>
      <c r="BZ97" s="3"/>
      <c r="CA97" s="3"/>
      <c r="CB97" s="3"/>
      <c r="CC97" s="3"/>
      <c r="CD97" s="3"/>
    </row>
    <row r="98" spans="1:82" ht="15" customHeight="1" x14ac:dyDescent="0.2">
      <c r="A98">
        <v>97</v>
      </c>
      <c r="B98" t="s">
        <v>747</v>
      </c>
      <c r="C98" s="65" t="s">
        <v>164</v>
      </c>
      <c r="D98" s="7" t="s">
        <v>93</v>
      </c>
      <c r="E98" s="7" t="s">
        <v>72</v>
      </c>
      <c r="F98" s="3" t="s">
        <v>357</v>
      </c>
      <c r="G98" s="8" t="s">
        <v>51</v>
      </c>
      <c r="H98" s="8" t="s">
        <v>64</v>
      </c>
      <c r="I98" s="8" t="s">
        <v>64</v>
      </c>
      <c r="J98" s="8">
        <v>0</v>
      </c>
      <c r="K98" s="8">
        <v>1</v>
      </c>
      <c r="L98" s="8">
        <v>1</v>
      </c>
      <c r="M98" s="8" t="s">
        <v>67</v>
      </c>
      <c r="N98" s="9" t="s">
        <v>165</v>
      </c>
      <c r="O98" s="8">
        <v>0</v>
      </c>
      <c r="P98" s="6" t="s">
        <v>56</v>
      </c>
      <c r="Q98" s="8">
        <v>1</v>
      </c>
      <c r="R98" s="8">
        <v>1</v>
      </c>
      <c r="S98" s="8">
        <v>1</v>
      </c>
      <c r="T98" s="8">
        <v>1</v>
      </c>
      <c r="U98" s="8">
        <v>0</v>
      </c>
      <c r="V98" s="8">
        <v>1</v>
      </c>
      <c r="W98" s="8" t="s">
        <v>166</v>
      </c>
      <c r="X98" s="8">
        <v>0</v>
      </c>
      <c r="Y98" s="8">
        <v>0</v>
      </c>
      <c r="Z98" s="8">
        <v>1</v>
      </c>
      <c r="AA98" s="8">
        <v>1</v>
      </c>
      <c r="AB98" s="8">
        <v>0</v>
      </c>
      <c r="AC98" s="8">
        <v>0</v>
      </c>
      <c r="AD98" s="8">
        <v>0</v>
      </c>
      <c r="AE98" s="8">
        <v>0</v>
      </c>
      <c r="AF98" s="8">
        <v>0</v>
      </c>
      <c r="AG98" s="8">
        <v>0</v>
      </c>
      <c r="AH98" s="8">
        <v>0</v>
      </c>
      <c r="AI98" s="8">
        <v>0</v>
      </c>
      <c r="AJ98" s="8">
        <v>0</v>
      </c>
      <c r="AK98" s="8">
        <v>0</v>
      </c>
      <c r="AL98" s="8">
        <v>0</v>
      </c>
      <c r="AM98" s="8">
        <v>0</v>
      </c>
      <c r="AN98" s="8">
        <v>0</v>
      </c>
      <c r="AO98" s="8">
        <v>0</v>
      </c>
      <c r="AP98" s="8">
        <v>0</v>
      </c>
      <c r="AQ98" s="8">
        <v>0</v>
      </c>
      <c r="AR98" s="8">
        <v>0</v>
      </c>
      <c r="AS98" s="8">
        <v>0</v>
      </c>
      <c r="AT98" s="8">
        <v>0</v>
      </c>
      <c r="AU98" s="8">
        <v>0</v>
      </c>
      <c r="AV98" s="8">
        <v>0</v>
      </c>
      <c r="AW98" s="8">
        <v>0</v>
      </c>
      <c r="AX98" s="8">
        <v>0</v>
      </c>
      <c r="AY98" s="8">
        <v>0</v>
      </c>
      <c r="AZ98" s="8">
        <v>0</v>
      </c>
      <c r="BA98" s="8">
        <v>0</v>
      </c>
      <c r="BB98" s="8">
        <v>0</v>
      </c>
      <c r="BC98" s="8">
        <v>0</v>
      </c>
      <c r="BD98" s="8">
        <v>0</v>
      </c>
      <c r="BE98" s="8">
        <v>0</v>
      </c>
      <c r="BF98" s="8">
        <v>0</v>
      </c>
      <c r="BG98" s="8">
        <v>0</v>
      </c>
      <c r="BH98" s="8">
        <v>0</v>
      </c>
      <c r="BI98" s="8">
        <v>0</v>
      </c>
      <c r="BJ98" s="8">
        <v>0</v>
      </c>
      <c r="BK98" s="8">
        <v>0</v>
      </c>
      <c r="BL98" s="8">
        <v>0</v>
      </c>
      <c r="BM98" s="8">
        <v>0</v>
      </c>
      <c r="BN98" s="8">
        <v>0</v>
      </c>
      <c r="BO98" s="3">
        <f t="shared" si="6"/>
        <v>0</v>
      </c>
      <c r="BP98" s="3"/>
      <c r="BQ98" s="3"/>
      <c r="BR98" s="3"/>
      <c r="BS98" s="3"/>
      <c r="BT98" s="3"/>
      <c r="BU98" s="3"/>
      <c r="BV98" s="3"/>
      <c r="BW98" s="3"/>
      <c r="BX98" s="3"/>
      <c r="BY98" s="3"/>
      <c r="BZ98" s="3"/>
      <c r="CA98" s="3"/>
      <c r="CB98" s="3"/>
      <c r="CC98" s="3"/>
      <c r="CD98" s="3"/>
    </row>
    <row r="99" spans="1:82" ht="15" customHeight="1" x14ac:dyDescent="0.2">
      <c r="A99">
        <v>98</v>
      </c>
      <c r="B99" t="s">
        <v>748</v>
      </c>
      <c r="C99" s="65" t="s">
        <v>164</v>
      </c>
      <c r="D99" s="7" t="s">
        <v>77</v>
      </c>
      <c r="E99" s="7" t="s">
        <v>77</v>
      </c>
      <c r="F99" s="3" t="s">
        <v>358</v>
      </c>
      <c r="G99" s="8" t="s">
        <v>51</v>
      </c>
      <c r="H99" s="8" t="s">
        <v>64</v>
      </c>
      <c r="I99" s="8" t="s">
        <v>64</v>
      </c>
      <c r="J99" s="8">
        <v>0</v>
      </c>
      <c r="K99" s="8">
        <v>1</v>
      </c>
      <c r="L99" s="8">
        <v>1</v>
      </c>
      <c r="M99" s="8" t="s">
        <v>67</v>
      </c>
      <c r="N99" s="9" t="s">
        <v>165</v>
      </c>
      <c r="O99" s="8">
        <v>1</v>
      </c>
      <c r="P99" s="6" t="s">
        <v>56</v>
      </c>
      <c r="Q99" s="8">
        <v>1</v>
      </c>
      <c r="R99" s="8">
        <v>1</v>
      </c>
      <c r="S99" s="8">
        <v>1</v>
      </c>
      <c r="T99" s="8">
        <v>1</v>
      </c>
      <c r="U99" s="8">
        <v>0</v>
      </c>
      <c r="V99" s="8">
        <v>1</v>
      </c>
      <c r="W99" s="8" t="s">
        <v>166</v>
      </c>
      <c r="X99" s="8">
        <v>0</v>
      </c>
      <c r="Y99" s="8">
        <v>0</v>
      </c>
      <c r="Z99" s="8">
        <v>1</v>
      </c>
      <c r="AA99" s="8">
        <v>1</v>
      </c>
      <c r="AB99" s="8">
        <v>0</v>
      </c>
      <c r="AC99" s="8">
        <v>0</v>
      </c>
      <c r="AD99" s="8">
        <v>0</v>
      </c>
      <c r="AE99" s="8">
        <v>0</v>
      </c>
      <c r="AF99" s="8">
        <v>0</v>
      </c>
      <c r="AG99" s="8">
        <v>0</v>
      </c>
      <c r="AH99" s="8">
        <v>0</v>
      </c>
      <c r="AI99" s="8">
        <v>0</v>
      </c>
      <c r="AJ99" s="8">
        <v>0</v>
      </c>
      <c r="AK99" s="8">
        <v>0</v>
      </c>
      <c r="AL99" s="8">
        <v>0</v>
      </c>
      <c r="AM99" s="8">
        <v>0</v>
      </c>
      <c r="AN99" s="8">
        <v>0</v>
      </c>
      <c r="AO99" s="8">
        <v>0</v>
      </c>
      <c r="AP99" s="8">
        <v>0</v>
      </c>
      <c r="AQ99" s="8">
        <v>0</v>
      </c>
      <c r="AR99" s="8">
        <v>0</v>
      </c>
      <c r="AS99" s="8">
        <v>0</v>
      </c>
      <c r="AT99" s="8">
        <v>0</v>
      </c>
      <c r="AU99" s="8">
        <v>0</v>
      </c>
      <c r="AV99" s="8">
        <v>0</v>
      </c>
      <c r="AW99" s="8">
        <v>0</v>
      </c>
      <c r="AX99" s="8">
        <v>0</v>
      </c>
      <c r="AY99" s="8">
        <v>0</v>
      </c>
      <c r="AZ99" s="8">
        <v>0</v>
      </c>
      <c r="BA99" s="8">
        <v>0</v>
      </c>
      <c r="BB99" s="8">
        <v>0</v>
      </c>
      <c r="BC99" s="8">
        <v>0</v>
      </c>
      <c r="BD99" s="8">
        <v>0</v>
      </c>
      <c r="BE99" s="8">
        <v>0</v>
      </c>
      <c r="BF99" s="8">
        <v>0</v>
      </c>
      <c r="BG99" s="8">
        <v>0</v>
      </c>
      <c r="BH99" s="8">
        <v>0</v>
      </c>
      <c r="BI99" s="8">
        <v>0</v>
      </c>
      <c r="BJ99" s="8">
        <v>0</v>
      </c>
      <c r="BK99" s="8">
        <v>0</v>
      </c>
      <c r="BL99" s="8">
        <v>0</v>
      </c>
      <c r="BM99" s="8">
        <v>0</v>
      </c>
      <c r="BN99" s="8">
        <v>0</v>
      </c>
      <c r="BO99" s="3">
        <f t="shared" si="6"/>
        <v>0</v>
      </c>
      <c r="BP99" s="3"/>
      <c r="BQ99" s="3"/>
      <c r="BR99" s="3"/>
      <c r="BS99" s="3"/>
      <c r="BT99" s="3"/>
      <c r="BU99" s="3"/>
      <c r="BV99" s="3"/>
      <c r="BW99" s="3"/>
      <c r="BX99" s="3"/>
      <c r="BY99" s="3"/>
      <c r="BZ99" s="3"/>
      <c r="CA99" s="3"/>
      <c r="CB99" s="3"/>
      <c r="CC99" s="3"/>
      <c r="CD99" s="3"/>
    </row>
    <row r="100" spans="1:82" ht="15" customHeight="1" x14ac:dyDescent="0.2">
      <c r="A100">
        <v>99</v>
      </c>
      <c r="B100" t="s">
        <v>749</v>
      </c>
      <c r="C100" s="65" t="s">
        <v>164</v>
      </c>
      <c r="D100" s="7" t="s">
        <v>79</v>
      </c>
      <c r="E100" s="7" t="s">
        <v>79</v>
      </c>
      <c r="F100" s="3" t="s">
        <v>359</v>
      </c>
      <c r="G100" s="8" t="s">
        <v>51</v>
      </c>
      <c r="H100" s="8" t="s">
        <v>64</v>
      </c>
      <c r="I100" s="8" t="s">
        <v>64</v>
      </c>
      <c r="J100" s="8">
        <v>1</v>
      </c>
      <c r="K100" s="8">
        <v>1</v>
      </c>
      <c r="L100" s="8">
        <v>1</v>
      </c>
      <c r="M100" s="8" t="s">
        <v>167</v>
      </c>
      <c r="N100" s="9">
        <v>0</v>
      </c>
      <c r="O100" s="8">
        <v>1</v>
      </c>
      <c r="P100" s="8">
        <v>1</v>
      </c>
      <c r="Q100" s="8">
        <v>1</v>
      </c>
      <c r="R100" s="8">
        <v>1</v>
      </c>
      <c r="S100" s="8">
        <v>1</v>
      </c>
      <c r="T100" s="8">
        <v>1</v>
      </c>
      <c r="U100" s="8">
        <v>0</v>
      </c>
      <c r="V100" s="8">
        <v>1</v>
      </c>
      <c r="W100" s="8" t="s">
        <v>166</v>
      </c>
      <c r="X100" s="8">
        <v>0</v>
      </c>
      <c r="Y100" s="8">
        <v>0</v>
      </c>
      <c r="Z100" s="8">
        <v>1</v>
      </c>
      <c r="AA100" s="8">
        <v>1</v>
      </c>
      <c r="AB100" s="8">
        <v>0</v>
      </c>
      <c r="AC100" s="8">
        <v>1</v>
      </c>
      <c r="AD100" s="8">
        <v>0</v>
      </c>
      <c r="AE100" s="8">
        <v>1</v>
      </c>
      <c r="AF100" s="8">
        <v>1</v>
      </c>
      <c r="AG100" s="8">
        <v>1</v>
      </c>
      <c r="AH100" s="8">
        <v>0</v>
      </c>
      <c r="AI100" s="8">
        <v>1</v>
      </c>
      <c r="AJ100" s="8">
        <v>0</v>
      </c>
      <c r="AK100" s="8">
        <v>0</v>
      </c>
      <c r="AL100" s="8">
        <v>0</v>
      </c>
      <c r="AM100" s="8">
        <v>1</v>
      </c>
      <c r="AN100" s="8">
        <v>1</v>
      </c>
      <c r="AO100" s="8">
        <v>0</v>
      </c>
      <c r="AP100" s="8">
        <v>1</v>
      </c>
      <c r="AQ100" s="8">
        <v>1</v>
      </c>
      <c r="AR100" s="8">
        <v>0</v>
      </c>
      <c r="AS100" s="8">
        <v>0</v>
      </c>
      <c r="AT100" s="8">
        <v>0</v>
      </c>
      <c r="AU100" s="8">
        <v>0</v>
      </c>
      <c r="AV100" s="8">
        <v>0</v>
      </c>
      <c r="AW100" s="8">
        <v>0</v>
      </c>
      <c r="AX100" s="8">
        <v>0</v>
      </c>
      <c r="AY100" s="8">
        <v>0</v>
      </c>
      <c r="AZ100" s="8">
        <v>0</v>
      </c>
      <c r="BA100" s="8">
        <v>0</v>
      </c>
      <c r="BB100" s="8">
        <v>0</v>
      </c>
      <c r="BC100" s="8">
        <v>0</v>
      </c>
      <c r="BD100" s="8">
        <v>0</v>
      </c>
      <c r="BE100" s="8">
        <v>0</v>
      </c>
      <c r="BF100" s="8">
        <v>0</v>
      </c>
      <c r="BG100" s="8">
        <v>1</v>
      </c>
      <c r="BH100" s="8">
        <v>1</v>
      </c>
      <c r="BI100" s="8">
        <v>0</v>
      </c>
      <c r="BJ100" s="8">
        <v>0</v>
      </c>
      <c r="BK100" s="8">
        <v>0</v>
      </c>
      <c r="BL100" s="8">
        <v>0</v>
      </c>
      <c r="BM100" s="8">
        <v>0</v>
      </c>
      <c r="BN100" s="8">
        <v>1</v>
      </c>
      <c r="BO100" s="3">
        <f t="shared" si="6"/>
        <v>11</v>
      </c>
      <c r="BP100" s="3"/>
      <c r="BQ100" s="3"/>
      <c r="BR100" s="3"/>
      <c r="BS100" s="3"/>
      <c r="BT100" s="3"/>
      <c r="BU100" s="3"/>
      <c r="BV100" s="3"/>
      <c r="BW100" s="3"/>
      <c r="BX100" s="3"/>
      <c r="BY100" s="3"/>
      <c r="BZ100" s="3"/>
      <c r="CA100" s="3"/>
      <c r="CB100" s="3"/>
      <c r="CC100" s="3"/>
      <c r="CD100" s="3"/>
    </row>
    <row r="101" spans="1:82" ht="15" customHeight="1" x14ac:dyDescent="0.2">
      <c r="A101">
        <v>100</v>
      </c>
      <c r="B101" t="s">
        <v>750</v>
      </c>
      <c r="C101" s="65" t="s">
        <v>164</v>
      </c>
      <c r="D101" s="7" t="s">
        <v>79</v>
      </c>
      <c r="E101" s="7" t="s">
        <v>80</v>
      </c>
      <c r="F101" s="3" t="s">
        <v>360</v>
      </c>
      <c r="G101" s="8" t="s">
        <v>51</v>
      </c>
      <c r="H101" s="8" t="s">
        <v>64</v>
      </c>
      <c r="I101" s="8" t="s">
        <v>52</v>
      </c>
      <c r="J101" s="8">
        <v>1</v>
      </c>
      <c r="K101" s="8">
        <v>1</v>
      </c>
      <c r="L101" s="8">
        <v>1</v>
      </c>
      <c r="M101" s="8" t="s">
        <v>168</v>
      </c>
      <c r="N101" s="9" t="s">
        <v>165</v>
      </c>
      <c r="O101" s="8">
        <v>1</v>
      </c>
      <c r="P101" s="8">
        <v>1</v>
      </c>
      <c r="Q101" s="8">
        <v>1</v>
      </c>
      <c r="R101" s="8">
        <v>1</v>
      </c>
      <c r="S101" s="8">
        <v>1</v>
      </c>
      <c r="T101" s="8">
        <v>1</v>
      </c>
      <c r="U101" s="8">
        <v>0</v>
      </c>
      <c r="V101" s="8">
        <v>1</v>
      </c>
      <c r="W101" s="8" t="s">
        <v>166</v>
      </c>
      <c r="X101" s="8">
        <v>0</v>
      </c>
      <c r="Y101" s="8">
        <v>0</v>
      </c>
      <c r="Z101" s="8">
        <v>1</v>
      </c>
      <c r="AA101" s="8">
        <v>1</v>
      </c>
      <c r="AB101" s="8">
        <v>0</v>
      </c>
      <c r="AC101" s="8">
        <v>0</v>
      </c>
      <c r="AD101" s="8">
        <v>0</v>
      </c>
      <c r="AE101" s="8">
        <v>1</v>
      </c>
      <c r="AF101" s="8">
        <v>1</v>
      </c>
      <c r="AG101" s="8">
        <v>1</v>
      </c>
      <c r="AH101" s="8">
        <v>1</v>
      </c>
      <c r="AI101" s="8">
        <v>1</v>
      </c>
      <c r="AJ101" s="8">
        <v>1</v>
      </c>
      <c r="AK101" s="8">
        <v>0</v>
      </c>
      <c r="AL101" s="8">
        <v>0</v>
      </c>
      <c r="AM101" s="8">
        <v>1</v>
      </c>
      <c r="AN101" s="8">
        <v>1</v>
      </c>
      <c r="AO101" s="8">
        <v>0</v>
      </c>
      <c r="AP101" s="8">
        <v>1</v>
      </c>
      <c r="AQ101" s="8">
        <v>1</v>
      </c>
      <c r="AR101" s="8">
        <v>0</v>
      </c>
      <c r="AS101" s="8">
        <v>0</v>
      </c>
      <c r="AT101" s="8">
        <v>0</v>
      </c>
      <c r="AU101" s="8">
        <v>0</v>
      </c>
      <c r="AV101" s="8">
        <v>0</v>
      </c>
      <c r="AW101" s="8">
        <v>0</v>
      </c>
      <c r="AX101" s="8">
        <v>0</v>
      </c>
      <c r="AY101" s="8">
        <v>0</v>
      </c>
      <c r="AZ101" s="8">
        <v>0</v>
      </c>
      <c r="BA101" s="8">
        <v>0</v>
      </c>
      <c r="BB101" s="8">
        <v>0</v>
      </c>
      <c r="BC101" s="8">
        <v>0</v>
      </c>
      <c r="BD101" s="8">
        <v>0</v>
      </c>
      <c r="BE101" s="8">
        <v>0</v>
      </c>
      <c r="BF101" s="8">
        <v>0</v>
      </c>
      <c r="BG101" s="8">
        <v>1</v>
      </c>
      <c r="BH101" s="8">
        <v>1</v>
      </c>
      <c r="BI101" s="8">
        <v>0</v>
      </c>
      <c r="BJ101" s="8">
        <v>0</v>
      </c>
      <c r="BK101" s="8">
        <v>0</v>
      </c>
      <c r="BL101" s="8">
        <v>0</v>
      </c>
      <c r="BM101" s="8">
        <v>0</v>
      </c>
      <c r="BN101" s="8">
        <v>1</v>
      </c>
      <c r="BO101" s="3">
        <f t="shared" si="6"/>
        <v>13</v>
      </c>
      <c r="BP101" s="3"/>
      <c r="BQ101" s="3"/>
      <c r="BR101" s="3"/>
      <c r="BS101" s="3"/>
      <c r="BT101" s="3"/>
      <c r="BU101" s="3"/>
      <c r="BV101" s="3"/>
      <c r="BW101" s="3"/>
      <c r="BX101" s="3"/>
      <c r="BY101" s="3"/>
      <c r="BZ101" s="3"/>
      <c r="CA101" s="3"/>
      <c r="CB101" s="3"/>
      <c r="CC101" s="3"/>
      <c r="CD101" s="3"/>
    </row>
    <row r="102" spans="1:82" ht="15" customHeight="1" x14ac:dyDescent="0.2">
      <c r="A102">
        <v>101</v>
      </c>
      <c r="B102" t="s">
        <v>751</v>
      </c>
      <c r="C102" s="65" t="s">
        <v>164</v>
      </c>
      <c r="D102" s="7" t="s">
        <v>244</v>
      </c>
      <c r="E102" s="7" t="s">
        <v>244</v>
      </c>
      <c r="F102" s="3" t="s">
        <v>361</v>
      </c>
      <c r="G102" s="8" t="s">
        <v>51</v>
      </c>
      <c r="H102" s="8" t="s">
        <v>64</v>
      </c>
      <c r="I102" s="8" t="s">
        <v>52</v>
      </c>
      <c r="J102" s="8">
        <v>1</v>
      </c>
      <c r="K102" s="8">
        <v>1</v>
      </c>
      <c r="L102" s="8">
        <v>1</v>
      </c>
      <c r="M102" s="8" t="s">
        <v>168</v>
      </c>
      <c r="N102" s="9" t="s">
        <v>165</v>
      </c>
      <c r="O102" s="8">
        <v>1</v>
      </c>
      <c r="P102" s="8">
        <v>1</v>
      </c>
      <c r="Q102" s="8">
        <v>1</v>
      </c>
      <c r="R102" s="8">
        <v>1</v>
      </c>
      <c r="S102" s="8">
        <v>1</v>
      </c>
      <c r="T102" s="8">
        <v>1</v>
      </c>
      <c r="U102" s="8">
        <v>0</v>
      </c>
      <c r="V102" s="8">
        <v>1</v>
      </c>
      <c r="W102" s="8" t="s">
        <v>166</v>
      </c>
      <c r="X102" s="8">
        <v>0</v>
      </c>
      <c r="Y102" s="8">
        <v>0</v>
      </c>
      <c r="Z102" s="8">
        <v>1</v>
      </c>
      <c r="AA102" s="8">
        <v>1</v>
      </c>
      <c r="AB102" s="8">
        <v>0</v>
      </c>
      <c r="AC102" s="8">
        <v>0</v>
      </c>
      <c r="AD102" s="8">
        <v>0</v>
      </c>
      <c r="AE102" s="8">
        <v>1</v>
      </c>
      <c r="AF102" s="8">
        <v>1</v>
      </c>
      <c r="AG102" s="8">
        <v>1</v>
      </c>
      <c r="AH102" s="8">
        <v>1</v>
      </c>
      <c r="AI102" s="8">
        <v>1</v>
      </c>
      <c r="AJ102" s="8">
        <v>1</v>
      </c>
      <c r="AK102" s="8">
        <v>0</v>
      </c>
      <c r="AL102" s="8">
        <v>1</v>
      </c>
      <c r="AM102" s="8">
        <v>1</v>
      </c>
      <c r="AN102" s="8">
        <v>1</v>
      </c>
      <c r="AO102" s="8">
        <v>0</v>
      </c>
      <c r="AP102" s="8">
        <v>1</v>
      </c>
      <c r="AQ102" s="8">
        <v>1</v>
      </c>
      <c r="AR102" s="8">
        <v>0</v>
      </c>
      <c r="AS102" s="8">
        <v>0</v>
      </c>
      <c r="AT102" s="8">
        <v>0</v>
      </c>
      <c r="AU102" s="8">
        <v>0</v>
      </c>
      <c r="AV102" s="8">
        <v>0</v>
      </c>
      <c r="AW102" s="8">
        <v>0</v>
      </c>
      <c r="AX102" s="8">
        <v>0</v>
      </c>
      <c r="AY102" s="8">
        <v>0</v>
      </c>
      <c r="AZ102" s="8">
        <v>0</v>
      </c>
      <c r="BA102" s="8">
        <v>0</v>
      </c>
      <c r="BB102" s="8">
        <v>0</v>
      </c>
      <c r="BC102" s="8">
        <v>0</v>
      </c>
      <c r="BD102" s="8">
        <v>0</v>
      </c>
      <c r="BE102" s="8">
        <v>0</v>
      </c>
      <c r="BF102" s="8">
        <v>0</v>
      </c>
      <c r="BG102" s="8">
        <v>1</v>
      </c>
      <c r="BH102" s="8">
        <v>1</v>
      </c>
      <c r="BI102" s="8">
        <v>0</v>
      </c>
      <c r="BJ102" s="8">
        <v>0</v>
      </c>
      <c r="BK102" s="8">
        <v>0</v>
      </c>
      <c r="BL102" s="8">
        <v>0</v>
      </c>
      <c r="BM102" s="8">
        <v>0</v>
      </c>
      <c r="BN102" s="8">
        <v>1</v>
      </c>
      <c r="BO102" s="3">
        <f t="shared" ref="BO102" si="10">SUM(AE102:BN102)</f>
        <v>14</v>
      </c>
      <c r="BP102" s="3"/>
      <c r="BQ102" s="3"/>
      <c r="BR102" s="3"/>
      <c r="BS102" s="3"/>
      <c r="BT102" s="3"/>
      <c r="BU102" s="3"/>
      <c r="BV102" s="3"/>
      <c r="BW102" s="3"/>
      <c r="BX102" s="3"/>
      <c r="BY102" s="3"/>
      <c r="BZ102" s="3"/>
      <c r="CA102" s="3"/>
      <c r="CB102" s="3"/>
      <c r="CC102" s="3"/>
      <c r="CD102" s="3"/>
    </row>
    <row r="103" spans="1:82" ht="15" customHeight="1" x14ac:dyDescent="0.2">
      <c r="A103">
        <v>102</v>
      </c>
      <c r="B103" t="s">
        <v>752</v>
      </c>
      <c r="C103" s="65" t="s">
        <v>169</v>
      </c>
      <c r="D103" s="7" t="s">
        <v>77</v>
      </c>
      <c r="E103" s="7" t="s">
        <v>78</v>
      </c>
      <c r="F103" s="3" t="s">
        <v>362</v>
      </c>
      <c r="G103" s="8" t="s">
        <v>51</v>
      </c>
      <c r="H103" s="8" t="s">
        <v>52</v>
      </c>
      <c r="I103" s="8" t="s">
        <v>123</v>
      </c>
      <c r="J103" s="8">
        <v>1</v>
      </c>
      <c r="K103" s="8">
        <v>0</v>
      </c>
      <c r="L103" s="8">
        <v>0</v>
      </c>
      <c r="M103" s="8" t="s">
        <v>65</v>
      </c>
      <c r="N103" s="15">
        <v>0.33</v>
      </c>
      <c r="O103" s="16">
        <v>0</v>
      </c>
      <c r="P103" s="8">
        <v>0</v>
      </c>
      <c r="Q103" s="8">
        <v>1</v>
      </c>
      <c r="R103" s="8">
        <v>0</v>
      </c>
      <c r="S103" s="8">
        <v>1</v>
      </c>
      <c r="T103" s="8">
        <v>0</v>
      </c>
      <c r="U103" s="8">
        <v>0</v>
      </c>
      <c r="V103" s="8">
        <v>1</v>
      </c>
      <c r="W103" s="8" t="s">
        <v>170</v>
      </c>
      <c r="X103" s="8">
        <v>0</v>
      </c>
      <c r="Y103" s="8">
        <v>0</v>
      </c>
      <c r="Z103" s="8">
        <v>0</v>
      </c>
      <c r="AA103" s="8">
        <v>0</v>
      </c>
      <c r="AB103" s="8">
        <v>0</v>
      </c>
      <c r="AC103" s="8">
        <v>1</v>
      </c>
      <c r="AD103" s="8">
        <v>0</v>
      </c>
      <c r="AE103" s="8">
        <v>0</v>
      </c>
      <c r="AF103" s="8">
        <v>0</v>
      </c>
      <c r="AG103" s="8">
        <v>0</v>
      </c>
      <c r="AH103" s="8">
        <v>0</v>
      </c>
      <c r="AI103" s="8">
        <v>0</v>
      </c>
      <c r="AJ103" s="8">
        <v>0</v>
      </c>
      <c r="AK103" s="8">
        <v>0</v>
      </c>
      <c r="AL103" s="8">
        <v>0</v>
      </c>
      <c r="AM103" s="8">
        <v>0</v>
      </c>
      <c r="AN103" s="8">
        <v>0</v>
      </c>
      <c r="AO103" s="8">
        <v>0</v>
      </c>
      <c r="AP103" s="8">
        <v>0</v>
      </c>
      <c r="AQ103" s="8">
        <v>0</v>
      </c>
      <c r="AR103" s="8">
        <v>0</v>
      </c>
      <c r="AS103" s="8">
        <v>0</v>
      </c>
      <c r="AT103" s="8">
        <v>0</v>
      </c>
      <c r="AU103" s="8">
        <v>0</v>
      </c>
      <c r="AV103" s="8">
        <v>0</v>
      </c>
      <c r="AW103" s="8">
        <v>0</v>
      </c>
      <c r="AX103" s="8">
        <v>0</v>
      </c>
      <c r="AY103" s="8">
        <v>0</v>
      </c>
      <c r="AZ103" s="8">
        <v>0</v>
      </c>
      <c r="BA103" s="8">
        <v>0</v>
      </c>
      <c r="BB103" s="8">
        <v>0</v>
      </c>
      <c r="BC103" s="8">
        <v>0</v>
      </c>
      <c r="BD103" s="8">
        <v>0</v>
      </c>
      <c r="BE103" s="8">
        <v>0</v>
      </c>
      <c r="BF103" s="8">
        <v>0</v>
      </c>
      <c r="BG103" s="8">
        <v>0</v>
      </c>
      <c r="BH103" s="8">
        <v>0</v>
      </c>
      <c r="BI103" s="8">
        <v>0</v>
      </c>
      <c r="BJ103" s="8">
        <v>0</v>
      </c>
      <c r="BK103" s="8">
        <v>0</v>
      </c>
      <c r="BL103" s="8">
        <v>0</v>
      </c>
      <c r="BM103" s="8">
        <v>0</v>
      </c>
      <c r="BN103" s="8">
        <v>0</v>
      </c>
      <c r="BO103" s="3">
        <f t="shared" si="6"/>
        <v>0</v>
      </c>
      <c r="BP103" s="3"/>
      <c r="BQ103" s="3"/>
      <c r="BR103" s="3"/>
      <c r="BS103" s="3"/>
      <c r="BT103" s="3"/>
      <c r="BU103" s="3"/>
      <c r="BV103" s="3"/>
      <c r="BW103" s="3"/>
      <c r="BX103" s="3"/>
      <c r="BY103" s="3"/>
      <c r="BZ103" s="3"/>
      <c r="CA103" s="3"/>
      <c r="CB103" s="3"/>
      <c r="CC103" s="3"/>
      <c r="CD103" s="3"/>
    </row>
    <row r="104" spans="1:82" ht="16" x14ac:dyDescent="0.2">
      <c r="A104">
        <v>103</v>
      </c>
      <c r="B104" t="s">
        <v>753</v>
      </c>
      <c r="C104" s="65" t="s">
        <v>171</v>
      </c>
      <c r="D104" s="7" t="s">
        <v>363</v>
      </c>
      <c r="E104" s="7" t="s">
        <v>363</v>
      </c>
      <c r="F104" s="104" t="s">
        <v>662</v>
      </c>
      <c r="G104" s="8" t="s">
        <v>63</v>
      </c>
      <c r="H104" s="8" t="s">
        <v>64</v>
      </c>
      <c r="I104" s="8" t="s">
        <v>64</v>
      </c>
      <c r="J104" s="8">
        <v>0</v>
      </c>
      <c r="K104" s="8">
        <v>0</v>
      </c>
      <c r="L104" s="8">
        <v>1</v>
      </c>
      <c r="M104" s="8" t="s">
        <v>65</v>
      </c>
      <c r="N104" s="9">
        <v>0.5</v>
      </c>
      <c r="O104" s="8">
        <v>0</v>
      </c>
      <c r="P104" s="8">
        <v>0</v>
      </c>
      <c r="Q104" s="8">
        <v>1</v>
      </c>
      <c r="R104" s="8">
        <v>0</v>
      </c>
      <c r="S104" s="8">
        <v>1</v>
      </c>
      <c r="T104" s="8">
        <v>0</v>
      </c>
      <c r="U104" s="8">
        <v>0</v>
      </c>
      <c r="V104" s="8">
        <v>0</v>
      </c>
      <c r="W104" s="8" t="s">
        <v>364</v>
      </c>
      <c r="X104" s="8">
        <v>0</v>
      </c>
      <c r="Y104" s="8">
        <v>0</v>
      </c>
      <c r="Z104" s="8">
        <v>0</v>
      </c>
      <c r="AA104" s="8">
        <v>1</v>
      </c>
      <c r="AB104" s="8">
        <v>1</v>
      </c>
      <c r="AC104" s="8">
        <v>1</v>
      </c>
      <c r="AD104" s="8">
        <v>0</v>
      </c>
      <c r="AE104" s="8">
        <v>0</v>
      </c>
      <c r="AF104" s="8">
        <v>0</v>
      </c>
      <c r="AG104" s="8">
        <v>0</v>
      </c>
      <c r="AH104" s="8">
        <v>0</v>
      </c>
      <c r="AI104" s="8">
        <v>0</v>
      </c>
      <c r="AJ104" s="8">
        <v>0</v>
      </c>
      <c r="AK104" s="8">
        <v>0</v>
      </c>
      <c r="AL104" s="8">
        <v>0</v>
      </c>
      <c r="AM104" s="8">
        <v>0</v>
      </c>
      <c r="AN104" s="8">
        <v>0</v>
      </c>
      <c r="AO104" s="8">
        <v>0</v>
      </c>
      <c r="AP104" s="8">
        <v>0</v>
      </c>
      <c r="AQ104" s="8">
        <v>0</v>
      </c>
      <c r="AR104" s="8">
        <v>0</v>
      </c>
      <c r="AS104" s="8">
        <v>0</v>
      </c>
      <c r="AT104" s="8">
        <v>0</v>
      </c>
      <c r="AU104" s="8">
        <v>0</v>
      </c>
      <c r="AV104" s="8">
        <v>0</v>
      </c>
      <c r="AW104" s="8">
        <v>0</v>
      </c>
      <c r="AX104" s="8">
        <v>0</v>
      </c>
      <c r="AY104" s="8">
        <v>0</v>
      </c>
      <c r="AZ104" s="8">
        <v>0</v>
      </c>
      <c r="BA104" s="8">
        <v>0</v>
      </c>
      <c r="BB104" s="8">
        <v>0</v>
      </c>
      <c r="BC104" s="8">
        <v>0</v>
      </c>
      <c r="BD104" s="8">
        <v>0</v>
      </c>
      <c r="BE104" s="8">
        <v>0</v>
      </c>
      <c r="BF104" s="8">
        <v>0</v>
      </c>
      <c r="BG104" s="8">
        <v>0</v>
      </c>
      <c r="BH104" s="8">
        <v>0</v>
      </c>
      <c r="BI104" s="8">
        <v>0</v>
      </c>
      <c r="BJ104" s="8">
        <v>0</v>
      </c>
      <c r="BK104" s="8">
        <v>0</v>
      </c>
      <c r="BL104" s="8">
        <v>0</v>
      </c>
      <c r="BM104" s="8">
        <v>0</v>
      </c>
      <c r="BN104" s="8">
        <v>0</v>
      </c>
      <c r="BO104" s="3">
        <f t="shared" si="6"/>
        <v>0</v>
      </c>
      <c r="BP104" s="3"/>
      <c r="BQ104" s="3"/>
      <c r="BR104" s="3"/>
      <c r="BS104" s="3"/>
      <c r="BT104" s="3"/>
      <c r="BU104" s="3"/>
      <c r="BV104" s="3"/>
      <c r="BW104" s="3"/>
      <c r="BX104" s="3"/>
      <c r="BY104" s="3"/>
      <c r="BZ104" s="3"/>
      <c r="CA104" s="3"/>
      <c r="CB104" s="3"/>
      <c r="CC104" s="3"/>
      <c r="CD104" s="3"/>
    </row>
    <row r="105" spans="1:82" ht="15" customHeight="1" x14ac:dyDescent="0.2">
      <c r="A105">
        <v>104</v>
      </c>
      <c r="B105" t="s">
        <v>754</v>
      </c>
      <c r="C105" s="65" t="s">
        <v>171</v>
      </c>
      <c r="D105" s="7" t="s">
        <v>284</v>
      </c>
      <c r="E105" s="7" t="s">
        <v>284</v>
      </c>
      <c r="F105" s="104" t="s">
        <v>365</v>
      </c>
      <c r="G105" s="8" t="s">
        <v>63</v>
      </c>
      <c r="H105" s="8" t="s">
        <v>64</v>
      </c>
      <c r="I105" s="8" t="s">
        <v>64</v>
      </c>
      <c r="J105" s="8">
        <v>0</v>
      </c>
      <c r="K105" s="8">
        <v>0</v>
      </c>
      <c r="L105" s="8">
        <v>0</v>
      </c>
      <c r="M105" s="8"/>
      <c r="N105" s="9">
        <v>0</v>
      </c>
      <c r="O105" s="8">
        <v>1</v>
      </c>
      <c r="P105" s="8">
        <v>1</v>
      </c>
      <c r="Q105" s="8">
        <v>0</v>
      </c>
      <c r="R105" s="8">
        <v>1</v>
      </c>
      <c r="S105" s="8">
        <v>1</v>
      </c>
      <c r="T105" s="8">
        <v>0</v>
      </c>
      <c r="U105" s="8">
        <v>1</v>
      </c>
      <c r="V105" s="8">
        <v>0</v>
      </c>
      <c r="W105" s="8" t="s">
        <v>366</v>
      </c>
      <c r="X105" s="8">
        <v>0</v>
      </c>
      <c r="Y105" s="8">
        <v>0</v>
      </c>
      <c r="Z105" s="8">
        <v>0</v>
      </c>
      <c r="AA105" s="8">
        <v>0</v>
      </c>
      <c r="AB105" s="8">
        <v>0</v>
      </c>
      <c r="AC105" s="8">
        <v>0</v>
      </c>
      <c r="AD105" s="8">
        <v>0</v>
      </c>
      <c r="AE105" s="8">
        <v>0</v>
      </c>
      <c r="AF105" s="8">
        <v>0</v>
      </c>
      <c r="AG105" s="8">
        <v>0</v>
      </c>
      <c r="AH105" s="8">
        <v>0</v>
      </c>
      <c r="AI105" s="8">
        <v>0</v>
      </c>
      <c r="AJ105" s="8">
        <v>0</v>
      </c>
      <c r="AK105" s="8">
        <v>0</v>
      </c>
      <c r="AL105" s="8">
        <v>0</v>
      </c>
      <c r="AM105" s="8">
        <v>0</v>
      </c>
      <c r="AN105" s="8">
        <v>1</v>
      </c>
      <c r="AO105" s="8">
        <v>0</v>
      </c>
      <c r="AP105" s="8">
        <v>0</v>
      </c>
      <c r="AQ105" s="8">
        <v>0</v>
      </c>
      <c r="AR105" s="8">
        <v>0</v>
      </c>
      <c r="AS105" s="8">
        <v>0</v>
      </c>
      <c r="AT105" s="8">
        <v>0</v>
      </c>
      <c r="AU105" s="8">
        <v>0</v>
      </c>
      <c r="AV105" s="8">
        <v>0</v>
      </c>
      <c r="AW105" s="8">
        <v>0</v>
      </c>
      <c r="AX105" s="8">
        <v>0</v>
      </c>
      <c r="AY105" s="8">
        <v>0</v>
      </c>
      <c r="AZ105" s="8">
        <v>0</v>
      </c>
      <c r="BA105" s="8">
        <v>0</v>
      </c>
      <c r="BB105" s="8">
        <v>0</v>
      </c>
      <c r="BC105" s="8">
        <v>0</v>
      </c>
      <c r="BD105" s="8">
        <v>0</v>
      </c>
      <c r="BE105" s="8">
        <v>0</v>
      </c>
      <c r="BF105" s="8">
        <v>0</v>
      </c>
      <c r="BG105" s="8">
        <v>0</v>
      </c>
      <c r="BH105" s="8">
        <v>0</v>
      </c>
      <c r="BI105" s="8">
        <v>0</v>
      </c>
      <c r="BJ105" s="8">
        <v>0</v>
      </c>
      <c r="BK105" s="8">
        <v>0</v>
      </c>
      <c r="BL105" s="8">
        <v>0</v>
      </c>
      <c r="BM105" s="8">
        <v>0</v>
      </c>
      <c r="BN105" s="8">
        <v>0</v>
      </c>
      <c r="BO105" s="3">
        <v>1</v>
      </c>
      <c r="BP105" s="3"/>
      <c r="BQ105" s="3"/>
      <c r="BR105" s="3"/>
      <c r="BS105" s="3"/>
      <c r="BT105" s="3"/>
      <c r="BU105" s="3"/>
      <c r="BV105" s="3"/>
      <c r="BW105" s="3"/>
      <c r="BX105" s="3"/>
      <c r="BY105" s="3"/>
      <c r="BZ105" s="3"/>
      <c r="CA105" s="3"/>
      <c r="CB105" s="3"/>
      <c r="CC105" s="3"/>
      <c r="CD105" s="3"/>
    </row>
    <row r="106" spans="1:82" ht="15" customHeight="1" x14ac:dyDescent="0.2">
      <c r="A106">
        <v>105</v>
      </c>
      <c r="B106" t="s">
        <v>755</v>
      </c>
      <c r="C106" s="65" t="s">
        <v>171</v>
      </c>
      <c r="D106" s="7" t="s">
        <v>367</v>
      </c>
      <c r="E106" s="7" t="s">
        <v>367</v>
      </c>
      <c r="F106" s="3" t="s">
        <v>368</v>
      </c>
      <c r="G106" s="8" t="s">
        <v>63</v>
      </c>
      <c r="H106" s="8" t="s">
        <v>64</v>
      </c>
      <c r="I106" s="8" t="s">
        <v>64</v>
      </c>
      <c r="J106" s="8">
        <v>0</v>
      </c>
      <c r="K106" s="8">
        <v>0</v>
      </c>
      <c r="L106" s="8">
        <v>1</v>
      </c>
      <c r="M106" s="8" t="s">
        <v>65</v>
      </c>
      <c r="N106" s="9">
        <v>0.5</v>
      </c>
      <c r="O106" s="8">
        <v>0</v>
      </c>
      <c r="P106" s="8">
        <v>0</v>
      </c>
      <c r="Q106" s="8">
        <v>1</v>
      </c>
      <c r="R106" s="8">
        <v>0</v>
      </c>
      <c r="S106" s="8">
        <v>1</v>
      </c>
      <c r="T106" s="8">
        <v>0</v>
      </c>
      <c r="U106" s="8">
        <v>0</v>
      </c>
      <c r="V106" s="8">
        <v>0</v>
      </c>
      <c r="W106" s="8" t="s">
        <v>364</v>
      </c>
      <c r="X106" s="8">
        <v>0</v>
      </c>
      <c r="Y106" s="8">
        <v>0</v>
      </c>
      <c r="Z106" s="8">
        <v>0</v>
      </c>
      <c r="AA106" s="8">
        <v>1</v>
      </c>
      <c r="AB106" s="8">
        <v>1</v>
      </c>
      <c r="AC106" s="8">
        <v>1</v>
      </c>
      <c r="AD106" s="8">
        <v>0</v>
      </c>
      <c r="AE106" s="8">
        <v>0</v>
      </c>
      <c r="AF106" s="8">
        <v>0</v>
      </c>
      <c r="AG106" s="8">
        <v>0</v>
      </c>
      <c r="AH106" s="8">
        <v>1</v>
      </c>
      <c r="AI106" s="8">
        <v>0</v>
      </c>
      <c r="AJ106" s="8">
        <v>0</v>
      </c>
      <c r="AK106" s="8">
        <v>0</v>
      </c>
      <c r="AL106" s="8">
        <v>0</v>
      </c>
      <c r="AM106" s="8">
        <v>0</v>
      </c>
      <c r="AN106" s="8">
        <v>0</v>
      </c>
      <c r="AO106" s="8">
        <v>0</v>
      </c>
      <c r="AP106" s="8">
        <v>0</v>
      </c>
      <c r="AQ106" s="8">
        <v>0</v>
      </c>
      <c r="AR106" s="8">
        <v>0</v>
      </c>
      <c r="AS106" s="8">
        <v>0</v>
      </c>
      <c r="AT106" s="8">
        <v>0</v>
      </c>
      <c r="AU106" s="8">
        <v>0</v>
      </c>
      <c r="AV106" s="8">
        <v>0</v>
      </c>
      <c r="AW106" s="8">
        <v>0</v>
      </c>
      <c r="AX106" s="8">
        <v>0</v>
      </c>
      <c r="AY106" s="8">
        <v>0</v>
      </c>
      <c r="AZ106" s="8">
        <v>0</v>
      </c>
      <c r="BA106" s="8">
        <v>0</v>
      </c>
      <c r="BB106" s="8">
        <v>0</v>
      </c>
      <c r="BC106" s="8">
        <v>0</v>
      </c>
      <c r="BD106" s="8">
        <v>0</v>
      </c>
      <c r="BE106" s="8">
        <v>0</v>
      </c>
      <c r="BF106" s="8">
        <v>0</v>
      </c>
      <c r="BG106" s="8">
        <v>0</v>
      </c>
      <c r="BH106" s="8">
        <v>0</v>
      </c>
      <c r="BI106" s="8">
        <v>0</v>
      </c>
      <c r="BJ106" s="8">
        <v>0</v>
      </c>
      <c r="BK106" s="8">
        <v>0</v>
      </c>
      <c r="BL106" s="8">
        <v>0</v>
      </c>
      <c r="BM106" s="8">
        <v>0</v>
      </c>
      <c r="BN106" s="8">
        <v>0</v>
      </c>
      <c r="BO106" s="3">
        <f t="shared" si="6"/>
        <v>1</v>
      </c>
      <c r="BP106" s="3"/>
      <c r="BQ106" s="3"/>
      <c r="BR106" s="3"/>
      <c r="BS106" s="3"/>
      <c r="BT106" s="3"/>
      <c r="BU106" s="3"/>
      <c r="BV106" s="3"/>
      <c r="BW106" s="3"/>
      <c r="BX106" s="3"/>
      <c r="BY106" s="3"/>
      <c r="BZ106" s="3"/>
      <c r="CA106" s="3"/>
      <c r="CB106" s="3"/>
      <c r="CC106" s="3"/>
      <c r="CD106" s="3"/>
    </row>
    <row r="107" spans="1:82" ht="15" customHeight="1" x14ac:dyDescent="0.2">
      <c r="A107">
        <v>106</v>
      </c>
      <c r="B107" t="s">
        <v>756</v>
      </c>
      <c r="C107" s="65" t="s">
        <v>171</v>
      </c>
      <c r="D107" s="7" t="s">
        <v>74</v>
      </c>
      <c r="E107" s="7" t="s">
        <v>74</v>
      </c>
      <c r="F107" s="3" t="s">
        <v>369</v>
      </c>
      <c r="G107" s="8" t="s">
        <v>63</v>
      </c>
      <c r="H107" s="8" t="s">
        <v>64</v>
      </c>
      <c r="I107" s="8" t="s">
        <v>64</v>
      </c>
      <c r="J107" s="8">
        <v>1</v>
      </c>
      <c r="K107" s="8">
        <v>0</v>
      </c>
      <c r="L107" s="8">
        <v>1</v>
      </c>
      <c r="M107" s="8" t="s">
        <v>67</v>
      </c>
      <c r="N107" s="9">
        <v>0.2</v>
      </c>
      <c r="O107" s="8">
        <v>1</v>
      </c>
      <c r="P107" s="8">
        <v>0</v>
      </c>
      <c r="Q107" s="8">
        <v>1</v>
      </c>
      <c r="R107" s="8">
        <v>1</v>
      </c>
      <c r="S107" s="8">
        <v>1</v>
      </c>
      <c r="T107" s="8">
        <v>0</v>
      </c>
      <c r="U107" s="8">
        <v>1</v>
      </c>
      <c r="V107" s="8">
        <v>1</v>
      </c>
      <c r="W107" s="8" t="s">
        <v>112</v>
      </c>
      <c r="X107" s="8">
        <v>1</v>
      </c>
      <c r="Y107" s="8">
        <v>0</v>
      </c>
      <c r="Z107" s="8">
        <v>0</v>
      </c>
      <c r="AA107" s="8">
        <v>1</v>
      </c>
      <c r="AB107" s="8">
        <v>1</v>
      </c>
      <c r="AC107" s="8">
        <v>1</v>
      </c>
      <c r="AD107" s="8">
        <v>0</v>
      </c>
      <c r="AE107" s="8">
        <v>1</v>
      </c>
      <c r="AF107" s="8">
        <v>1</v>
      </c>
      <c r="AG107" s="8">
        <v>0</v>
      </c>
      <c r="AH107" s="8">
        <v>1</v>
      </c>
      <c r="AI107" s="8">
        <v>1</v>
      </c>
      <c r="AJ107" s="8">
        <v>0</v>
      </c>
      <c r="AK107" s="8">
        <v>0</v>
      </c>
      <c r="AL107" s="8">
        <v>0</v>
      </c>
      <c r="AM107" s="8">
        <v>0</v>
      </c>
      <c r="AN107" s="8">
        <v>0</v>
      </c>
      <c r="AO107" s="8">
        <v>0</v>
      </c>
      <c r="AP107" s="8">
        <v>0</v>
      </c>
      <c r="AQ107" s="8">
        <v>0</v>
      </c>
      <c r="AR107" s="8">
        <v>0</v>
      </c>
      <c r="AS107" s="8">
        <v>0</v>
      </c>
      <c r="AT107" s="8">
        <v>0</v>
      </c>
      <c r="AU107" s="8">
        <v>0</v>
      </c>
      <c r="AV107" s="8">
        <v>0</v>
      </c>
      <c r="AW107" s="8">
        <v>0</v>
      </c>
      <c r="AX107" s="8">
        <v>0</v>
      </c>
      <c r="AY107" s="8">
        <v>0</v>
      </c>
      <c r="AZ107" s="8">
        <v>0</v>
      </c>
      <c r="BA107" s="8">
        <v>0</v>
      </c>
      <c r="BB107" s="8">
        <v>0</v>
      </c>
      <c r="BC107" s="8">
        <v>0</v>
      </c>
      <c r="BD107" s="8">
        <v>0</v>
      </c>
      <c r="BE107" s="8">
        <v>0</v>
      </c>
      <c r="BF107" s="8">
        <v>0</v>
      </c>
      <c r="BG107" s="8">
        <v>1</v>
      </c>
      <c r="BH107" s="8">
        <v>1</v>
      </c>
      <c r="BI107" s="8">
        <v>0</v>
      </c>
      <c r="BJ107" s="8">
        <v>0</v>
      </c>
      <c r="BK107" s="8">
        <v>1</v>
      </c>
      <c r="BL107" s="8">
        <v>0</v>
      </c>
      <c r="BM107" s="8">
        <v>0</v>
      </c>
      <c r="BN107" s="8">
        <v>0</v>
      </c>
      <c r="BO107" s="3">
        <f t="shared" si="6"/>
        <v>7</v>
      </c>
      <c r="BP107" s="3"/>
      <c r="BQ107" s="3"/>
      <c r="BR107" s="3"/>
      <c r="BS107" s="3"/>
      <c r="BT107" s="3"/>
      <c r="BU107" s="3"/>
      <c r="BV107" s="3"/>
      <c r="BW107" s="3"/>
      <c r="BX107" s="3"/>
      <c r="BY107" s="3"/>
      <c r="BZ107" s="3"/>
      <c r="CA107" s="3"/>
      <c r="CB107" s="3"/>
      <c r="CC107" s="3"/>
      <c r="CD107" s="3"/>
    </row>
    <row r="108" spans="1:82" ht="15" customHeight="1" x14ac:dyDescent="0.2">
      <c r="A108">
        <v>107</v>
      </c>
      <c r="B108" t="s">
        <v>757</v>
      </c>
      <c r="C108" s="65" t="s">
        <v>171</v>
      </c>
      <c r="D108" s="7" t="s">
        <v>79</v>
      </c>
      <c r="E108" s="7" t="s">
        <v>79</v>
      </c>
      <c r="F108" s="3" t="s">
        <v>370</v>
      </c>
      <c r="G108" s="8" t="s">
        <v>63</v>
      </c>
      <c r="H108" s="8" t="s">
        <v>64</v>
      </c>
      <c r="I108" s="8" t="s">
        <v>64</v>
      </c>
      <c r="J108" s="8">
        <v>1</v>
      </c>
      <c r="K108" s="8">
        <v>0</v>
      </c>
      <c r="L108" s="8">
        <v>1</v>
      </c>
      <c r="M108" s="8" t="s">
        <v>150</v>
      </c>
      <c r="N108" s="9" t="s">
        <v>172</v>
      </c>
      <c r="O108" s="8">
        <v>1</v>
      </c>
      <c r="P108" s="8">
        <v>0</v>
      </c>
      <c r="Q108" s="8">
        <v>1</v>
      </c>
      <c r="R108" s="8">
        <v>1</v>
      </c>
      <c r="S108" s="8">
        <v>1</v>
      </c>
      <c r="T108" s="8">
        <v>0</v>
      </c>
      <c r="U108" s="8">
        <v>0</v>
      </c>
      <c r="V108" s="8">
        <v>1</v>
      </c>
      <c r="W108" s="8" t="s">
        <v>112</v>
      </c>
      <c r="X108" s="8">
        <v>1</v>
      </c>
      <c r="Y108" s="8">
        <v>0</v>
      </c>
      <c r="Z108" s="8">
        <v>0</v>
      </c>
      <c r="AA108" s="8">
        <v>1</v>
      </c>
      <c r="AB108" s="8">
        <v>1</v>
      </c>
      <c r="AC108" s="8">
        <v>0.5</v>
      </c>
      <c r="AD108" s="8">
        <v>0</v>
      </c>
      <c r="AE108" s="8">
        <v>1</v>
      </c>
      <c r="AF108" s="8">
        <v>1</v>
      </c>
      <c r="AG108" s="8">
        <v>1</v>
      </c>
      <c r="AH108" s="8">
        <v>1</v>
      </c>
      <c r="AI108" s="8">
        <v>1</v>
      </c>
      <c r="AJ108" s="8">
        <v>1</v>
      </c>
      <c r="AK108" s="8">
        <v>0</v>
      </c>
      <c r="AL108" s="8">
        <v>0</v>
      </c>
      <c r="AM108" s="8">
        <v>0</v>
      </c>
      <c r="AN108" s="8">
        <v>0</v>
      </c>
      <c r="AO108" s="8">
        <v>0</v>
      </c>
      <c r="AP108" s="8">
        <v>0</v>
      </c>
      <c r="AQ108" s="8">
        <v>0</v>
      </c>
      <c r="AR108" s="8">
        <v>0</v>
      </c>
      <c r="AS108" s="8">
        <v>0</v>
      </c>
      <c r="AT108" s="8">
        <v>0</v>
      </c>
      <c r="AU108" s="8">
        <v>0</v>
      </c>
      <c r="AV108" s="8">
        <v>0</v>
      </c>
      <c r="AW108" s="8">
        <v>1</v>
      </c>
      <c r="AX108" s="8">
        <v>0</v>
      </c>
      <c r="AY108" s="8">
        <v>0</v>
      </c>
      <c r="AZ108" s="8">
        <v>0</v>
      </c>
      <c r="BA108" s="8">
        <v>0</v>
      </c>
      <c r="BB108" s="8">
        <v>0</v>
      </c>
      <c r="BC108" s="8">
        <v>0</v>
      </c>
      <c r="BD108" s="8">
        <v>0</v>
      </c>
      <c r="BE108" s="8">
        <v>0</v>
      </c>
      <c r="BF108" s="8">
        <v>0</v>
      </c>
      <c r="BG108" s="8">
        <v>1</v>
      </c>
      <c r="BH108" s="8">
        <v>1</v>
      </c>
      <c r="BI108" s="8">
        <v>0</v>
      </c>
      <c r="BJ108" s="8">
        <v>0</v>
      </c>
      <c r="BK108" s="8">
        <v>1</v>
      </c>
      <c r="BL108" s="8">
        <v>0</v>
      </c>
      <c r="BM108" s="8">
        <v>0</v>
      </c>
      <c r="BN108" s="8">
        <v>0</v>
      </c>
      <c r="BO108" s="3">
        <f t="shared" si="6"/>
        <v>10</v>
      </c>
      <c r="BP108" s="3"/>
      <c r="BQ108" s="3"/>
      <c r="BR108" s="3"/>
      <c r="BS108" s="3"/>
      <c r="BT108" s="3"/>
      <c r="BU108" s="3"/>
      <c r="BV108" s="3"/>
      <c r="BW108" s="3"/>
      <c r="BX108" s="3"/>
      <c r="BY108" s="3"/>
      <c r="BZ108" s="3"/>
      <c r="CA108" s="3"/>
      <c r="CB108" s="3"/>
      <c r="CC108" s="3"/>
      <c r="CD108" s="3"/>
    </row>
    <row r="109" spans="1:82" ht="15" customHeight="1" x14ac:dyDescent="0.2">
      <c r="A109">
        <v>108</v>
      </c>
      <c r="B109" t="s">
        <v>758</v>
      </c>
      <c r="C109" s="65" t="s">
        <v>171</v>
      </c>
      <c r="D109" s="7" t="s">
        <v>244</v>
      </c>
      <c r="E109" s="7" t="s">
        <v>244</v>
      </c>
      <c r="F109" s="3" t="s">
        <v>371</v>
      </c>
      <c r="G109" s="8" t="s">
        <v>63</v>
      </c>
      <c r="H109" s="8" t="s">
        <v>64</v>
      </c>
      <c r="I109" s="8" t="s">
        <v>64</v>
      </c>
      <c r="J109" s="8">
        <v>1</v>
      </c>
      <c r="K109" s="8">
        <v>0</v>
      </c>
      <c r="L109" s="8">
        <v>1</v>
      </c>
      <c r="M109" s="8" t="s">
        <v>150</v>
      </c>
      <c r="N109" s="9" t="s">
        <v>172</v>
      </c>
      <c r="O109" s="8">
        <v>1</v>
      </c>
      <c r="P109" s="8">
        <v>0</v>
      </c>
      <c r="Q109" s="8">
        <v>1</v>
      </c>
      <c r="R109" s="8">
        <v>1</v>
      </c>
      <c r="S109" s="8">
        <v>1</v>
      </c>
      <c r="T109" s="8">
        <v>0</v>
      </c>
      <c r="U109" s="8">
        <v>0</v>
      </c>
      <c r="V109" s="8">
        <v>1</v>
      </c>
      <c r="W109" s="8" t="s">
        <v>112</v>
      </c>
      <c r="X109" s="8">
        <v>1</v>
      </c>
      <c r="Y109" s="8">
        <v>0</v>
      </c>
      <c r="Z109" s="8">
        <v>0</v>
      </c>
      <c r="AA109" s="8">
        <v>1</v>
      </c>
      <c r="AB109" s="8">
        <v>1</v>
      </c>
      <c r="AC109" s="8">
        <v>0.5</v>
      </c>
      <c r="AD109" s="8">
        <v>0</v>
      </c>
      <c r="AE109" s="8">
        <v>1</v>
      </c>
      <c r="AF109" s="8">
        <v>1</v>
      </c>
      <c r="AG109" s="8">
        <v>1</v>
      </c>
      <c r="AH109" s="8">
        <v>1</v>
      </c>
      <c r="AI109" s="8">
        <v>1</v>
      </c>
      <c r="AJ109" s="8">
        <v>1</v>
      </c>
      <c r="AK109" s="8">
        <v>0</v>
      </c>
      <c r="AL109" s="8">
        <v>0</v>
      </c>
      <c r="AM109" s="8">
        <v>0</v>
      </c>
      <c r="AN109" s="8">
        <v>0</v>
      </c>
      <c r="AO109" s="8">
        <v>0</v>
      </c>
      <c r="AP109" s="8">
        <v>0</v>
      </c>
      <c r="AQ109" s="8">
        <v>0</v>
      </c>
      <c r="AR109" s="8">
        <v>0</v>
      </c>
      <c r="AS109" s="8">
        <v>0</v>
      </c>
      <c r="AT109" s="8">
        <v>0</v>
      </c>
      <c r="AU109" s="8">
        <v>0</v>
      </c>
      <c r="AV109" s="8">
        <v>0</v>
      </c>
      <c r="AW109" s="8">
        <v>1</v>
      </c>
      <c r="AX109" s="8">
        <v>0</v>
      </c>
      <c r="AY109" s="8">
        <v>0</v>
      </c>
      <c r="AZ109" s="8">
        <v>0</v>
      </c>
      <c r="BA109" s="8">
        <v>0</v>
      </c>
      <c r="BB109" s="8">
        <v>0</v>
      </c>
      <c r="BC109" s="8">
        <v>0</v>
      </c>
      <c r="BD109" s="8">
        <v>0</v>
      </c>
      <c r="BE109" s="8">
        <v>0</v>
      </c>
      <c r="BF109" s="8">
        <v>0</v>
      </c>
      <c r="BG109" s="8">
        <v>1</v>
      </c>
      <c r="BH109" s="8">
        <v>1</v>
      </c>
      <c r="BI109" s="8">
        <v>0</v>
      </c>
      <c r="BJ109" s="8">
        <v>0</v>
      </c>
      <c r="BK109" s="8">
        <v>1</v>
      </c>
      <c r="BL109" s="8">
        <v>0</v>
      </c>
      <c r="BM109" s="8">
        <v>0</v>
      </c>
      <c r="BN109" s="8">
        <v>0</v>
      </c>
      <c r="BO109" s="3">
        <f t="shared" ref="BO109" si="11">SUM(AE109:BN109)</f>
        <v>10</v>
      </c>
      <c r="BP109" s="3"/>
      <c r="BQ109" s="3"/>
      <c r="BR109" s="3"/>
      <c r="BS109" s="3"/>
      <c r="BT109" s="3"/>
      <c r="BU109" s="3"/>
      <c r="BV109" s="3"/>
      <c r="BW109" s="3"/>
      <c r="BX109" s="3"/>
      <c r="BY109" s="3"/>
      <c r="BZ109" s="3"/>
      <c r="CA109" s="3"/>
      <c r="CB109" s="3"/>
      <c r="CC109" s="3"/>
      <c r="CD109" s="3"/>
    </row>
    <row r="110" spans="1:82" ht="15" customHeight="1" x14ac:dyDescent="0.2">
      <c r="A110">
        <v>109</v>
      </c>
      <c r="B110" t="s">
        <v>759</v>
      </c>
      <c r="C110" s="65" t="s">
        <v>372</v>
      </c>
      <c r="D110" s="7" t="s">
        <v>73</v>
      </c>
      <c r="E110" s="7" t="s">
        <v>73</v>
      </c>
      <c r="F110" s="3" t="s">
        <v>373</v>
      </c>
      <c r="G110" s="8" t="s">
        <v>51</v>
      </c>
      <c r="H110" s="8" t="s">
        <v>123</v>
      </c>
      <c r="I110" s="8" t="s">
        <v>123</v>
      </c>
      <c r="J110" s="8">
        <v>0</v>
      </c>
      <c r="K110" s="8">
        <v>0</v>
      </c>
      <c r="L110" s="8">
        <v>0</v>
      </c>
      <c r="M110" s="8" t="s">
        <v>65</v>
      </c>
      <c r="N110" s="9">
        <v>0.5</v>
      </c>
      <c r="O110" s="8">
        <v>0</v>
      </c>
      <c r="P110" s="8">
        <v>0</v>
      </c>
      <c r="Q110" s="8">
        <v>0</v>
      </c>
      <c r="R110" s="8">
        <v>0</v>
      </c>
      <c r="S110" s="8">
        <v>1</v>
      </c>
      <c r="T110" s="8">
        <v>0</v>
      </c>
      <c r="U110" s="8">
        <v>0</v>
      </c>
      <c r="V110" s="8">
        <v>1</v>
      </c>
      <c r="W110" s="8" t="s">
        <v>143</v>
      </c>
      <c r="X110" s="8">
        <v>0</v>
      </c>
      <c r="Y110" s="8">
        <v>0</v>
      </c>
      <c r="Z110" s="8">
        <v>0</v>
      </c>
      <c r="AA110" s="8">
        <v>0</v>
      </c>
      <c r="AB110" s="8">
        <v>0</v>
      </c>
      <c r="AC110" s="8">
        <v>0</v>
      </c>
      <c r="AD110" s="8">
        <v>0</v>
      </c>
      <c r="AE110" s="8">
        <v>0</v>
      </c>
      <c r="AF110" s="8">
        <v>1</v>
      </c>
      <c r="AG110" s="8">
        <v>0</v>
      </c>
      <c r="AH110" s="8">
        <v>1</v>
      </c>
      <c r="AI110" s="8">
        <v>1</v>
      </c>
      <c r="AJ110" s="8">
        <v>0</v>
      </c>
      <c r="AK110" s="8">
        <v>0</v>
      </c>
      <c r="AL110" s="8">
        <v>0</v>
      </c>
      <c r="AM110" s="8">
        <v>0</v>
      </c>
      <c r="AN110" s="8">
        <v>0</v>
      </c>
      <c r="AO110" s="8">
        <v>0</v>
      </c>
      <c r="AP110" s="8">
        <v>1</v>
      </c>
      <c r="AQ110" s="8">
        <v>0</v>
      </c>
      <c r="AR110" s="8">
        <v>0</v>
      </c>
      <c r="AS110" s="8">
        <v>0</v>
      </c>
      <c r="AT110" s="8">
        <v>0</v>
      </c>
      <c r="AU110" s="8">
        <v>0</v>
      </c>
      <c r="AV110" s="8">
        <v>0</v>
      </c>
      <c r="AW110" s="8">
        <v>0</v>
      </c>
      <c r="AX110" s="8">
        <v>0</v>
      </c>
      <c r="AY110" s="8">
        <v>0</v>
      </c>
      <c r="AZ110" s="8">
        <v>0</v>
      </c>
      <c r="BA110" s="8">
        <v>0</v>
      </c>
      <c r="BB110" s="8">
        <v>0</v>
      </c>
      <c r="BC110" s="8">
        <v>0</v>
      </c>
      <c r="BD110" s="8">
        <v>0</v>
      </c>
      <c r="BE110" s="8">
        <v>0</v>
      </c>
      <c r="BF110" s="8">
        <v>0</v>
      </c>
      <c r="BG110" s="8">
        <v>0</v>
      </c>
      <c r="BH110" s="8">
        <v>0</v>
      </c>
      <c r="BI110" s="8">
        <v>0</v>
      </c>
      <c r="BJ110" s="8">
        <v>0</v>
      </c>
      <c r="BK110" s="8">
        <v>0</v>
      </c>
      <c r="BL110" s="8">
        <v>0</v>
      </c>
      <c r="BM110" s="8">
        <v>0</v>
      </c>
      <c r="BN110" s="8">
        <v>0</v>
      </c>
      <c r="BO110" s="3">
        <f t="shared" si="6"/>
        <v>4</v>
      </c>
      <c r="BP110" s="3"/>
      <c r="BQ110" s="3"/>
      <c r="BR110" s="3"/>
      <c r="BS110" s="3"/>
      <c r="BT110" s="3"/>
      <c r="BU110" s="3"/>
      <c r="BV110" s="3"/>
      <c r="BW110" s="3"/>
      <c r="BX110" s="3"/>
      <c r="BY110" s="3"/>
      <c r="BZ110" s="3"/>
      <c r="CA110" s="3"/>
      <c r="CB110" s="3"/>
      <c r="CC110" s="3"/>
      <c r="CD110" s="3"/>
    </row>
    <row r="111" spans="1:82" ht="15" customHeight="1" x14ac:dyDescent="0.2">
      <c r="A111">
        <v>110</v>
      </c>
      <c r="B111" t="s">
        <v>760</v>
      </c>
      <c r="C111" s="65" t="s">
        <v>174</v>
      </c>
      <c r="D111" s="7" t="s">
        <v>343</v>
      </c>
      <c r="E111" s="7" t="s">
        <v>343</v>
      </c>
      <c r="F111" s="3" t="s">
        <v>374</v>
      </c>
      <c r="G111" s="8" t="s">
        <v>63</v>
      </c>
      <c r="H111" s="8" t="s">
        <v>64</v>
      </c>
      <c r="I111" s="8" t="s">
        <v>52</v>
      </c>
      <c r="J111" s="8">
        <v>0</v>
      </c>
      <c r="K111" s="8">
        <v>0</v>
      </c>
      <c r="L111" s="8">
        <v>1</v>
      </c>
      <c r="M111" s="8" t="s">
        <v>58</v>
      </c>
      <c r="N111" s="9">
        <v>0.1</v>
      </c>
      <c r="O111" s="8">
        <v>1</v>
      </c>
      <c r="P111" s="8">
        <v>0</v>
      </c>
      <c r="Q111" s="8">
        <v>1</v>
      </c>
      <c r="R111" s="8">
        <v>1</v>
      </c>
      <c r="S111" s="8">
        <v>1</v>
      </c>
      <c r="T111" s="8">
        <v>0</v>
      </c>
      <c r="U111" s="8">
        <v>0</v>
      </c>
      <c r="V111" s="8">
        <v>1</v>
      </c>
      <c r="W111" s="8" t="s">
        <v>110</v>
      </c>
      <c r="X111" s="8">
        <v>0</v>
      </c>
      <c r="Y111" s="8">
        <v>0</v>
      </c>
      <c r="Z111" s="8">
        <v>0</v>
      </c>
      <c r="AA111" s="8">
        <v>1</v>
      </c>
      <c r="AB111" s="8">
        <v>0</v>
      </c>
      <c r="AC111" s="8">
        <v>0</v>
      </c>
      <c r="AD111" s="8">
        <v>0</v>
      </c>
      <c r="AE111" s="8">
        <v>1</v>
      </c>
      <c r="AF111" s="8">
        <v>0</v>
      </c>
      <c r="AG111" s="8">
        <v>1</v>
      </c>
      <c r="AH111" s="8">
        <v>1</v>
      </c>
      <c r="AI111" s="8">
        <v>1</v>
      </c>
      <c r="AJ111" s="8">
        <v>0</v>
      </c>
      <c r="AK111" s="8">
        <v>0</v>
      </c>
      <c r="AL111" s="8">
        <v>1</v>
      </c>
      <c r="AM111" s="8">
        <v>0</v>
      </c>
      <c r="AN111" s="8">
        <v>1</v>
      </c>
      <c r="AO111" s="8">
        <v>0</v>
      </c>
      <c r="AP111" s="8">
        <v>0</v>
      </c>
      <c r="AQ111" s="8">
        <v>0</v>
      </c>
      <c r="AR111" s="8">
        <v>0</v>
      </c>
      <c r="AS111" s="8">
        <v>0</v>
      </c>
      <c r="AT111" s="8">
        <v>0</v>
      </c>
      <c r="AU111" s="8">
        <v>0</v>
      </c>
      <c r="AV111" s="8">
        <v>0</v>
      </c>
      <c r="AW111" s="8">
        <v>0</v>
      </c>
      <c r="AX111" s="8">
        <v>0</v>
      </c>
      <c r="AY111" s="8">
        <v>0</v>
      </c>
      <c r="AZ111" s="8">
        <v>0</v>
      </c>
      <c r="BA111" s="8">
        <v>0</v>
      </c>
      <c r="BB111" s="8">
        <v>0</v>
      </c>
      <c r="BC111" s="8">
        <v>0</v>
      </c>
      <c r="BD111" s="8">
        <v>0</v>
      </c>
      <c r="BE111" s="8">
        <v>0</v>
      </c>
      <c r="BF111" s="8">
        <v>0</v>
      </c>
      <c r="BG111" s="8">
        <v>0</v>
      </c>
      <c r="BH111" s="8">
        <v>0</v>
      </c>
      <c r="BI111" s="8">
        <v>0</v>
      </c>
      <c r="BJ111" s="8">
        <v>0</v>
      </c>
      <c r="BK111" s="8">
        <v>0</v>
      </c>
      <c r="BL111" s="8">
        <v>0</v>
      </c>
      <c r="BM111" s="8">
        <v>0</v>
      </c>
      <c r="BN111" s="8">
        <v>0</v>
      </c>
      <c r="BO111" s="3">
        <f t="shared" si="6"/>
        <v>6</v>
      </c>
      <c r="BP111" s="3"/>
      <c r="BQ111" s="3"/>
      <c r="BR111" s="3"/>
      <c r="BS111" s="3"/>
      <c r="BT111" s="3"/>
      <c r="BU111" s="3"/>
      <c r="BV111" s="3"/>
      <c r="BW111" s="3"/>
      <c r="BX111" s="3"/>
      <c r="BY111" s="3"/>
      <c r="BZ111" s="3"/>
      <c r="CA111" s="3"/>
      <c r="CB111" s="3"/>
      <c r="CC111" s="3"/>
      <c r="CD111" s="3"/>
    </row>
    <row r="112" spans="1:82" ht="15" customHeight="1" x14ac:dyDescent="0.2">
      <c r="A112">
        <v>111</v>
      </c>
      <c r="B112" t="s">
        <v>760</v>
      </c>
      <c r="C112" s="65" t="s">
        <v>174</v>
      </c>
      <c r="D112" s="7" t="s">
        <v>90</v>
      </c>
      <c r="E112" s="7" t="s">
        <v>90</v>
      </c>
      <c r="F112" s="3" t="s">
        <v>375</v>
      </c>
      <c r="G112" s="8" t="s">
        <v>63</v>
      </c>
      <c r="H112" s="8" t="s">
        <v>64</v>
      </c>
      <c r="I112" s="8" t="s">
        <v>52</v>
      </c>
      <c r="J112" s="8">
        <v>0</v>
      </c>
      <c r="K112" s="8">
        <v>0</v>
      </c>
      <c r="L112" s="8">
        <v>1</v>
      </c>
      <c r="M112" s="8" t="s">
        <v>58</v>
      </c>
      <c r="N112" s="9">
        <v>0.1</v>
      </c>
      <c r="O112" s="8">
        <v>1</v>
      </c>
      <c r="P112" s="8">
        <v>0</v>
      </c>
      <c r="Q112" s="8">
        <v>1</v>
      </c>
      <c r="R112" s="8">
        <v>1</v>
      </c>
      <c r="S112" s="8">
        <v>1</v>
      </c>
      <c r="T112" s="8">
        <v>0</v>
      </c>
      <c r="U112" s="8">
        <v>0</v>
      </c>
      <c r="V112" s="8">
        <v>1</v>
      </c>
      <c r="W112" s="8" t="s">
        <v>110</v>
      </c>
      <c r="X112" s="8">
        <v>0</v>
      </c>
      <c r="Y112" s="8">
        <v>0</v>
      </c>
      <c r="Z112" s="8">
        <v>0</v>
      </c>
      <c r="AA112" s="8">
        <v>1</v>
      </c>
      <c r="AB112" s="8">
        <v>1</v>
      </c>
      <c r="AC112" s="8">
        <v>0</v>
      </c>
      <c r="AD112" s="8">
        <v>0</v>
      </c>
      <c r="AE112" s="8">
        <v>1</v>
      </c>
      <c r="AF112" s="8">
        <v>0</v>
      </c>
      <c r="AG112" s="8">
        <v>1</v>
      </c>
      <c r="AH112" s="8">
        <v>1</v>
      </c>
      <c r="AI112" s="8">
        <v>1</v>
      </c>
      <c r="AJ112" s="8">
        <v>0</v>
      </c>
      <c r="AK112" s="8">
        <v>0</v>
      </c>
      <c r="AL112" s="8">
        <v>1</v>
      </c>
      <c r="AM112" s="8">
        <v>0</v>
      </c>
      <c r="AN112" s="8">
        <v>1</v>
      </c>
      <c r="AO112" s="8">
        <v>0</v>
      </c>
      <c r="AP112" s="8">
        <v>0</v>
      </c>
      <c r="AQ112" s="8">
        <v>0</v>
      </c>
      <c r="AR112" s="8">
        <v>0</v>
      </c>
      <c r="AS112" s="8">
        <v>0</v>
      </c>
      <c r="AT112" s="8">
        <v>0</v>
      </c>
      <c r="AU112" s="8">
        <v>0</v>
      </c>
      <c r="AV112" s="8">
        <v>0</v>
      </c>
      <c r="AW112" s="8">
        <v>0</v>
      </c>
      <c r="AX112" s="8">
        <v>0</v>
      </c>
      <c r="AY112" s="8">
        <v>0</v>
      </c>
      <c r="AZ112" s="8">
        <v>0</v>
      </c>
      <c r="BA112" s="8">
        <v>0</v>
      </c>
      <c r="BB112" s="8">
        <v>0</v>
      </c>
      <c r="BC112" s="8">
        <v>0</v>
      </c>
      <c r="BD112" s="8">
        <v>0</v>
      </c>
      <c r="BE112" s="8">
        <v>0</v>
      </c>
      <c r="BF112" s="8">
        <v>0</v>
      </c>
      <c r="BG112" s="8">
        <v>0</v>
      </c>
      <c r="BH112" s="8">
        <v>0</v>
      </c>
      <c r="BI112" s="8">
        <v>0</v>
      </c>
      <c r="BJ112" s="8">
        <v>0</v>
      </c>
      <c r="BK112" s="8">
        <v>0</v>
      </c>
      <c r="BL112" s="8">
        <v>0</v>
      </c>
      <c r="BM112" s="8">
        <v>0</v>
      </c>
      <c r="BN112" s="8">
        <v>0</v>
      </c>
      <c r="BO112" s="3">
        <f t="shared" si="6"/>
        <v>6</v>
      </c>
      <c r="BP112" s="3"/>
      <c r="BQ112" s="3"/>
      <c r="BR112" s="3"/>
      <c r="BS112" s="3"/>
      <c r="BT112" s="3"/>
      <c r="BU112" s="3"/>
      <c r="BV112" s="3"/>
      <c r="BW112" s="3"/>
      <c r="BX112" s="3"/>
      <c r="BY112" s="3"/>
      <c r="BZ112" s="3"/>
      <c r="CA112" s="3"/>
      <c r="CB112" s="3"/>
      <c r="CC112" s="3"/>
      <c r="CD112" s="3"/>
    </row>
    <row r="113" spans="1:82" ht="15" customHeight="1" x14ac:dyDescent="0.2">
      <c r="A113">
        <v>112</v>
      </c>
      <c r="B113" t="s">
        <v>760</v>
      </c>
      <c r="C113" s="65" t="s">
        <v>174</v>
      </c>
      <c r="D113" s="7" t="s">
        <v>91</v>
      </c>
      <c r="E113" s="7" t="s">
        <v>91</v>
      </c>
      <c r="F113" s="3" t="s">
        <v>375</v>
      </c>
      <c r="G113" s="8" t="s">
        <v>63</v>
      </c>
      <c r="H113" s="8" t="s">
        <v>64</v>
      </c>
      <c r="I113" s="8" t="s">
        <v>52</v>
      </c>
      <c r="J113" s="8">
        <v>0</v>
      </c>
      <c r="K113" s="8">
        <v>0</v>
      </c>
      <c r="L113" s="8">
        <v>1</v>
      </c>
      <c r="M113" s="8" t="s">
        <v>58</v>
      </c>
      <c r="N113" s="9">
        <v>0.1</v>
      </c>
      <c r="O113" s="8">
        <v>1</v>
      </c>
      <c r="P113" s="8">
        <v>0</v>
      </c>
      <c r="Q113" s="8">
        <v>1</v>
      </c>
      <c r="R113" s="8">
        <v>1</v>
      </c>
      <c r="S113" s="8">
        <v>1</v>
      </c>
      <c r="T113" s="8">
        <v>0</v>
      </c>
      <c r="U113" s="8">
        <v>0</v>
      </c>
      <c r="V113" s="8">
        <v>1</v>
      </c>
      <c r="W113" s="8" t="s">
        <v>110</v>
      </c>
      <c r="X113" s="8">
        <v>0</v>
      </c>
      <c r="Y113" s="8">
        <v>0</v>
      </c>
      <c r="Z113" s="8">
        <v>0</v>
      </c>
      <c r="AA113" s="8">
        <v>1</v>
      </c>
      <c r="AB113" s="8">
        <v>1</v>
      </c>
      <c r="AC113" s="8">
        <v>0</v>
      </c>
      <c r="AD113" s="8">
        <v>0</v>
      </c>
      <c r="AE113" s="8">
        <v>1</v>
      </c>
      <c r="AF113" s="8">
        <v>0</v>
      </c>
      <c r="AG113" s="8">
        <v>1</v>
      </c>
      <c r="AH113" s="8">
        <v>1</v>
      </c>
      <c r="AI113" s="8">
        <v>1</v>
      </c>
      <c r="AJ113" s="8">
        <v>0</v>
      </c>
      <c r="AK113" s="8">
        <v>0</v>
      </c>
      <c r="AL113" s="8">
        <v>1</v>
      </c>
      <c r="AM113" s="8">
        <v>0</v>
      </c>
      <c r="AN113" s="8">
        <v>1</v>
      </c>
      <c r="AO113" s="8">
        <v>0</v>
      </c>
      <c r="AP113" s="8">
        <v>0</v>
      </c>
      <c r="AQ113" s="8">
        <v>0</v>
      </c>
      <c r="AR113" s="8">
        <v>0</v>
      </c>
      <c r="AS113" s="8">
        <v>0</v>
      </c>
      <c r="AT113" s="8">
        <v>0</v>
      </c>
      <c r="AU113" s="8">
        <v>0</v>
      </c>
      <c r="AV113" s="8">
        <v>0</v>
      </c>
      <c r="AW113" s="8">
        <v>0</v>
      </c>
      <c r="AX113" s="8">
        <v>0</v>
      </c>
      <c r="AY113" s="8">
        <v>0</v>
      </c>
      <c r="AZ113" s="8">
        <v>0</v>
      </c>
      <c r="BA113" s="8">
        <v>0</v>
      </c>
      <c r="BB113" s="8">
        <v>0</v>
      </c>
      <c r="BC113" s="8">
        <v>0</v>
      </c>
      <c r="BD113" s="8">
        <v>0</v>
      </c>
      <c r="BE113" s="8">
        <v>0</v>
      </c>
      <c r="BF113" s="8">
        <v>0</v>
      </c>
      <c r="BG113" s="8">
        <v>0</v>
      </c>
      <c r="BH113" s="8">
        <v>0</v>
      </c>
      <c r="BI113" s="8">
        <v>0</v>
      </c>
      <c r="BJ113" s="8">
        <v>0</v>
      </c>
      <c r="BK113" s="8">
        <v>0</v>
      </c>
      <c r="BL113" s="8">
        <v>0</v>
      </c>
      <c r="BM113" s="8">
        <v>0</v>
      </c>
      <c r="BN113" s="8">
        <v>1</v>
      </c>
      <c r="BO113" s="3">
        <f t="shared" si="6"/>
        <v>7</v>
      </c>
      <c r="BP113" s="3"/>
      <c r="BQ113" s="3"/>
      <c r="BR113" s="3"/>
      <c r="BS113" s="3"/>
      <c r="BT113" s="3"/>
      <c r="BU113" s="3"/>
      <c r="BV113" s="3"/>
      <c r="BW113" s="3"/>
      <c r="BX113" s="3"/>
      <c r="BY113" s="3"/>
      <c r="BZ113" s="3"/>
      <c r="CA113" s="3"/>
      <c r="CB113" s="3"/>
      <c r="CC113" s="3"/>
      <c r="CD113" s="3"/>
    </row>
    <row r="114" spans="1:82" ht="15" customHeight="1" x14ac:dyDescent="0.2">
      <c r="A114">
        <v>113</v>
      </c>
      <c r="B114" t="s">
        <v>760</v>
      </c>
      <c r="C114" s="65" t="s">
        <v>174</v>
      </c>
      <c r="D114" s="7" t="s">
        <v>71</v>
      </c>
      <c r="E114" s="7" t="s">
        <v>71</v>
      </c>
      <c r="F114" s="3" t="s">
        <v>375</v>
      </c>
      <c r="G114" s="8" t="s">
        <v>63</v>
      </c>
      <c r="H114" s="8" t="s">
        <v>64</v>
      </c>
      <c r="I114" s="8" t="s">
        <v>52</v>
      </c>
      <c r="J114" s="8">
        <v>0</v>
      </c>
      <c r="K114" s="8">
        <v>0</v>
      </c>
      <c r="L114" s="8">
        <v>1</v>
      </c>
      <c r="M114" s="8" t="s">
        <v>58</v>
      </c>
      <c r="N114" s="9">
        <v>0.1</v>
      </c>
      <c r="O114" s="8">
        <v>1</v>
      </c>
      <c r="P114" s="8">
        <v>0</v>
      </c>
      <c r="Q114" s="8">
        <v>1</v>
      </c>
      <c r="R114" s="8">
        <v>1</v>
      </c>
      <c r="S114" s="8">
        <v>1</v>
      </c>
      <c r="T114" s="8">
        <v>0</v>
      </c>
      <c r="U114" s="8">
        <v>0</v>
      </c>
      <c r="V114" s="8">
        <v>1</v>
      </c>
      <c r="W114" s="8" t="s">
        <v>110</v>
      </c>
      <c r="X114" s="8">
        <v>0</v>
      </c>
      <c r="Y114" s="8">
        <v>0</v>
      </c>
      <c r="Z114" s="8">
        <v>0</v>
      </c>
      <c r="AA114" s="8">
        <v>1</v>
      </c>
      <c r="AB114" s="8">
        <v>1</v>
      </c>
      <c r="AC114" s="8">
        <v>0</v>
      </c>
      <c r="AD114" s="8">
        <v>0</v>
      </c>
      <c r="AE114" s="8">
        <v>1</v>
      </c>
      <c r="AF114" s="8">
        <v>0</v>
      </c>
      <c r="AG114" s="8">
        <v>1</v>
      </c>
      <c r="AH114" s="8">
        <v>1</v>
      </c>
      <c r="AI114" s="8">
        <v>1</v>
      </c>
      <c r="AJ114" s="8">
        <v>0</v>
      </c>
      <c r="AK114" s="8">
        <v>0</v>
      </c>
      <c r="AL114" s="8">
        <v>1</v>
      </c>
      <c r="AM114" s="8">
        <v>0</v>
      </c>
      <c r="AN114" s="8">
        <v>1</v>
      </c>
      <c r="AO114" s="8">
        <v>0</v>
      </c>
      <c r="AP114" s="8">
        <v>0</v>
      </c>
      <c r="AQ114" s="8">
        <v>0</v>
      </c>
      <c r="AR114" s="8">
        <v>0</v>
      </c>
      <c r="AS114" s="8">
        <v>0</v>
      </c>
      <c r="AT114" s="8">
        <v>0</v>
      </c>
      <c r="AU114" s="8">
        <v>0</v>
      </c>
      <c r="AV114" s="8">
        <v>0</v>
      </c>
      <c r="AW114" s="8">
        <v>0</v>
      </c>
      <c r="AX114" s="8">
        <v>0</v>
      </c>
      <c r="AY114" s="8">
        <v>0</v>
      </c>
      <c r="AZ114" s="8">
        <v>0</v>
      </c>
      <c r="BA114" s="8">
        <v>0</v>
      </c>
      <c r="BB114" s="8">
        <v>0</v>
      </c>
      <c r="BC114" s="8">
        <v>0</v>
      </c>
      <c r="BD114" s="8">
        <v>0</v>
      </c>
      <c r="BE114" s="8">
        <v>0</v>
      </c>
      <c r="BF114" s="8">
        <v>0</v>
      </c>
      <c r="BG114" s="8">
        <v>0</v>
      </c>
      <c r="BH114" s="8">
        <v>0</v>
      </c>
      <c r="BI114" s="8">
        <v>0</v>
      </c>
      <c r="BJ114" s="8">
        <v>0</v>
      </c>
      <c r="BK114" s="8">
        <v>0</v>
      </c>
      <c r="BL114" s="8">
        <v>0</v>
      </c>
      <c r="BM114" s="8">
        <v>0</v>
      </c>
      <c r="BN114" s="8">
        <v>1</v>
      </c>
      <c r="BO114" s="3">
        <f t="shared" si="6"/>
        <v>7</v>
      </c>
      <c r="BP114" s="3"/>
      <c r="BQ114" s="3"/>
      <c r="BR114" s="3"/>
      <c r="BS114" s="3"/>
      <c r="BT114" s="3"/>
      <c r="BU114" s="3"/>
      <c r="BV114" s="3"/>
      <c r="BW114" s="3"/>
      <c r="BX114" s="3"/>
      <c r="BY114" s="3"/>
      <c r="BZ114" s="3"/>
      <c r="CA114" s="3"/>
      <c r="CB114" s="3"/>
      <c r="CC114" s="3"/>
      <c r="CD114" s="3"/>
    </row>
    <row r="115" spans="1:82" ht="15" customHeight="1" x14ac:dyDescent="0.2">
      <c r="A115">
        <v>114</v>
      </c>
      <c r="B115" t="s">
        <v>760</v>
      </c>
      <c r="C115" s="65" t="s">
        <v>174</v>
      </c>
      <c r="D115" s="7" t="s">
        <v>72</v>
      </c>
      <c r="E115" s="7" t="s">
        <v>72</v>
      </c>
      <c r="F115" s="3" t="s">
        <v>375</v>
      </c>
      <c r="G115" s="8" t="s">
        <v>63</v>
      </c>
      <c r="H115" s="8" t="s">
        <v>64</v>
      </c>
      <c r="I115" s="8" t="s">
        <v>52</v>
      </c>
      <c r="J115" s="8">
        <v>0</v>
      </c>
      <c r="K115" s="8">
        <v>0</v>
      </c>
      <c r="L115" s="8">
        <v>1</v>
      </c>
      <c r="M115" s="8" t="s">
        <v>58</v>
      </c>
      <c r="N115" s="9">
        <v>0.1</v>
      </c>
      <c r="O115" s="8">
        <v>1</v>
      </c>
      <c r="P115" s="8">
        <v>0</v>
      </c>
      <c r="Q115" s="8">
        <v>1</v>
      </c>
      <c r="R115" s="8">
        <v>1</v>
      </c>
      <c r="S115" s="8">
        <v>1</v>
      </c>
      <c r="T115" s="8">
        <v>0</v>
      </c>
      <c r="U115" s="8">
        <v>0</v>
      </c>
      <c r="V115" s="8">
        <v>1</v>
      </c>
      <c r="W115" s="8" t="s">
        <v>110</v>
      </c>
      <c r="X115" s="8">
        <v>0</v>
      </c>
      <c r="Y115" s="8">
        <v>0</v>
      </c>
      <c r="Z115" s="8">
        <v>0</v>
      </c>
      <c r="AA115" s="8">
        <v>1</v>
      </c>
      <c r="AB115" s="8">
        <v>1</v>
      </c>
      <c r="AC115" s="8">
        <v>0</v>
      </c>
      <c r="AD115" s="8">
        <v>0</v>
      </c>
      <c r="AE115" s="8">
        <v>1</v>
      </c>
      <c r="AF115" s="8">
        <v>0</v>
      </c>
      <c r="AG115" s="8">
        <v>1</v>
      </c>
      <c r="AH115" s="8">
        <v>1</v>
      </c>
      <c r="AI115" s="8">
        <v>1</v>
      </c>
      <c r="AJ115" s="8">
        <v>0</v>
      </c>
      <c r="AK115" s="8">
        <v>0</v>
      </c>
      <c r="AL115" s="8">
        <v>1</v>
      </c>
      <c r="AM115" s="8">
        <v>0</v>
      </c>
      <c r="AN115" s="8">
        <v>1</v>
      </c>
      <c r="AO115" s="8">
        <v>0</v>
      </c>
      <c r="AP115" s="8">
        <v>0</v>
      </c>
      <c r="AQ115" s="8">
        <v>0</v>
      </c>
      <c r="AR115" s="8">
        <v>0</v>
      </c>
      <c r="AS115" s="8">
        <v>0</v>
      </c>
      <c r="AT115" s="8">
        <v>0</v>
      </c>
      <c r="AU115" s="8">
        <v>0</v>
      </c>
      <c r="AV115" s="8">
        <v>0</v>
      </c>
      <c r="AW115" s="8">
        <v>0</v>
      </c>
      <c r="AX115" s="8">
        <v>0</v>
      </c>
      <c r="AY115" s="8">
        <v>0</v>
      </c>
      <c r="AZ115" s="8">
        <v>0</v>
      </c>
      <c r="BA115" s="8">
        <v>0</v>
      </c>
      <c r="BB115" s="8">
        <v>0</v>
      </c>
      <c r="BC115" s="8">
        <v>0</v>
      </c>
      <c r="BD115" s="8">
        <v>0</v>
      </c>
      <c r="BE115" s="8">
        <v>0</v>
      </c>
      <c r="BF115" s="8">
        <v>0</v>
      </c>
      <c r="BG115" s="8">
        <v>0</v>
      </c>
      <c r="BH115" s="8">
        <v>0</v>
      </c>
      <c r="BI115" s="8">
        <v>0</v>
      </c>
      <c r="BJ115" s="8">
        <v>0</v>
      </c>
      <c r="BK115" s="8">
        <v>0</v>
      </c>
      <c r="BL115" s="8">
        <v>0</v>
      </c>
      <c r="BM115" s="8">
        <v>0</v>
      </c>
      <c r="BN115" s="8">
        <v>1</v>
      </c>
      <c r="BO115" s="3">
        <f t="shared" si="6"/>
        <v>7</v>
      </c>
      <c r="BP115" s="3"/>
      <c r="BQ115" s="3"/>
      <c r="BR115" s="3"/>
      <c r="BS115" s="3"/>
      <c r="BT115" s="3"/>
      <c r="BU115" s="3"/>
      <c r="BV115" s="3"/>
      <c r="BW115" s="3"/>
      <c r="BX115" s="3"/>
      <c r="BY115" s="3"/>
      <c r="BZ115" s="3"/>
      <c r="CA115" s="3"/>
      <c r="CB115" s="3"/>
      <c r="CC115" s="3"/>
      <c r="CD115" s="3"/>
    </row>
    <row r="116" spans="1:82" ht="15" customHeight="1" x14ac:dyDescent="0.2">
      <c r="A116">
        <v>115</v>
      </c>
      <c r="B116" t="s">
        <v>760</v>
      </c>
      <c r="C116" s="65" t="s">
        <v>174</v>
      </c>
      <c r="D116" s="7" t="s">
        <v>80</v>
      </c>
      <c r="E116" s="7" t="s">
        <v>80</v>
      </c>
      <c r="F116" s="3" t="s">
        <v>375</v>
      </c>
      <c r="G116" s="8" t="s">
        <v>63</v>
      </c>
      <c r="H116" s="8" t="s">
        <v>64</v>
      </c>
      <c r="I116" s="8" t="s">
        <v>52</v>
      </c>
      <c r="J116" s="8">
        <v>0</v>
      </c>
      <c r="K116" s="8">
        <v>1</v>
      </c>
      <c r="L116" s="8">
        <v>1</v>
      </c>
      <c r="M116" s="8" t="s">
        <v>58</v>
      </c>
      <c r="N116" s="9">
        <v>0.1</v>
      </c>
      <c r="O116" s="8">
        <v>1</v>
      </c>
      <c r="P116" s="8">
        <v>0</v>
      </c>
      <c r="Q116" s="8">
        <v>1</v>
      </c>
      <c r="R116" s="8">
        <v>1</v>
      </c>
      <c r="S116" s="8">
        <v>1</v>
      </c>
      <c r="T116" s="8">
        <v>0</v>
      </c>
      <c r="U116" s="8">
        <v>0</v>
      </c>
      <c r="V116" s="8">
        <v>1</v>
      </c>
      <c r="W116" s="8" t="s">
        <v>110</v>
      </c>
      <c r="X116" s="8">
        <v>0</v>
      </c>
      <c r="Y116" s="8">
        <v>0</v>
      </c>
      <c r="Z116" s="8">
        <v>0</v>
      </c>
      <c r="AA116" s="8">
        <v>1</v>
      </c>
      <c r="AB116" s="8">
        <v>1</v>
      </c>
      <c r="AC116" s="8">
        <v>0</v>
      </c>
      <c r="AD116" s="8">
        <v>0</v>
      </c>
      <c r="AE116" s="8">
        <v>1</v>
      </c>
      <c r="AF116" s="8">
        <v>0</v>
      </c>
      <c r="AG116" s="8">
        <v>1</v>
      </c>
      <c r="AH116" s="8">
        <v>1</v>
      </c>
      <c r="AI116" s="8">
        <v>1</v>
      </c>
      <c r="AJ116" s="8">
        <v>0</v>
      </c>
      <c r="AK116" s="8">
        <v>0</v>
      </c>
      <c r="AL116" s="8">
        <v>1</v>
      </c>
      <c r="AM116" s="8">
        <v>0</v>
      </c>
      <c r="AN116" s="8">
        <v>1</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1</v>
      </c>
      <c r="BO116" s="3">
        <f t="shared" si="6"/>
        <v>7</v>
      </c>
      <c r="BP116" s="3"/>
      <c r="BQ116" s="3"/>
      <c r="BR116" s="3"/>
      <c r="BS116" s="3"/>
      <c r="BT116" s="3"/>
      <c r="BU116" s="3"/>
      <c r="BV116" s="3"/>
      <c r="BW116" s="3"/>
      <c r="BX116" s="3"/>
      <c r="BY116" s="3"/>
      <c r="BZ116" s="3"/>
      <c r="CA116" s="3"/>
      <c r="CB116" s="3"/>
      <c r="CC116" s="3"/>
      <c r="CD116" s="3"/>
    </row>
    <row r="117" spans="1:82" ht="15" customHeight="1" x14ac:dyDescent="0.2">
      <c r="A117">
        <v>116</v>
      </c>
      <c r="B117" t="s">
        <v>761</v>
      </c>
      <c r="C117" s="65" t="s">
        <v>174</v>
      </c>
      <c r="D117" s="7" t="s">
        <v>244</v>
      </c>
      <c r="E117" s="7" t="s">
        <v>244</v>
      </c>
      <c r="F117" s="3" t="s">
        <v>376</v>
      </c>
      <c r="G117" s="8" t="s">
        <v>63</v>
      </c>
      <c r="H117" s="8" t="s">
        <v>64</v>
      </c>
      <c r="I117" s="8" t="s">
        <v>52</v>
      </c>
      <c r="J117" s="8">
        <v>0</v>
      </c>
      <c r="K117" s="8">
        <v>1</v>
      </c>
      <c r="L117" s="8">
        <v>1</v>
      </c>
      <c r="M117" s="8" t="s">
        <v>58</v>
      </c>
      <c r="N117" s="9">
        <v>0.1</v>
      </c>
      <c r="O117" s="8">
        <v>1</v>
      </c>
      <c r="P117" s="8">
        <v>0</v>
      </c>
      <c r="Q117" s="8">
        <v>1</v>
      </c>
      <c r="R117" s="8">
        <v>1</v>
      </c>
      <c r="S117" s="8">
        <v>1</v>
      </c>
      <c r="T117" s="8">
        <v>0</v>
      </c>
      <c r="U117" s="8">
        <v>0</v>
      </c>
      <c r="V117" s="8">
        <v>1</v>
      </c>
      <c r="W117" s="8" t="s">
        <v>110</v>
      </c>
      <c r="X117" s="8">
        <v>0</v>
      </c>
      <c r="Y117" s="8">
        <v>0</v>
      </c>
      <c r="Z117" s="8">
        <v>0</v>
      </c>
      <c r="AA117" s="8">
        <v>1</v>
      </c>
      <c r="AB117" s="8">
        <v>1</v>
      </c>
      <c r="AC117" s="8">
        <v>0</v>
      </c>
      <c r="AD117" s="8">
        <v>0</v>
      </c>
      <c r="AE117" s="8">
        <v>1</v>
      </c>
      <c r="AF117" s="8">
        <v>0</v>
      </c>
      <c r="AG117" s="8">
        <v>1</v>
      </c>
      <c r="AH117" s="8">
        <v>1</v>
      </c>
      <c r="AI117" s="8">
        <v>1</v>
      </c>
      <c r="AJ117" s="8">
        <v>0</v>
      </c>
      <c r="AK117" s="8">
        <v>0</v>
      </c>
      <c r="AL117" s="8">
        <v>1</v>
      </c>
      <c r="AM117" s="8">
        <v>0</v>
      </c>
      <c r="AN117" s="8">
        <v>1</v>
      </c>
      <c r="AO117" s="8">
        <v>0</v>
      </c>
      <c r="AP117" s="8">
        <v>0</v>
      </c>
      <c r="AQ117" s="8">
        <v>0</v>
      </c>
      <c r="AR117" s="8">
        <v>0</v>
      </c>
      <c r="AS117" s="8">
        <v>0</v>
      </c>
      <c r="AT117" s="8">
        <v>0</v>
      </c>
      <c r="AU117" s="8">
        <v>1</v>
      </c>
      <c r="AV117" s="8">
        <v>0</v>
      </c>
      <c r="AW117" s="8">
        <v>0</v>
      </c>
      <c r="AX117" s="8">
        <v>0</v>
      </c>
      <c r="AY117" s="8">
        <v>0</v>
      </c>
      <c r="AZ117" s="8">
        <v>0</v>
      </c>
      <c r="BA117" s="8">
        <v>0</v>
      </c>
      <c r="BB117" s="8">
        <v>0</v>
      </c>
      <c r="BC117" s="8">
        <v>0</v>
      </c>
      <c r="BD117" s="8">
        <v>0</v>
      </c>
      <c r="BE117" s="8">
        <v>0</v>
      </c>
      <c r="BF117" s="8">
        <v>0</v>
      </c>
      <c r="BG117" s="8">
        <v>0</v>
      </c>
      <c r="BH117" s="8">
        <v>1</v>
      </c>
      <c r="BI117" s="8">
        <v>0</v>
      </c>
      <c r="BJ117" s="8">
        <v>0</v>
      </c>
      <c r="BK117" s="8">
        <v>0</v>
      </c>
      <c r="BL117" s="8">
        <v>0</v>
      </c>
      <c r="BM117" s="8">
        <v>0</v>
      </c>
      <c r="BN117" s="8">
        <v>1</v>
      </c>
      <c r="BO117" s="3">
        <f t="shared" si="6"/>
        <v>9</v>
      </c>
      <c r="BP117" s="3"/>
      <c r="BQ117" s="3"/>
      <c r="BR117" s="3"/>
      <c r="BS117" s="3"/>
      <c r="BT117" s="3"/>
      <c r="BU117" s="3"/>
      <c r="BV117" s="3"/>
      <c r="BW117" s="3"/>
      <c r="BX117" s="3"/>
      <c r="BY117" s="3"/>
      <c r="BZ117" s="3"/>
      <c r="CA117" s="3"/>
      <c r="CB117" s="3"/>
      <c r="CC117" s="3"/>
      <c r="CD117" s="3"/>
    </row>
    <row r="118" spans="1:82" ht="15" customHeight="1" x14ac:dyDescent="0.2">
      <c r="A118">
        <v>117</v>
      </c>
      <c r="B118" t="s">
        <v>762</v>
      </c>
      <c r="C118" s="65" t="s">
        <v>176</v>
      </c>
      <c r="D118" s="3">
        <v>2021</v>
      </c>
      <c r="E118" s="3">
        <v>2021</v>
      </c>
      <c r="F118" s="3" t="s">
        <v>377</v>
      </c>
      <c r="G118" s="8" t="s">
        <v>63</v>
      </c>
      <c r="H118" s="8" t="s">
        <v>64</v>
      </c>
      <c r="I118" s="8" t="s">
        <v>64</v>
      </c>
      <c r="J118" s="8">
        <v>0</v>
      </c>
      <c r="K118" s="8">
        <v>0</v>
      </c>
      <c r="L118" s="8">
        <v>0</v>
      </c>
      <c r="M118" s="8" t="s">
        <v>65</v>
      </c>
      <c r="N118" s="9">
        <v>0.1</v>
      </c>
      <c r="O118" s="8">
        <v>1</v>
      </c>
      <c r="P118" s="8">
        <v>0</v>
      </c>
      <c r="Q118" s="8">
        <v>1</v>
      </c>
      <c r="R118" s="8">
        <v>1</v>
      </c>
      <c r="S118" s="8">
        <v>1</v>
      </c>
      <c r="T118" s="8">
        <v>0</v>
      </c>
      <c r="U118" s="8">
        <v>0</v>
      </c>
      <c r="V118" s="8">
        <v>0</v>
      </c>
      <c r="W118" s="8" t="s">
        <v>157</v>
      </c>
      <c r="X118" s="8">
        <v>0</v>
      </c>
      <c r="Y118" s="8">
        <v>0</v>
      </c>
      <c r="Z118" s="8">
        <v>0</v>
      </c>
      <c r="AA118" s="8">
        <v>0</v>
      </c>
      <c r="AB118" s="8">
        <v>0</v>
      </c>
      <c r="AC118" s="8">
        <v>0</v>
      </c>
      <c r="AD118" s="8">
        <v>0</v>
      </c>
      <c r="AE118" s="8">
        <v>0</v>
      </c>
      <c r="AF118" s="8">
        <v>1</v>
      </c>
      <c r="AG118" s="8">
        <v>1</v>
      </c>
      <c r="AH118" s="8">
        <v>1</v>
      </c>
      <c r="AI118" s="8">
        <v>1</v>
      </c>
      <c r="AJ118" s="8">
        <v>1</v>
      </c>
      <c r="AK118" s="8">
        <v>0</v>
      </c>
      <c r="AL118" s="8">
        <v>1</v>
      </c>
      <c r="AM118" s="8">
        <v>1</v>
      </c>
      <c r="AN118" s="8">
        <v>0</v>
      </c>
      <c r="AO118" s="8">
        <v>0</v>
      </c>
      <c r="AP118" s="8">
        <v>0</v>
      </c>
      <c r="AQ118" s="8">
        <v>0</v>
      </c>
      <c r="AR118" s="8">
        <v>0</v>
      </c>
      <c r="AS118" s="8">
        <v>0</v>
      </c>
      <c r="AT118" s="8">
        <v>0</v>
      </c>
      <c r="AU118" s="8">
        <v>0</v>
      </c>
      <c r="AV118" s="8">
        <v>0</v>
      </c>
      <c r="AW118" s="8">
        <v>0</v>
      </c>
      <c r="AX118" s="8">
        <v>1</v>
      </c>
      <c r="AY118" s="8">
        <v>0</v>
      </c>
      <c r="AZ118" s="8">
        <v>0</v>
      </c>
      <c r="BA118" s="8">
        <v>0</v>
      </c>
      <c r="BB118" s="8">
        <v>0</v>
      </c>
      <c r="BC118" s="8">
        <v>0</v>
      </c>
      <c r="BD118" s="8">
        <v>0</v>
      </c>
      <c r="BE118" s="8">
        <v>0</v>
      </c>
      <c r="BF118" s="8">
        <v>0</v>
      </c>
      <c r="BG118" s="8">
        <v>0</v>
      </c>
      <c r="BH118" s="8">
        <v>1</v>
      </c>
      <c r="BI118" s="8">
        <v>0</v>
      </c>
      <c r="BJ118" s="8">
        <v>0</v>
      </c>
      <c r="BK118" s="8">
        <v>1</v>
      </c>
      <c r="BL118" s="8">
        <v>0</v>
      </c>
      <c r="BM118" s="8">
        <v>0</v>
      </c>
      <c r="BN118" s="8">
        <v>0</v>
      </c>
      <c r="BO118" s="3">
        <f t="shared" si="6"/>
        <v>10</v>
      </c>
      <c r="BP118" s="3"/>
      <c r="BQ118" s="3"/>
      <c r="BR118" s="3"/>
      <c r="BS118" s="3"/>
      <c r="BT118" s="3"/>
      <c r="BU118" s="3"/>
      <c r="BV118" s="3"/>
      <c r="BW118" s="3"/>
      <c r="BX118" s="3"/>
      <c r="BY118" s="3"/>
      <c r="BZ118" s="3"/>
      <c r="CA118" s="3"/>
      <c r="CB118" s="3"/>
      <c r="CC118" s="3"/>
      <c r="CD118" s="3"/>
    </row>
    <row r="119" spans="1:82" ht="15" customHeight="1" x14ac:dyDescent="0.2">
      <c r="A119">
        <v>118</v>
      </c>
      <c r="B119" t="s">
        <v>763</v>
      </c>
      <c r="C119" s="66" t="s">
        <v>176</v>
      </c>
      <c r="D119" s="21">
        <v>2022</v>
      </c>
      <c r="E119" s="21">
        <v>2023</v>
      </c>
      <c r="F119" s="21" t="s">
        <v>378</v>
      </c>
      <c r="G119" s="23" t="s">
        <v>51</v>
      </c>
      <c r="H119" s="23" t="s">
        <v>64</v>
      </c>
      <c r="I119" s="23" t="s">
        <v>64</v>
      </c>
      <c r="J119" s="23">
        <v>1</v>
      </c>
      <c r="K119" s="23">
        <v>0</v>
      </c>
      <c r="L119" s="23">
        <v>0</v>
      </c>
      <c r="M119" s="23" t="s">
        <v>53</v>
      </c>
      <c r="N119" s="25">
        <v>0.1</v>
      </c>
      <c r="O119" s="23">
        <v>1</v>
      </c>
      <c r="P119" s="23">
        <v>0</v>
      </c>
      <c r="Q119" s="23">
        <v>1</v>
      </c>
      <c r="R119" s="23">
        <v>1</v>
      </c>
      <c r="S119" s="23">
        <v>1</v>
      </c>
      <c r="T119" s="23">
        <v>0</v>
      </c>
      <c r="U119" s="23">
        <v>0</v>
      </c>
      <c r="V119" s="23">
        <v>0</v>
      </c>
      <c r="W119" s="23" t="s">
        <v>157</v>
      </c>
      <c r="X119" s="23">
        <v>0</v>
      </c>
      <c r="Y119" s="23">
        <v>0</v>
      </c>
      <c r="Z119" s="23">
        <v>0</v>
      </c>
      <c r="AA119" s="23">
        <v>0</v>
      </c>
      <c r="AB119" s="23">
        <v>0</v>
      </c>
      <c r="AC119" s="23">
        <v>0</v>
      </c>
      <c r="AD119" s="23">
        <v>0</v>
      </c>
      <c r="AE119" s="23">
        <v>1</v>
      </c>
      <c r="AF119" s="23">
        <v>1</v>
      </c>
      <c r="AG119" s="23">
        <v>1</v>
      </c>
      <c r="AH119" s="23">
        <v>1</v>
      </c>
      <c r="AI119" s="23">
        <v>1</v>
      </c>
      <c r="AJ119" s="23">
        <v>1</v>
      </c>
      <c r="AK119" s="23">
        <v>0</v>
      </c>
      <c r="AL119" s="23">
        <v>1</v>
      </c>
      <c r="AM119" s="23">
        <v>1</v>
      </c>
      <c r="AN119" s="23">
        <v>1</v>
      </c>
      <c r="AO119" s="23">
        <v>0</v>
      </c>
      <c r="AP119" s="23">
        <v>0</v>
      </c>
      <c r="AQ119" s="23">
        <v>1</v>
      </c>
      <c r="AR119" s="23">
        <v>1</v>
      </c>
      <c r="AS119" s="23">
        <v>0</v>
      </c>
      <c r="AT119" s="23">
        <v>0</v>
      </c>
      <c r="AU119" s="23">
        <v>0</v>
      </c>
      <c r="AV119" s="23">
        <v>0</v>
      </c>
      <c r="AW119" s="23">
        <v>0</v>
      </c>
      <c r="AX119" s="23">
        <v>1</v>
      </c>
      <c r="AY119" s="23">
        <v>0</v>
      </c>
      <c r="AZ119" s="23">
        <v>0</v>
      </c>
      <c r="BA119" s="23">
        <v>0</v>
      </c>
      <c r="BB119" s="23">
        <v>0</v>
      </c>
      <c r="BC119" s="23">
        <v>0</v>
      </c>
      <c r="BD119" s="23">
        <v>0</v>
      </c>
      <c r="BE119" s="23">
        <v>0</v>
      </c>
      <c r="BF119" s="23">
        <v>1</v>
      </c>
      <c r="BG119" s="23">
        <v>0</v>
      </c>
      <c r="BH119" s="23">
        <v>1</v>
      </c>
      <c r="BI119" s="23">
        <v>0</v>
      </c>
      <c r="BJ119" s="23">
        <v>0</v>
      </c>
      <c r="BK119" s="23">
        <v>1</v>
      </c>
      <c r="BL119" s="23">
        <v>0</v>
      </c>
      <c r="BM119" s="23">
        <v>0</v>
      </c>
      <c r="BN119" s="23">
        <v>0</v>
      </c>
      <c r="BO119" s="21">
        <f t="shared" ref="BO119" si="12">SUM(AE119:BN119)</f>
        <v>15</v>
      </c>
      <c r="BP119" s="3"/>
      <c r="BQ119" s="3"/>
      <c r="BR119" s="3"/>
      <c r="BS119" s="3"/>
      <c r="BT119" s="3"/>
      <c r="BU119" s="3"/>
      <c r="BV119" s="3"/>
      <c r="BW119" s="3"/>
      <c r="BX119" s="3"/>
      <c r="BY119" s="3"/>
      <c r="BZ119" s="3"/>
      <c r="CA119" s="3"/>
      <c r="CB119" s="3"/>
      <c r="CC119" s="3"/>
      <c r="CD119" s="3"/>
    </row>
    <row r="120" spans="1:82" ht="15" customHeight="1" x14ac:dyDescent="0.2">
      <c r="A120">
        <v>119</v>
      </c>
      <c r="B120" t="s">
        <v>764</v>
      </c>
      <c r="C120" s="65" t="s">
        <v>177</v>
      </c>
      <c r="D120" s="3">
        <v>2020</v>
      </c>
      <c r="E120" s="3">
        <v>2020</v>
      </c>
      <c r="F120" s="3" t="s">
        <v>379</v>
      </c>
      <c r="G120" s="8" t="s">
        <v>63</v>
      </c>
      <c r="H120" s="8" t="s">
        <v>64</v>
      </c>
      <c r="I120" s="8" t="s">
        <v>123</v>
      </c>
      <c r="J120" s="8">
        <v>1</v>
      </c>
      <c r="K120" s="8">
        <v>1</v>
      </c>
      <c r="L120" s="8">
        <v>1</v>
      </c>
      <c r="M120" s="8" t="s">
        <v>65</v>
      </c>
      <c r="N120" s="9">
        <v>0.1</v>
      </c>
      <c r="O120" s="8">
        <v>0</v>
      </c>
      <c r="P120" s="8">
        <v>0</v>
      </c>
      <c r="Q120" s="8">
        <v>1</v>
      </c>
      <c r="R120" s="8">
        <v>1</v>
      </c>
      <c r="S120" s="8">
        <v>1</v>
      </c>
      <c r="T120" s="8">
        <v>0</v>
      </c>
      <c r="U120" s="8">
        <v>0</v>
      </c>
      <c r="V120" s="8">
        <v>0</v>
      </c>
      <c r="W120" s="8" t="s">
        <v>178</v>
      </c>
      <c r="X120" s="8">
        <v>1</v>
      </c>
      <c r="Y120" s="8">
        <v>0</v>
      </c>
      <c r="Z120" s="8">
        <v>1</v>
      </c>
      <c r="AA120" s="8">
        <v>1</v>
      </c>
      <c r="AB120" s="8">
        <v>1</v>
      </c>
      <c r="AC120" s="8">
        <v>1</v>
      </c>
      <c r="AD120" s="8">
        <v>1</v>
      </c>
      <c r="AE120" s="8">
        <v>0</v>
      </c>
      <c r="AF120" s="8">
        <v>1</v>
      </c>
      <c r="AG120" s="8">
        <v>1</v>
      </c>
      <c r="AH120" s="8">
        <v>0</v>
      </c>
      <c r="AI120" s="8">
        <v>1</v>
      </c>
      <c r="AJ120" s="8">
        <v>1</v>
      </c>
      <c r="AK120" s="8">
        <v>0</v>
      </c>
      <c r="AL120" s="8">
        <v>1</v>
      </c>
      <c r="AM120" s="8">
        <v>0</v>
      </c>
      <c r="AN120" s="8">
        <v>1</v>
      </c>
      <c r="AO120" s="8">
        <v>0</v>
      </c>
      <c r="AP120" s="8">
        <v>1</v>
      </c>
      <c r="AQ120" s="8">
        <v>1</v>
      </c>
      <c r="AR120" s="8">
        <v>1</v>
      </c>
      <c r="AS120" s="8">
        <v>1</v>
      </c>
      <c r="AT120" s="8">
        <v>0</v>
      </c>
      <c r="AU120" s="8">
        <v>1</v>
      </c>
      <c r="AV120" s="8">
        <v>1</v>
      </c>
      <c r="AW120" s="8">
        <v>1</v>
      </c>
      <c r="AX120" s="8">
        <v>0</v>
      </c>
      <c r="AY120" s="8">
        <v>0</v>
      </c>
      <c r="AZ120" s="8">
        <v>0</v>
      </c>
      <c r="BA120" s="8">
        <v>1</v>
      </c>
      <c r="BB120" s="8">
        <v>0</v>
      </c>
      <c r="BC120" s="8">
        <v>0</v>
      </c>
      <c r="BD120" s="8">
        <v>0</v>
      </c>
      <c r="BE120" s="8">
        <v>0</v>
      </c>
      <c r="BF120" s="8">
        <v>1</v>
      </c>
      <c r="BG120" s="8">
        <v>1</v>
      </c>
      <c r="BH120" s="8">
        <v>1</v>
      </c>
      <c r="BI120" s="8">
        <v>0</v>
      </c>
      <c r="BJ120" s="8">
        <v>1</v>
      </c>
      <c r="BK120" s="8">
        <v>0</v>
      </c>
      <c r="BL120" s="8">
        <v>0</v>
      </c>
      <c r="BM120" s="8">
        <v>0</v>
      </c>
      <c r="BN120" s="8">
        <v>1</v>
      </c>
      <c r="BO120" s="3">
        <f t="shared" si="6"/>
        <v>19</v>
      </c>
      <c r="BP120" s="3"/>
      <c r="BQ120" s="3"/>
      <c r="BR120" s="3"/>
      <c r="BS120" s="3"/>
      <c r="BT120" s="3"/>
      <c r="BU120" s="3"/>
      <c r="BV120" s="3"/>
      <c r="BW120" s="3"/>
      <c r="BX120" s="3"/>
      <c r="BY120" s="3"/>
      <c r="BZ120" s="3"/>
      <c r="CA120" s="3"/>
      <c r="CB120" s="3"/>
      <c r="CC120" s="3"/>
      <c r="CD120" s="3"/>
    </row>
    <row r="121" spans="1:82" ht="15" customHeight="1" x14ac:dyDescent="0.2">
      <c r="A121">
        <v>120</v>
      </c>
      <c r="B121" t="s">
        <v>765</v>
      </c>
      <c r="C121" s="49" t="s">
        <v>177</v>
      </c>
      <c r="D121" s="49">
        <v>2023</v>
      </c>
      <c r="E121" s="49">
        <v>2023</v>
      </c>
      <c r="F121" s="73" t="s">
        <v>380</v>
      </c>
      <c r="G121" s="49" t="s">
        <v>51</v>
      </c>
      <c r="H121" s="49" t="s">
        <v>64</v>
      </c>
      <c r="I121" s="49" t="s">
        <v>52</v>
      </c>
      <c r="J121" s="49">
        <v>1</v>
      </c>
      <c r="K121" s="49">
        <v>1</v>
      </c>
      <c r="L121" s="49">
        <v>1</v>
      </c>
      <c r="M121" s="49" t="s">
        <v>179</v>
      </c>
      <c r="N121" s="51">
        <v>0.1</v>
      </c>
      <c r="O121" s="49">
        <v>1</v>
      </c>
      <c r="P121" s="49">
        <v>0</v>
      </c>
      <c r="Q121" s="49">
        <v>1</v>
      </c>
      <c r="R121" s="49">
        <v>1</v>
      </c>
      <c r="S121" s="49">
        <v>1</v>
      </c>
      <c r="T121" s="49">
        <v>0</v>
      </c>
      <c r="U121" s="49">
        <v>0</v>
      </c>
      <c r="V121" s="49">
        <v>1</v>
      </c>
      <c r="W121" s="49" t="s">
        <v>180</v>
      </c>
      <c r="X121" s="49">
        <v>1</v>
      </c>
      <c r="Y121" s="49">
        <v>0</v>
      </c>
      <c r="Z121" s="49">
        <v>0</v>
      </c>
      <c r="AA121" s="49">
        <v>0</v>
      </c>
      <c r="AB121" s="49">
        <v>1</v>
      </c>
      <c r="AC121" s="49">
        <v>0</v>
      </c>
      <c r="AD121" s="49">
        <v>0</v>
      </c>
      <c r="AE121" s="49">
        <v>0</v>
      </c>
      <c r="AF121" s="49">
        <v>1</v>
      </c>
      <c r="AG121" s="49">
        <v>1</v>
      </c>
      <c r="AH121" s="49">
        <v>1</v>
      </c>
      <c r="AI121" s="49">
        <v>1</v>
      </c>
      <c r="AJ121" s="49">
        <v>1</v>
      </c>
      <c r="AK121" s="49">
        <v>0</v>
      </c>
      <c r="AL121" s="49">
        <v>1</v>
      </c>
      <c r="AM121" s="49">
        <v>0</v>
      </c>
      <c r="AN121" s="49">
        <v>1</v>
      </c>
      <c r="AO121" s="49">
        <v>0</v>
      </c>
      <c r="AP121" s="49">
        <v>1</v>
      </c>
      <c r="AQ121" s="49">
        <v>1</v>
      </c>
      <c r="AR121" s="49">
        <v>1</v>
      </c>
      <c r="AS121" s="49">
        <v>1</v>
      </c>
      <c r="AT121" s="49">
        <v>0</v>
      </c>
      <c r="AU121" s="49">
        <v>1</v>
      </c>
      <c r="AV121" s="49">
        <v>1</v>
      </c>
      <c r="AW121" s="49">
        <v>1</v>
      </c>
      <c r="AX121" s="49">
        <v>0</v>
      </c>
      <c r="AY121" s="49">
        <v>0</v>
      </c>
      <c r="AZ121" s="49">
        <v>0</v>
      </c>
      <c r="BA121" s="49">
        <v>1</v>
      </c>
      <c r="BB121" s="49">
        <v>0</v>
      </c>
      <c r="BC121" s="49">
        <v>0</v>
      </c>
      <c r="BD121" s="49">
        <v>0</v>
      </c>
      <c r="BE121" s="49">
        <v>0</v>
      </c>
      <c r="BF121" s="49">
        <v>1</v>
      </c>
      <c r="BG121" s="49">
        <v>1</v>
      </c>
      <c r="BH121" s="49">
        <v>1</v>
      </c>
      <c r="BI121" s="49">
        <v>0</v>
      </c>
      <c r="BJ121" s="49">
        <v>1</v>
      </c>
      <c r="BK121" s="49">
        <v>0</v>
      </c>
      <c r="BL121" s="49">
        <v>0</v>
      </c>
      <c r="BM121" s="49">
        <v>1</v>
      </c>
      <c r="BN121" s="49">
        <v>1</v>
      </c>
      <c r="BO121" s="49">
        <v>21</v>
      </c>
      <c r="BP121" s="49"/>
      <c r="BQ121" s="49">
        <v>1</v>
      </c>
      <c r="BR121" s="49">
        <v>6</v>
      </c>
      <c r="BS121" s="49">
        <v>1</v>
      </c>
      <c r="BT121" s="49">
        <v>10</v>
      </c>
      <c r="BU121" s="49">
        <v>1</v>
      </c>
      <c r="BV121" s="49">
        <v>0</v>
      </c>
      <c r="BW121" s="49">
        <v>1</v>
      </c>
      <c r="BX121" s="49">
        <v>1</v>
      </c>
      <c r="BY121" s="68"/>
      <c r="BZ121" s="68"/>
      <c r="CA121" s="68"/>
      <c r="CB121" s="68"/>
      <c r="CC121" s="68"/>
      <c r="CD121" s="68"/>
    </row>
    <row r="122" spans="1:82" ht="15" customHeight="1" x14ac:dyDescent="0.2">
      <c r="A122">
        <v>121</v>
      </c>
      <c r="B122" t="s">
        <v>766</v>
      </c>
      <c r="C122" s="65" t="s">
        <v>181</v>
      </c>
      <c r="D122" s="7" t="s">
        <v>381</v>
      </c>
      <c r="E122" s="7" t="s">
        <v>381</v>
      </c>
      <c r="F122" s="3" t="s">
        <v>382</v>
      </c>
      <c r="G122" s="3" t="s">
        <v>383</v>
      </c>
      <c r="H122" s="3"/>
      <c r="I122" s="3"/>
      <c r="J122" s="3"/>
      <c r="K122" s="3"/>
      <c r="L122" s="3"/>
      <c r="M122" s="3"/>
      <c r="N122" s="3"/>
      <c r="O122" s="3"/>
      <c r="P122" s="3"/>
      <c r="Q122" s="3"/>
      <c r="R122" s="3"/>
      <c r="S122" s="3"/>
      <c r="T122" s="3"/>
      <c r="U122" s="3"/>
      <c r="V122" s="3"/>
      <c r="W122" s="3"/>
      <c r="X122" s="8">
        <v>0</v>
      </c>
      <c r="Y122" s="3"/>
      <c r="Z122" s="3"/>
      <c r="AA122" s="3"/>
      <c r="AB122" s="8">
        <v>0</v>
      </c>
      <c r="AC122" s="8">
        <v>0</v>
      </c>
      <c r="AD122" s="8">
        <v>0</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f t="shared" si="6"/>
        <v>0</v>
      </c>
      <c r="BP122" s="3"/>
      <c r="BQ122" s="3"/>
      <c r="BR122" s="3"/>
      <c r="BS122" s="3"/>
      <c r="BT122" s="3"/>
      <c r="BU122" s="3"/>
      <c r="BV122" s="3"/>
      <c r="BW122" s="3"/>
      <c r="BX122" s="3"/>
      <c r="BY122" s="3"/>
      <c r="BZ122" s="3"/>
      <c r="CA122" s="3"/>
      <c r="CB122" s="3"/>
      <c r="CC122" s="3"/>
      <c r="CD122" s="3"/>
    </row>
    <row r="123" spans="1:82" ht="15" customHeight="1" x14ac:dyDescent="0.2">
      <c r="A123">
        <v>122</v>
      </c>
      <c r="B123" t="s">
        <v>767</v>
      </c>
      <c r="C123" s="65" t="s">
        <v>181</v>
      </c>
      <c r="D123" s="7" t="s">
        <v>384</v>
      </c>
      <c r="E123" s="7" t="s">
        <v>384</v>
      </c>
      <c r="F123" s="3" t="s">
        <v>385</v>
      </c>
      <c r="G123" s="3" t="s">
        <v>386</v>
      </c>
      <c r="H123" s="3"/>
      <c r="I123" s="3"/>
      <c r="J123" s="3"/>
      <c r="K123" s="3"/>
      <c r="L123" s="3"/>
      <c r="M123" s="3"/>
      <c r="N123" s="3"/>
      <c r="O123" s="3"/>
      <c r="P123" s="3"/>
      <c r="Q123" s="3"/>
      <c r="R123" s="3"/>
      <c r="S123" s="3"/>
      <c r="T123" s="3"/>
      <c r="U123" s="3"/>
      <c r="V123" s="3"/>
      <c r="W123" s="3"/>
      <c r="X123" s="8">
        <v>0</v>
      </c>
      <c r="Y123" s="3"/>
      <c r="Z123" s="3"/>
      <c r="AA123" s="3"/>
      <c r="AB123" s="8">
        <v>0</v>
      </c>
      <c r="AC123" s="8">
        <v>0</v>
      </c>
      <c r="AD123" s="8">
        <v>0</v>
      </c>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f t="shared" si="6"/>
        <v>0</v>
      </c>
      <c r="BP123" s="3"/>
      <c r="BQ123" s="3"/>
      <c r="BR123" s="3"/>
      <c r="BS123" s="3"/>
      <c r="BT123" s="3"/>
      <c r="BU123" s="3"/>
      <c r="BV123" s="3"/>
      <c r="BW123" s="3"/>
      <c r="BX123" s="3"/>
      <c r="BY123" s="3"/>
      <c r="BZ123" s="3"/>
      <c r="CA123" s="3"/>
      <c r="CB123" s="3"/>
      <c r="CC123" s="3"/>
      <c r="CD123" s="3"/>
    </row>
    <row r="124" spans="1:82" ht="15" customHeight="1" x14ac:dyDescent="0.2">
      <c r="A124">
        <v>123</v>
      </c>
      <c r="B124" t="s">
        <v>768</v>
      </c>
      <c r="C124" s="65" t="s">
        <v>181</v>
      </c>
      <c r="D124" s="7" t="s">
        <v>257</v>
      </c>
      <c r="E124" s="7" t="s">
        <v>257</v>
      </c>
      <c r="F124" s="3" t="s">
        <v>387</v>
      </c>
      <c r="G124" s="3" t="s">
        <v>388</v>
      </c>
      <c r="H124" s="3"/>
      <c r="I124" s="3"/>
      <c r="J124" s="3"/>
      <c r="K124" s="3"/>
      <c r="L124" s="3"/>
      <c r="M124" s="3"/>
      <c r="N124" s="3"/>
      <c r="O124" s="3"/>
      <c r="P124" s="3"/>
      <c r="Q124" s="3"/>
      <c r="R124" s="3"/>
      <c r="S124" s="3"/>
      <c r="T124" s="3"/>
      <c r="U124" s="3"/>
      <c r="V124" s="3"/>
      <c r="W124" s="3"/>
      <c r="X124" s="8">
        <v>0</v>
      </c>
      <c r="Y124" s="3"/>
      <c r="Z124" s="3"/>
      <c r="AA124" s="3"/>
      <c r="AB124" s="8">
        <v>0</v>
      </c>
      <c r="AC124" s="8">
        <v>0</v>
      </c>
      <c r="AD124" s="8">
        <v>0</v>
      </c>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f t="shared" si="6"/>
        <v>0</v>
      </c>
      <c r="BP124" s="3"/>
      <c r="BQ124" s="3"/>
      <c r="BR124" s="3"/>
      <c r="BS124" s="3"/>
      <c r="BT124" s="3"/>
      <c r="BU124" s="3"/>
      <c r="BV124" s="3"/>
      <c r="BW124" s="3"/>
      <c r="BX124" s="3"/>
      <c r="BY124" s="3"/>
      <c r="BZ124" s="3"/>
      <c r="CA124" s="3"/>
      <c r="CB124" s="3"/>
      <c r="CC124" s="3"/>
      <c r="CD124" s="3"/>
    </row>
    <row r="125" spans="1:82" ht="15" customHeight="1" x14ac:dyDescent="0.2">
      <c r="A125">
        <v>124</v>
      </c>
      <c r="B125" t="s">
        <v>769</v>
      </c>
      <c r="C125" s="65" t="s">
        <v>181</v>
      </c>
      <c r="D125" s="7" t="s">
        <v>389</v>
      </c>
      <c r="E125" s="7" t="s">
        <v>389</v>
      </c>
      <c r="F125" s="3" t="s">
        <v>390</v>
      </c>
      <c r="G125" s="8" t="s">
        <v>51</v>
      </c>
      <c r="H125" s="8" t="s">
        <v>52</v>
      </c>
      <c r="I125" s="8" t="s">
        <v>52</v>
      </c>
      <c r="J125" s="8">
        <v>0</v>
      </c>
      <c r="K125" s="8">
        <v>1</v>
      </c>
      <c r="L125" s="8">
        <v>1</v>
      </c>
      <c r="M125" s="6" t="s">
        <v>60</v>
      </c>
      <c r="N125" s="9">
        <v>0.5</v>
      </c>
      <c r="O125" s="8">
        <v>0</v>
      </c>
      <c r="P125" s="8">
        <v>0</v>
      </c>
      <c r="Q125" s="8">
        <v>0</v>
      </c>
      <c r="R125" s="8">
        <v>0</v>
      </c>
      <c r="S125" s="8">
        <v>1</v>
      </c>
      <c r="T125" s="8">
        <v>0</v>
      </c>
      <c r="U125" s="8">
        <v>0</v>
      </c>
      <c r="V125" s="8">
        <v>1</v>
      </c>
      <c r="W125" s="8" t="s">
        <v>182</v>
      </c>
      <c r="X125" s="8">
        <v>0</v>
      </c>
      <c r="Y125" s="8">
        <v>0</v>
      </c>
      <c r="Z125" s="8">
        <v>1</v>
      </c>
      <c r="AA125" s="8">
        <v>0</v>
      </c>
      <c r="AB125" s="8">
        <v>0</v>
      </c>
      <c r="AC125" s="8">
        <v>0</v>
      </c>
      <c r="AD125" s="8">
        <v>0</v>
      </c>
      <c r="AE125" s="8">
        <v>1</v>
      </c>
      <c r="AF125" s="8">
        <v>0</v>
      </c>
      <c r="AG125" s="8">
        <v>0</v>
      </c>
      <c r="AH125" s="8">
        <v>1</v>
      </c>
      <c r="AI125" s="8">
        <v>1</v>
      </c>
      <c r="AJ125" s="8">
        <v>0</v>
      </c>
      <c r="AK125" s="8">
        <v>0</v>
      </c>
      <c r="AL125" s="8">
        <v>1</v>
      </c>
      <c r="AM125" s="8">
        <v>0</v>
      </c>
      <c r="AN125" s="8">
        <v>1</v>
      </c>
      <c r="AO125" s="8">
        <v>0</v>
      </c>
      <c r="AP125" s="8">
        <v>0</v>
      </c>
      <c r="AQ125" s="8">
        <v>1</v>
      </c>
      <c r="AR125" s="8">
        <v>0</v>
      </c>
      <c r="AS125" s="8">
        <v>0</v>
      </c>
      <c r="AT125" s="8">
        <v>0</v>
      </c>
      <c r="AU125" s="8">
        <v>0</v>
      </c>
      <c r="AV125" s="8">
        <v>0</v>
      </c>
      <c r="AW125" s="8">
        <v>0</v>
      </c>
      <c r="AX125" s="8">
        <v>0</v>
      </c>
      <c r="AY125" s="8">
        <v>0</v>
      </c>
      <c r="AZ125" s="8">
        <v>0</v>
      </c>
      <c r="BA125" s="8">
        <v>0</v>
      </c>
      <c r="BB125" s="8">
        <v>0</v>
      </c>
      <c r="BC125" s="8">
        <v>0</v>
      </c>
      <c r="BD125" s="8">
        <v>0</v>
      </c>
      <c r="BE125" s="8">
        <v>0</v>
      </c>
      <c r="BF125" s="8">
        <v>0</v>
      </c>
      <c r="BG125" s="8">
        <v>0</v>
      </c>
      <c r="BH125" s="8">
        <v>0</v>
      </c>
      <c r="BI125" s="8">
        <v>0</v>
      </c>
      <c r="BJ125" s="8">
        <v>0</v>
      </c>
      <c r="BK125" s="8">
        <v>1</v>
      </c>
      <c r="BL125" s="8">
        <v>0</v>
      </c>
      <c r="BM125" s="8">
        <v>0</v>
      </c>
      <c r="BN125" s="8">
        <v>0</v>
      </c>
      <c r="BO125" s="3">
        <f t="shared" si="6"/>
        <v>7</v>
      </c>
      <c r="BP125" s="3"/>
      <c r="BQ125" s="3"/>
      <c r="BR125" s="3"/>
      <c r="BS125" s="3"/>
      <c r="BT125" s="3"/>
      <c r="BU125" s="3"/>
      <c r="BV125" s="3"/>
      <c r="BW125" s="3"/>
      <c r="BX125" s="3"/>
      <c r="BY125" s="3"/>
      <c r="BZ125" s="3"/>
      <c r="CA125" s="3"/>
      <c r="CB125" s="3"/>
      <c r="CC125" s="3"/>
      <c r="CD125" s="3"/>
    </row>
    <row r="126" spans="1:82" ht="15" customHeight="1" x14ac:dyDescent="0.2">
      <c r="A126">
        <v>125</v>
      </c>
      <c r="B126" t="s">
        <v>770</v>
      </c>
      <c r="C126" s="65" t="s">
        <v>181</v>
      </c>
      <c r="D126" s="7" t="s">
        <v>86</v>
      </c>
      <c r="E126" s="7" t="s">
        <v>86</v>
      </c>
      <c r="F126" s="3" t="s">
        <v>391</v>
      </c>
      <c r="G126" s="3" t="s">
        <v>51</v>
      </c>
      <c r="H126" s="3"/>
      <c r="I126" s="3" t="s">
        <v>392</v>
      </c>
      <c r="J126" s="3">
        <v>0</v>
      </c>
      <c r="K126" s="3">
        <v>0</v>
      </c>
      <c r="L126" s="3">
        <v>0</v>
      </c>
      <c r="M126" s="3">
        <v>0</v>
      </c>
      <c r="N126" s="3"/>
      <c r="O126" s="3"/>
      <c r="P126" s="3">
        <v>0</v>
      </c>
      <c r="Q126" s="3">
        <v>1</v>
      </c>
      <c r="R126" s="3">
        <v>0</v>
      </c>
      <c r="S126" s="3">
        <v>0</v>
      </c>
      <c r="T126" s="3">
        <v>0</v>
      </c>
      <c r="U126" s="3">
        <v>0</v>
      </c>
      <c r="V126" s="3">
        <v>1</v>
      </c>
      <c r="W126" s="3">
        <v>1</v>
      </c>
      <c r="X126" s="8">
        <v>0</v>
      </c>
      <c r="Y126" s="3" t="s">
        <v>393</v>
      </c>
      <c r="Z126" s="3">
        <v>0</v>
      </c>
      <c r="AA126" s="3">
        <v>1</v>
      </c>
      <c r="AB126" s="8">
        <v>0</v>
      </c>
      <c r="AC126" s="8">
        <v>0</v>
      </c>
      <c r="AD126" s="8">
        <v>0</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f t="shared" si="6"/>
        <v>0</v>
      </c>
      <c r="BP126" s="3"/>
      <c r="BQ126" s="3"/>
      <c r="BR126" s="3"/>
      <c r="BS126" s="3"/>
      <c r="BT126" s="3"/>
      <c r="BU126" s="3"/>
      <c r="BV126" s="3"/>
      <c r="BW126" s="3"/>
      <c r="BX126" s="3"/>
      <c r="BY126" s="3"/>
      <c r="BZ126" s="3"/>
      <c r="CA126" s="3"/>
      <c r="CB126" s="3"/>
      <c r="CC126" s="3"/>
      <c r="CD126" s="3"/>
    </row>
    <row r="127" spans="1:82" ht="15" customHeight="1" x14ac:dyDescent="0.2">
      <c r="A127">
        <v>126</v>
      </c>
      <c r="B127" t="s">
        <v>771</v>
      </c>
      <c r="C127" s="65" t="s">
        <v>181</v>
      </c>
      <c r="D127" s="7" t="s">
        <v>72</v>
      </c>
      <c r="E127" s="7" t="s">
        <v>72</v>
      </c>
      <c r="F127" s="3" t="s">
        <v>394</v>
      </c>
      <c r="G127" s="8" t="s">
        <v>63</v>
      </c>
      <c r="H127" s="8" t="s">
        <v>52</v>
      </c>
      <c r="I127" s="8" t="s">
        <v>52</v>
      </c>
      <c r="J127" s="8">
        <v>0</v>
      </c>
      <c r="K127" s="8">
        <v>1</v>
      </c>
      <c r="L127" s="8">
        <v>1</v>
      </c>
      <c r="M127" s="6" t="s">
        <v>60</v>
      </c>
      <c r="N127" s="9">
        <v>0.5</v>
      </c>
      <c r="O127" s="8">
        <v>0</v>
      </c>
      <c r="P127" s="8">
        <v>0</v>
      </c>
      <c r="Q127" s="3">
        <v>1</v>
      </c>
      <c r="R127" s="8">
        <v>0</v>
      </c>
      <c r="S127" s="8">
        <v>1</v>
      </c>
      <c r="T127" s="8">
        <v>0</v>
      </c>
      <c r="U127" s="8">
        <v>0</v>
      </c>
      <c r="V127" s="8">
        <v>1</v>
      </c>
      <c r="W127" s="8" t="s">
        <v>182</v>
      </c>
      <c r="X127" s="8">
        <v>0</v>
      </c>
      <c r="Y127" s="8">
        <v>0</v>
      </c>
      <c r="Z127" s="8">
        <v>1</v>
      </c>
      <c r="AA127" s="8">
        <v>0</v>
      </c>
      <c r="AB127" s="8">
        <v>0</v>
      </c>
      <c r="AC127" s="8">
        <v>0</v>
      </c>
      <c r="AD127" s="8">
        <v>0</v>
      </c>
      <c r="AE127" s="8">
        <v>1</v>
      </c>
      <c r="AF127" s="8">
        <v>1</v>
      </c>
      <c r="AG127" s="8">
        <v>0</v>
      </c>
      <c r="AH127" s="8">
        <v>1</v>
      </c>
      <c r="AI127" s="8">
        <v>1</v>
      </c>
      <c r="AJ127" s="8">
        <v>0</v>
      </c>
      <c r="AK127" s="8">
        <v>0</v>
      </c>
      <c r="AL127" s="8">
        <v>1</v>
      </c>
      <c r="AM127" s="8">
        <v>0</v>
      </c>
      <c r="AN127" s="8">
        <v>1</v>
      </c>
      <c r="AO127" s="8">
        <v>0</v>
      </c>
      <c r="AP127" s="8">
        <v>0</v>
      </c>
      <c r="AQ127" s="8">
        <v>1</v>
      </c>
      <c r="AR127" s="8">
        <v>0</v>
      </c>
      <c r="AS127" s="8">
        <v>0</v>
      </c>
      <c r="AT127" s="8">
        <v>0</v>
      </c>
      <c r="AU127" s="8">
        <v>0</v>
      </c>
      <c r="AV127" s="8">
        <v>0</v>
      </c>
      <c r="AW127" s="8">
        <v>0</v>
      </c>
      <c r="AX127" s="8">
        <v>0</v>
      </c>
      <c r="AY127" s="8">
        <v>0</v>
      </c>
      <c r="AZ127" s="8">
        <v>0</v>
      </c>
      <c r="BA127" s="8">
        <v>0</v>
      </c>
      <c r="BB127" s="8">
        <v>0</v>
      </c>
      <c r="BC127" s="8">
        <v>0</v>
      </c>
      <c r="BD127" s="8">
        <v>0</v>
      </c>
      <c r="BE127" s="8">
        <v>0</v>
      </c>
      <c r="BF127" s="8">
        <v>0</v>
      </c>
      <c r="BG127" s="8">
        <v>0</v>
      </c>
      <c r="BH127" s="8">
        <v>1</v>
      </c>
      <c r="BI127" s="8">
        <v>0</v>
      </c>
      <c r="BJ127" s="8">
        <v>0</v>
      </c>
      <c r="BK127" s="8">
        <v>1</v>
      </c>
      <c r="BL127" s="8">
        <v>0</v>
      </c>
      <c r="BM127" s="8">
        <v>0</v>
      </c>
      <c r="BN127" s="8">
        <v>0</v>
      </c>
      <c r="BO127" s="3">
        <f t="shared" si="6"/>
        <v>9</v>
      </c>
      <c r="BP127" s="3"/>
      <c r="BQ127" s="3"/>
      <c r="BR127" s="3"/>
      <c r="BS127" s="3"/>
      <c r="BT127" s="3"/>
      <c r="BU127" s="3"/>
      <c r="BV127" s="3"/>
      <c r="BW127" s="3"/>
      <c r="BX127" s="3"/>
      <c r="BY127" s="3"/>
      <c r="BZ127" s="3"/>
      <c r="CA127" s="3"/>
      <c r="CB127" s="3"/>
      <c r="CC127" s="3"/>
      <c r="CD127" s="3"/>
    </row>
    <row r="128" spans="1:82" ht="15" customHeight="1" x14ac:dyDescent="0.2">
      <c r="A128">
        <v>127</v>
      </c>
      <c r="B128" t="s">
        <v>772</v>
      </c>
      <c r="C128" s="65" t="s">
        <v>181</v>
      </c>
      <c r="D128" s="7" t="s">
        <v>78</v>
      </c>
      <c r="E128" s="7" t="s">
        <v>79</v>
      </c>
      <c r="F128" s="3" t="s">
        <v>395</v>
      </c>
      <c r="G128" s="8" t="s">
        <v>59</v>
      </c>
      <c r="H128" s="8" t="s">
        <v>64</v>
      </c>
      <c r="I128" s="8" t="s">
        <v>52</v>
      </c>
      <c r="J128" s="8">
        <v>0</v>
      </c>
      <c r="K128" s="8">
        <v>0</v>
      </c>
      <c r="L128" s="8">
        <v>1</v>
      </c>
      <c r="M128" s="6" t="s">
        <v>60</v>
      </c>
      <c r="N128" s="14" t="s">
        <v>184</v>
      </c>
      <c r="O128" s="8">
        <v>0</v>
      </c>
      <c r="P128" s="8">
        <v>0</v>
      </c>
      <c r="Q128" s="3">
        <v>1</v>
      </c>
      <c r="R128" s="8">
        <v>1</v>
      </c>
      <c r="S128" s="8">
        <v>1</v>
      </c>
      <c r="T128" s="8">
        <v>0</v>
      </c>
      <c r="U128" s="8">
        <v>0</v>
      </c>
      <c r="V128" s="8">
        <v>1</v>
      </c>
      <c r="W128" s="8" t="s">
        <v>143</v>
      </c>
      <c r="X128" s="8">
        <v>0</v>
      </c>
      <c r="Y128" s="8">
        <v>0</v>
      </c>
      <c r="Z128" s="8">
        <v>1</v>
      </c>
      <c r="AA128" s="8">
        <v>0</v>
      </c>
      <c r="AB128" s="8">
        <v>1</v>
      </c>
      <c r="AC128" s="8">
        <v>0</v>
      </c>
      <c r="AD128" s="8">
        <v>1</v>
      </c>
      <c r="AE128" s="8">
        <v>1</v>
      </c>
      <c r="AF128" s="8">
        <v>1</v>
      </c>
      <c r="AG128" s="8">
        <v>1</v>
      </c>
      <c r="AH128" s="8">
        <v>1</v>
      </c>
      <c r="AI128" s="8">
        <v>1</v>
      </c>
      <c r="AJ128" s="8">
        <v>1</v>
      </c>
      <c r="AK128" s="8">
        <v>0</v>
      </c>
      <c r="AL128" s="8">
        <v>1</v>
      </c>
      <c r="AM128" s="8">
        <v>1</v>
      </c>
      <c r="AN128" s="8">
        <v>1</v>
      </c>
      <c r="AO128" s="8">
        <v>0</v>
      </c>
      <c r="AP128" s="8">
        <v>1</v>
      </c>
      <c r="AQ128" s="8">
        <v>1</v>
      </c>
      <c r="AR128" s="8">
        <v>1</v>
      </c>
      <c r="AS128" s="8">
        <v>1</v>
      </c>
      <c r="AT128" s="8">
        <v>0</v>
      </c>
      <c r="AU128" s="8">
        <v>1</v>
      </c>
      <c r="AV128" s="8">
        <v>0</v>
      </c>
      <c r="AW128" s="8">
        <v>1</v>
      </c>
      <c r="AX128" s="8">
        <v>1</v>
      </c>
      <c r="AY128" s="8">
        <v>0</v>
      </c>
      <c r="AZ128" s="8">
        <v>0</v>
      </c>
      <c r="BA128" s="8">
        <v>1</v>
      </c>
      <c r="BB128" s="8">
        <v>0</v>
      </c>
      <c r="BC128" s="8">
        <v>0</v>
      </c>
      <c r="BD128" s="8">
        <v>0</v>
      </c>
      <c r="BE128" s="8">
        <v>0</v>
      </c>
      <c r="BF128" s="8">
        <v>0</v>
      </c>
      <c r="BG128" s="8">
        <v>1</v>
      </c>
      <c r="BH128" s="8">
        <v>1</v>
      </c>
      <c r="BI128" s="8">
        <v>1</v>
      </c>
      <c r="BJ128" s="8">
        <v>0</v>
      </c>
      <c r="BK128" s="8">
        <v>0</v>
      </c>
      <c r="BL128" s="8">
        <v>0</v>
      </c>
      <c r="BM128" s="8">
        <v>0</v>
      </c>
      <c r="BN128" s="8">
        <v>1</v>
      </c>
      <c r="BO128" s="3">
        <f t="shared" si="6"/>
        <v>21</v>
      </c>
      <c r="BP128" s="3"/>
      <c r="BQ128" s="3"/>
      <c r="BR128" s="3"/>
      <c r="BS128" s="3"/>
      <c r="BT128" s="3"/>
      <c r="BU128" s="3"/>
      <c r="BV128" s="3"/>
      <c r="BW128" s="3"/>
      <c r="BX128" s="3"/>
      <c r="BY128" s="3"/>
      <c r="BZ128" s="3"/>
      <c r="CA128" s="3"/>
      <c r="CB128" s="3"/>
      <c r="CC128" s="3"/>
      <c r="CD128" s="3"/>
    </row>
    <row r="129" spans="1:82" ht="15" customHeight="1" x14ac:dyDescent="0.2">
      <c r="A129">
        <v>128</v>
      </c>
      <c r="B129" t="s">
        <v>773</v>
      </c>
      <c r="C129" s="65" t="s">
        <v>181</v>
      </c>
      <c r="D129" s="7" t="s">
        <v>79</v>
      </c>
      <c r="E129" s="7" t="s">
        <v>79</v>
      </c>
      <c r="F129" s="3" t="s">
        <v>396</v>
      </c>
      <c r="G129" s="8" t="s">
        <v>59</v>
      </c>
      <c r="H129" s="8" t="s">
        <v>64</v>
      </c>
      <c r="I129" s="8" t="s">
        <v>52</v>
      </c>
      <c r="J129" s="8">
        <v>0</v>
      </c>
      <c r="K129" s="8">
        <v>0</v>
      </c>
      <c r="L129" s="8">
        <v>1</v>
      </c>
      <c r="M129" s="6" t="s">
        <v>60</v>
      </c>
      <c r="N129" s="14" t="s">
        <v>184</v>
      </c>
      <c r="O129" s="8">
        <v>0</v>
      </c>
      <c r="P129" s="8">
        <v>0</v>
      </c>
      <c r="Q129" s="3">
        <v>1</v>
      </c>
      <c r="R129" s="8">
        <v>1</v>
      </c>
      <c r="S129" s="8">
        <v>1</v>
      </c>
      <c r="T129" s="8">
        <v>0</v>
      </c>
      <c r="U129" s="8">
        <v>0</v>
      </c>
      <c r="V129" s="8">
        <v>1</v>
      </c>
      <c r="W129" s="8" t="s">
        <v>143</v>
      </c>
      <c r="X129" s="8">
        <v>1</v>
      </c>
      <c r="Y129" s="8">
        <v>0</v>
      </c>
      <c r="Z129" s="8">
        <v>1</v>
      </c>
      <c r="AA129" s="8">
        <v>0</v>
      </c>
      <c r="AB129" s="8">
        <v>1</v>
      </c>
      <c r="AC129" s="8">
        <v>0.5</v>
      </c>
      <c r="AD129" s="8">
        <v>1</v>
      </c>
      <c r="AE129" s="8">
        <v>1</v>
      </c>
      <c r="AF129" s="8">
        <v>1</v>
      </c>
      <c r="AG129" s="8">
        <v>1</v>
      </c>
      <c r="AH129" s="8">
        <v>1</v>
      </c>
      <c r="AI129" s="8">
        <v>1</v>
      </c>
      <c r="AJ129" s="8">
        <v>1</v>
      </c>
      <c r="AK129" s="8">
        <v>0</v>
      </c>
      <c r="AL129" s="8">
        <v>1</v>
      </c>
      <c r="AM129" s="8">
        <v>1</v>
      </c>
      <c r="AN129" s="8">
        <v>1</v>
      </c>
      <c r="AO129" s="8">
        <v>0</v>
      </c>
      <c r="AP129" s="8">
        <v>1</v>
      </c>
      <c r="AQ129" s="8">
        <v>1</v>
      </c>
      <c r="AR129" s="8">
        <v>1</v>
      </c>
      <c r="AS129" s="8">
        <v>1</v>
      </c>
      <c r="AT129" s="8">
        <v>0</v>
      </c>
      <c r="AU129" s="8">
        <v>1</v>
      </c>
      <c r="AV129" s="8">
        <v>0</v>
      </c>
      <c r="AW129" s="8">
        <v>1</v>
      </c>
      <c r="AX129" s="8">
        <v>1</v>
      </c>
      <c r="AY129" s="8">
        <v>0</v>
      </c>
      <c r="AZ129" s="8">
        <v>0</v>
      </c>
      <c r="BA129" s="8">
        <v>1</v>
      </c>
      <c r="BB129" s="8">
        <v>0</v>
      </c>
      <c r="BC129" s="8">
        <v>0</v>
      </c>
      <c r="BD129" s="8">
        <v>0</v>
      </c>
      <c r="BE129" s="8">
        <v>0</v>
      </c>
      <c r="BF129" s="8">
        <v>0</v>
      </c>
      <c r="BG129" s="8">
        <v>1</v>
      </c>
      <c r="BH129" s="8">
        <v>1</v>
      </c>
      <c r="BI129" s="8">
        <v>1</v>
      </c>
      <c r="BJ129" s="8">
        <v>0</v>
      </c>
      <c r="BK129" s="8">
        <v>0</v>
      </c>
      <c r="BL129" s="8">
        <v>0</v>
      </c>
      <c r="BM129" s="8">
        <v>0</v>
      </c>
      <c r="BN129" s="8">
        <v>1</v>
      </c>
      <c r="BO129" s="3">
        <f t="shared" si="6"/>
        <v>21</v>
      </c>
      <c r="BP129" s="3"/>
      <c r="BQ129" s="3"/>
      <c r="BR129" s="3"/>
      <c r="BS129" s="3"/>
      <c r="BT129" s="3"/>
      <c r="BU129" s="3"/>
      <c r="BV129" s="3"/>
      <c r="BW129" s="3"/>
      <c r="BX129" s="3"/>
      <c r="BY129" s="3"/>
      <c r="BZ129" s="3"/>
      <c r="CA129" s="3"/>
      <c r="CB129" s="3"/>
      <c r="CC129" s="3"/>
      <c r="CD129" s="3"/>
    </row>
    <row r="130" spans="1:82" ht="15" customHeight="1" x14ac:dyDescent="0.2">
      <c r="A130">
        <v>129</v>
      </c>
      <c r="B130" t="s">
        <v>774</v>
      </c>
      <c r="C130" s="65" t="s">
        <v>181</v>
      </c>
      <c r="D130" s="3">
        <v>2020</v>
      </c>
      <c r="E130" s="3">
        <v>2020</v>
      </c>
      <c r="F130" s="108">
        <v>44136</v>
      </c>
      <c r="G130" s="8" t="s">
        <v>59</v>
      </c>
      <c r="H130" s="8" t="s">
        <v>64</v>
      </c>
      <c r="I130" s="8" t="s">
        <v>52</v>
      </c>
      <c r="J130" s="8">
        <v>0</v>
      </c>
      <c r="K130" s="8">
        <v>0</v>
      </c>
      <c r="L130" s="8">
        <v>1</v>
      </c>
      <c r="M130" s="6" t="s">
        <v>60</v>
      </c>
      <c r="N130" s="14" t="s">
        <v>184</v>
      </c>
      <c r="O130" s="8">
        <v>0</v>
      </c>
      <c r="P130" s="8">
        <v>0</v>
      </c>
      <c r="Q130" s="3">
        <v>1</v>
      </c>
      <c r="R130" s="8">
        <v>1</v>
      </c>
      <c r="S130" s="8">
        <v>1</v>
      </c>
      <c r="T130" s="8">
        <v>0</v>
      </c>
      <c r="U130" s="8">
        <v>0</v>
      </c>
      <c r="V130" s="8">
        <v>1</v>
      </c>
      <c r="W130" s="8" t="s">
        <v>143</v>
      </c>
      <c r="X130" s="8">
        <v>1</v>
      </c>
      <c r="Y130" s="8">
        <v>0</v>
      </c>
      <c r="Z130" s="8">
        <v>1</v>
      </c>
      <c r="AA130" s="8">
        <v>1</v>
      </c>
      <c r="AB130" s="8">
        <v>1</v>
      </c>
      <c r="AC130" s="8">
        <v>0.5</v>
      </c>
      <c r="AD130" s="8">
        <v>1</v>
      </c>
      <c r="AE130" s="8">
        <v>1</v>
      </c>
      <c r="AF130" s="8">
        <v>1</v>
      </c>
      <c r="AG130" s="8">
        <v>1</v>
      </c>
      <c r="AH130" s="8">
        <v>1</v>
      </c>
      <c r="AI130" s="8">
        <v>1</v>
      </c>
      <c r="AJ130" s="8">
        <v>1</v>
      </c>
      <c r="AK130" s="8">
        <v>0</v>
      </c>
      <c r="AL130" s="8">
        <v>1</v>
      </c>
      <c r="AM130" s="8">
        <v>1</v>
      </c>
      <c r="AN130" s="8">
        <v>1</v>
      </c>
      <c r="AO130" s="8">
        <v>0</v>
      </c>
      <c r="AP130" s="8">
        <v>1</v>
      </c>
      <c r="AQ130" s="8">
        <v>1</v>
      </c>
      <c r="AR130" s="8">
        <v>1</v>
      </c>
      <c r="AS130" s="8">
        <v>1</v>
      </c>
      <c r="AT130" s="8">
        <v>0</v>
      </c>
      <c r="AU130" s="8">
        <v>1</v>
      </c>
      <c r="AV130" s="8">
        <v>0</v>
      </c>
      <c r="AW130" s="8">
        <v>1</v>
      </c>
      <c r="AX130" s="8">
        <v>1</v>
      </c>
      <c r="AY130" s="8">
        <v>0</v>
      </c>
      <c r="AZ130" s="8">
        <v>0</v>
      </c>
      <c r="BA130" s="8">
        <v>1</v>
      </c>
      <c r="BB130" s="8">
        <v>0</v>
      </c>
      <c r="BC130" s="8">
        <v>0</v>
      </c>
      <c r="BD130" s="8">
        <v>0</v>
      </c>
      <c r="BE130" s="8">
        <v>0</v>
      </c>
      <c r="BF130" s="8">
        <v>0</v>
      </c>
      <c r="BG130" s="8">
        <v>1</v>
      </c>
      <c r="BH130" s="8">
        <v>1</v>
      </c>
      <c r="BI130" s="8">
        <v>1</v>
      </c>
      <c r="BJ130" s="8">
        <v>0</v>
      </c>
      <c r="BK130" s="8">
        <v>0</v>
      </c>
      <c r="BL130" s="8">
        <v>0</v>
      </c>
      <c r="BM130" s="8">
        <v>0</v>
      </c>
      <c r="BN130" s="8">
        <v>1</v>
      </c>
      <c r="BO130" s="3">
        <f t="shared" si="6"/>
        <v>21</v>
      </c>
      <c r="BP130" s="3"/>
      <c r="BQ130" s="3"/>
      <c r="BR130" s="3"/>
      <c r="BS130" s="3"/>
      <c r="BT130" s="3"/>
      <c r="BU130" s="3"/>
      <c r="BV130" s="3"/>
      <c r="BW130" s="3"/>
      <c r="BX130" s="3"/>
      <c r="BY130" s="3"/>
      <c r="BZ130" s="3"/>
      <c r="CA130" s="3"/>
      <c r="CB130" s="3"/>
      <c r="CC130" s="3"/>
      <c r="CD130" s="3"/>
    </row>
    <row r="131" spans="1:82" ht="15" customHeight="1" x14ac:dyDescent="0.2">
      <c r="A131">
        <v>130</v>
      </c>
      <c r="B131" t="s">
        <v>775</v>
      </c>
      <c r="C131" s="65" t="s">
        <v>181</v>
      </c>
      <c r="D131" s="3">
        <v>2020</v>
      </c>
      <c r="E131" s="3">
        <v>2020</v>
      </c>
      <c r="F131" s="3" t="s">
        <v>397</v>
      </c>
      <c r="G131" s="8" t="s">
        <v>59</v>
      </c>
      <c r="H131" s="8" t="s">
        <v>64</v>
      </c>
      <c r="I131" s="8" t="s">
        <v>52</v>
      </c>
      <c r="J131" s="8">
        <v>0</v>
      </c>
      <c r="K131" s="8">
        <v>1</v>
      </c>
      <c r="L131" s="8">
        <v>1</v>
      </c>
      <c r="M131" s="6" t="s">
        <v>60</v>
      </c>
      <c r="N131" s="14" t="s">
        <v>184</v>
      </c>
      <c r="O131" s="8">
        <v>0</v>
      </c>
      <c r="P131" s="8">
        <v>0</v>
      </c>
      <c r="Q131" s="3">
        <v>1</v>
      </c>
      <c r="R131" s="8">
        <v>1</v>
      </c>
      <c r="S131" s="8">
        <v>1</v>
      </c>
      <c r="T131" s="8">
        <v>0</v>
      </c>
      <c r="U131" s="8">
        <v>0</v>
      </c>
      <c r="V131" s="8">
        <v>1</v>
      </c>
      <c r="W131" s="8" t="s">
        <v>143</v>
      </c>
      <c r="X131" s="8">
        <v>1</v>
      </c>
      <c r="Y131" s="8">
        <v>0</v>
      </c>
      <c r="Z131" s="8">
        <v>1</v>
      </c>
      <c r="AA131" s="8">
        <v>1</v>
      </c>
      <c r="AB131" s="8">
        <v>1</v>
      </c>
      <c r="AC131" s="8">
        <v>0.5</v>
      </c>
      <c r="AD131" s="8">
        <v>1</v>
      </c>
      <c r="AE131" s="8">
        <v>1</v>
      </c>
      <c r="AF131" s="8">
        <v>1</v>
      </c>
      <c r="AG131" s="8">
        <v>1</v>
      </c>
      <c r="AH131" s="8">
        <v>1</v>
      </c>
      <c r="AI131" s="8">
        <v>1</v>
      </c>
      <c r="AJ131" s="8">
        <v>1</v>
      </c>
      <c r="AK131" s="8">
        <v>0</v>
      </c>
      <c r="AL131" s="8">
        <v>1</v>
      </c>
      <c r="AM131" s="8">
        <v>1</v>
      </c>
      <c r="AN131" s="8">
        <v>1</v>
      </c>
      <c r="AO131" s="8">
        <v>0</v>
      </c>
      <c r="AP131" s="8">
        <v>1</v>
      </c>
      <c r="AQ131" s="8">
        <v>1</v>
      </c>
      <c r="AR131" s="8">
        <v>1</v>
      </c>
      <c r="AS131" s="8">
        <v>1</v>
      </c>
      <c r="AT131" s="8">
        <v>0</v>
      </c>
      <c r="AU131" s="8">
        <v>1</v>
      </c>
      <c r="AV131" s="8">
        <v>0</v>
      </c>
      <c r="AW131" s="8">
        <v>1</v>
      </c>
      <c r="AX131" s="8">
        <v>1</v>
      </c>
      <c r="AY131" s="8">
        <v>0</v>
      </c>
      <c r="AZ131" s="8">
        <v>0</v>
      </c>
      <c r="BA131" s="8">
        <v>1</v>
      </c>
      <c r="BB131" s="8">
        <v>0</v>
      </c>
      <c r="BC131" s="8">
        <v>0</v>
      </c>
      <c r="BD131" s="8">
        <v>0</v>
      </c>
      <c r="BE131" s="8">
        <v>0</v>
      </c>
      <c r="BF131" s="8">
        <v>0</v>
      </c>
      <c r="BG131" s="8">
        <v>1</v>
      </c>
      <c r="BH131" s="8">
        <v>1</v>
      </c>
      <c r="BI131" s="8">
        <v>1</v>
      </c>
      <c r="BJ131" s="8">
        <v>0</v>
      </c>
      <c r="BK131" s="8">
        <v>0</v>
      </c>
      <c r="BL131" s="8">
        <v>0</v>
      </c>
      <c r="BM131" s="8">
        <v>0</v>
      </c>
      <c r="BN131" s="8">
        <v>1</v>
      </c>
      <c r="BO131" s="3">
        <f t="shared" si="6"/>
        <v>21</v>
      </c>
      <c r="BP131" s="3"/>
      <c r="BQ131" s="3"/>
      <c r="BR131" s="3"/>
      <c r="BS131" s="3"/>
      <c r="BT131" s="3"/>
      <c r="BU131" s="3"/>
      <c r="BV131" s="3"/>
      <c r="BW131" s="3"/>
      <c r="BX131" s="3"/>
      <c r="BY131" s="3"/>
      <c r="BZ131" s="3"/>
      <c r="CA131" s="3"/>
      <c r="CB131" s="3"/>
      <c r="CC131" s="3"/>
      <c r="CD131" s="3"/>
    </row>
    <row r="132" spans="1:82" ht="15" customHeight="1" x14ac:dyDescent="0.2">
      <c r="A132">
        <v>131</v>
      </c>
      <c r="B132" t="s">
        <v>776</v>
      </c>
      <c r="C132" s="65" t="s">
        <v>181</v>
      </c>
      <c r="D132" s="3">
        <v>2022</v>
      </c>
      <c r="E132" s="3">
        <v>2022</v>
      </c>
      <c r="F132" s="3" t="s">
        <v>398</v>
      </c>
      <c r="G132" s="8" t="s">
        <v>59</v>
      </c>
      <c r="H132" s="8" t="s">
        <v>64</v>
      </c>
      <c r="I132" s="8" t="s">
        <v>52</v>
      </c>
      <c r="J132" s="8">
        <v>0</v>
      </c>
      <c r="K132" s="8">
        <v>1</v>
      </c>
      <c r="L132" s="8">
        <v>1</v>
      </c>
      <c r="M132" s="6" t="s">
        <v>60</v>
      </c>
      <c r="N132" s="14" t="s">
        <v>184</v>
      </c>
      <c r="O132" s="8">
        <v>0</v>
      </c>
      <c r="P132" s="8">
        <v>0</v>
      </c>
      <c r="Q132" s="3">
        <v>1</v>
      </c>
      <c r="R132" s="8">
        <v>1</v>
      </c>
      <c r="S132" s="8">
        <v>1</v>
      </c>
      <c r="T132" s="8">
        <v>0</v>
      </c>
      <c r="U132" s="8">
        <v>0</v>
      </c>
      <c r="V132" s="8">
        <v>1</v>
      </c>
      <c r="W132" s="8" t="s">
        <v>143</v>
      </c>
      <c r="X132" s="8">
        <v>1</v>
      </c>
      <c r="Y132" s="8">
        <v>0</v>
      </c>
      <c r="Z132" s="8">
        <v>1</v>
      </c>
      <c r="AA132" s="8">
        <v>1</v>
      </c>
      <c r="AB132" s="8">
        <v>1</v>
      </c>
      <c r="AC132" s="8">
        <v>0.5</v>
      </c>
      <c r="AD132" s="8">
        <v>1</v>
      </c>
      <c r="AE132" s="8">
        <v>1</v>
      </c>
      <c r="AF132" s="8">
        <v>1</v>
      </c>
      <c r="AG132" s="8">
        <v>1</v>
      </c>
      <c r="AH132" s="8">
        <v>1</v>
      </c>
      <c r="AI132" s="8">
        <v>1</v>
      </c>
      <c r="AJ132" s="8">
        <v>1</v>
      </c>
      <c r="AK132" s="8">
        <v>0</v>
      </c>
      <c r="AL132" s="8">
        <v>1</v>
      </c>
      <c r="AM132" s="8">
        <v>1</v>
      </c>
      <c r="AN132" s="8">
        <v>1</v>
      </c>
      <c r="AO132" s="8">
        <v>0</v>
      </c>
      <c r="AP132" s="8">
        <v>1</v>
      </c>
      <c r="AQ132" s="8">
        <v>1</v>
      </c>
      <c r="AR132" s="8">
        <v>1</v>
      </c>
      <c r="AS132" s="8">
        <v>1</v>
      </c>
      <c r="AT132" s="8">
        <v>0</v>
      </c>
      <c r="AU132" s="8">
        <v>1</v>
      </c>
      <c r="AV132" s="8">
        <v>0</v>
      </c>
      <c r="AW132" s="8">
        <v>1</v>
      </c>
      <c r="AX132" s="8">
        <v>1</v>
      </c>
      <c r="AY132" s="8">
        <v>0</v>
      </c>
      <c r="AZ132" s="8">
        <v>0</v>
      </c>
      <c r="BA132" s="8">
        <v>1</v>
      </c>
      <c r="BB132" s="8">
        <v>0</v>
      </c>
      <c r="BC132" s="8">
        <v>0</v>
      </c>
      <c r="BD132" s="8">
        <v>0</v>
      </c>
      <c r="BE132" s="8">
        <v>0</v>
      </c>
      <c r="BF132" s="8">
        <v>0</v>
      </c>
      <c r="BG132" s="8">
        <v>1</v>
      </c>
      <c r="BH132" s="8">
        <v>1</v>
      </c>
      <c r="BI132" s="8">
        <v>1</v>
      </c>
      <c r="BJ132" s="8">
        <v>0</v>
      </c>
      <c r="BK132" s="8">
        <v>0</v>
      </c>
      <c r="BL132" s="8">
        <v>0</v>
      </c>
      <c r="BM132" s="8">
        <v>0</v>
      </c>
      <c r="BN132" s="8">
        <v>1</v>
      </c>
      <c r="BO132" s="3">
        <f t="shared" ref="BO132" si="13">SUM(AE132:BN132)</f>
        <v>21</v>
      </c>
      <c r="BP132" s="3"/>
      <c r="BQ132" s="3"/>
      <c r="BR132" s="3"/>
      <c r="BS132" s="3"/>
      <c r="BT132" s="3"/>
      <c r="BU132" s="3"/>
      <c r="BV132" s="3"/>
      <c r="BW132" s="3"/>
      <c r="BX132" s="3"/>
      <c r="BY132" s="3"/>
      <c r="BZ132" s="3"/>
      <c r="CA132" s="3"/>
      <c r="CB132" s="3"/>
      <c r="CC132" s="3"/>
      <c r="CD132" s="3"/>
    </row>
    <row r="133" spans="1:82" ht="15" customHeight="1" x14ac:dyDescent="0.2">
      <c r="A133">
        <v>132</v>
      </c>
      <c r="B133" t="s">
        <v>776</v>
      </c>
      <c r="C133" s="65" t="s">
        <v>181</v>
      </c>
      <c r="D133" s="3">
        <v>2022</v>
      </c>
      <c r="E133" s="3">
        <v>2022</v>
      </c>
      <c r="F133" s="3" t="s">
        <v>398</v>
      </c>
      <c r="G133" s="8" t="s">
        <v>59</v>
      </c>
      <c r="H133" s="8" t="s">
        <v>64</v>
      </c>
      <c r="I133" s="8" t="s">
        <v>52</v>
      </c>
      <c r="J133" s="8">
        <v>0</v>
      </c>
      <c r="K133" s="8">
        <v>1</v>
      </c>
      <c r="L133" s="8">
        <v>1</v>
      </c>
      <c r="M133" s="6" t="s">
        <v>399</v>
      </c>
      <c r="N133" s="14" t="s">
        <v>400</v>
      </c>
      <c r="O133" s="8">
        <v>1</v>
      </c>
      <c r="P133" s="8">
        <v>0</v>
      </c>
      <c r="Q133" s="3">
        <v>1</v>
      </c>
      <c r="R133" s="8">
        <v>1</v>
      </c>
      <c r="S133" s="8">
        <v>1</v>
      </c>
      <c r="T133" s="8">
        <v>0</v>
      </c>
      <c r="U133" s="8">
        <v>0</v>
      </c>
      <c r="V133" s="8">
        <v>1</v>
      </c>
      <c r="W133" s="8" t="s">
        <v>143</v>
      </c>
      <c r="X133" s="8">
        <v>1</v>
      </c>
      <c r="Y133" s="8">
        <v>0</v>
      </c>
      <c r="Z133" s="8">
        <v>1</v>
      </c>
      <c r="AA133" s="8">
        <v>1</v>
      </c>
      <c r="AB133" s="8">
        <v>1</v>
      </c>
      <c r="AC133" s="8">
        <v>0.5</v>
      </c>
      <c r="AD133" s="8">
        <v>1</v>
      </c>
      <c r="AE133" s="8">
        <v>1</v>
      </c>
      <c r="AF133" s="8">
        <v>1</v>
      </c>
      <c r="AG133" s="8">
        <v>1</v>
      </c>
      <c r="AH133" s="8">
        <v>1</v>
      </c>
      <c r="AI133" s="8">
        <v>1</v>
      </c>
      <c r="AJ133" s="8">
        <v>1</v>
      </c>
      <c r="AK133" s="8">
        <v>0</v>
      </c>
      <c r="AL133" s="8">
        <v>1</v>
      </c>
      <c r="AM133" s="8">
        <v>1</v>
      </c>
      <c r="AN133" s="8">
        <v>1</v>
      </c>
      <c r="AO133" s="8">
        <v>0</v>
      </c>
      <c r="AP133" s="8">
        <v>1</v>
      </c>
      <c r="AQ133" s="8">
        <v>1</v>
      </c>
      <c r="AR133" s="8">
        <v>1</v>
      </c>
      <c r="AS133" s="8">
        <v>1</v>
      </c>
      <c r="AT133" s="8">
        <v>0</v>
      </c>
      <c r="AU133" s="8">
        <v>1</v>
      </c>
      <c r="AV133" s="8">
        <v>0</v>
      </c>
      <c r="AW133" s="8">
        <v>1</v>
      </c>
      <c r="AX133" s="8">
        <v>1</v>
      </c>
      <c r="AY133" s="8">
        <v>0</v>
      </c>
      <c r="AZ133" s="8">
        <v>0</v>
      </c>
      <c r="BA133" s="8">
        <v>1</v>
      </c>
      <c r="BB133" s="8">
        <v>0</v>
      </c>
      <c r="BC133" s="8">
        <v>0</v>
      </c>
      <c r="BD133" s="8">
        <v>0</v>
      </c>
      <c r="BE133" s="8">
        <v>0</v>
      </c>
      <c r="BF133" s="8">
        <v>0</v>
      </c>
      <c r="BG133" s="8">
        <v>1</v>
      </c>
      <c r="BH133" s="8">
        <v>1</v>
      </c>
      <c r="BI133" s="8">
        <v>1</v>
      </c>
      <c r="BJ133" s="8">
        <v>0</v>
      </c>
      <c r="BK133" s="8">
        <v>0</v>
      </c>
      <c r="BL133" s="8">
        <v>0</v>
      </c>
      <c r="BM133" s="8">
        <v>0</v>
      </c>
      <c r="BN133" s="8">
        <v>1</v>
      </c>
      <c r="BO133" s="3">
        <f t="shared" ref="BO133" si="14">SUM(AE133:BN133)</f>
        <v>21</v>
      </c>
      <c r="BP133" s="3"/>
      <c r="BQ133" s="3"/>
      <c r="BR133" s="3"/>
      <c r="BS133" s="3"/>
      <c r="BT133" s="3"/>
      <c r="BU133" s="3"/>
      <c r="BV133" s="3"/>
      <c r="BW133" s="3"/>
      <c r="BX133" s="3"/>
      <c r="BY133" s="3"/>
      <c r="BZ133" s="3"/>
      <c r="CA133" s="3"/>
      <c r="CB133" s="3"/>
      <c r="CC133" s="3"/>
      <c r="CD133" s="3"/>
    </row>
    <row r="134" spans="1:82" ht="15" customHeight="1" x14ac:dyDescent="0.2">
      <c r="A134">
        <v>133</v>
      </c>
      <c r="B134" t="s">
        <v>777</v>
      </c>
      <c r="C134" s="66" t="s">
        <v>185</v>
      </c>
      <c r="D134" s="21">
        <v>2023</v>
      </c>
      <c r="E134" s="21">
        <v>2023</v>
      </c>
      <c r="F134" s="21" t="s">
        <v>401</v>
      </c>
      <c r="G134" s="23" t="s">
        <v>63</v>
      </c>
      <c r="H134" s="23" t="s">
        <v>64</v>
      </c>
      <c r="I134" s="23" t="s">
        <v>64</v>
      </c>
      <c r="J134" s="23">
        <v>1</v>
      </c>
      <c r="K134" s="23">
        <v>1</v>
      </c>
      <c r="L134" s="23">
        <v>0</v>
      </c>
      <c r="M134" s="23" t="s">
        <v>186</v>
      </c>
      <c r="N134" s="25">
        <v>0.1</v>
      </c>
      <c r="O134" s="23">
        <v>1</v>
      </c>
      <c r="P134" s="23">
        <v>0</v>
      </c>
      <c r="Q134" s="23">
        <v>1</v>
      </c>
      <c r="R134" s="23">
        <v>1</v>
      </c>
      <c r="S134" s="23">
        <v>1</v>
      </c>
      <c r="T134" s="23">
        <v>0</v>
      </c>
      <c r="U134" s="23">
        <v>0</v>
      </c>
      <c r="V134" s="23">
        <v>0</v>
      </c>
      <c r="W134" s="69" t="s">
        <v>187</v>
      </c>
      <c r="X134" s="23">
        <v>0</v>
      </c>
      <c r="Y134" s="23">
        <v>0</v>
      </c>
      <c r="Z134" s="23">
        <v>1</v>
      </c>
      <c r="AA134" s="23">
        <v>0</v>
      </c>
      <c r="AB134" s="23">
        <v>1</v>
      </c>
      <c r="AC134" s="23">
        <v>0.5</v>
      </c>
      <c r="AD134" s="23">
        <v>0</v>
      </c>
      <c r="AE134" s="23">
        <v>1</v>
      </c>
      <c r="AF134" s="23">
        <v>1</v>
      </c>
      <c r="AG134" s="23">
        <v>1</v>
      </c>
      <c r="AH134" s="23">
        <v>1</v>
      </c>
      <c r="AI134" s="23">
        <v>0</v>
      </c>
      <c r="AJ134" s="23">
        <v>1</v>
      </c>
      <c r="AK134" s="23">
        <v>0</v>
      </c>
      <c r="AL134" s="23">
        <v>0</v>
      </c>
      <c r="AM134" s="23">
        <v>0</v>
      </c>
      <c r="AN134" s="23">
        <v>0</v>
      </c>
      <c r="AO134" s="23">
        <v>0</v>
      </c>
      <c r="AP134" s="23">
        <v>1</v>
      </c>
      <c r="AQ134" s="23">
        <v>1</v>
      </c>
      <c r="AR134" s="23">
        <v>0</v>
      </c>
      <c r="AS134" s="23">
        <v>0</v>
      </c>
      <c r="AT134" s="23">
        <v>0</v>
      </c>
      <c r="AU134" s="23">
        <v>0</v>
      </c>
      <c r="AV134" s="38">
        <v>0</v>
      </c>
      <c r="AW134" s="38">
        <v>0</v>
      </c>
      <c r="AX134" s="38">
        <v>0</v>
      </c>
      <c r="AY134" s="38">
        <v>0</v>
      </c>
      <c r="AZ134" s="38">
        <v>0</v>
      </c>
      <c r="BA134" s="38">
        <v>0</v>
      </c>
      <c r="BB134" s="38">
        <v>0</v>
      </c>
      <c r="BC134" s="38">
        <v>0</v>
      </c>
      <c r="BD134" s="23">
        <v>0</v>
      </c>
      <c r="BE134" s="23">
        <v>1</v>
      </c>
      <c r="BF134" s="23">
        <v>0</v>
      </c>
      <c r="BG134" s="23">
        <v>1</v>
      </c>
      <c r="BH134" s="23">
        <v>1</v>
      </c>
      <c r="BI134" s="23">
        <v>0</v>
      </c>
      <c r="BJ134" s="23">
        <v>0</v>
      </c>
      <c r="BK134" s="23">
        <v>1</v>
      </c>
      <c r="BL134" s="23">
        <v>0</v>
      </c>
      <c r="BM134" s="23">
        <v>0</v>
      </c>
      <c r="BN134" s="23">
        <v>0</v>
      </c>
      <c r="BO134" s="21">
        <f>SUM(AE134:BN134)</f>
        <v>11</v>
      </c>
      <c r="BP134" s="3"/>
      <c r="BQ134" s="3"/>
      <c r="BR134" s="3"/>
      <c r="BS134" s="3"/>
      <c r="BT134" s="3"/>
      <c r="BU134" s="3"/>
      <c r="BV134" s="3"/>
      <c r="BW134" s="3"/>
      <c r="BX134" s="3"/>
      <c r="BY134" s="3"/>
      <c r="BZ134" s="3"/>
      <c r="CA134" s="3"/>
      <c r="CB134" s="3"/>
      <c r="CC134" s="3"/>
      <c r="CD134" s="3"/>
    </row>
    <row r="135" spans="1:82" ht="15" customHeight="1" x14ac:dyDescent="0.2">
      <c r="A135">
        <v>134</v>
      </c>
      <c r="B135" t="s">
        <v>778</v>
      </c>
      <c r="C135" s="65" t="s">
        <v>189</v>
      </c>
      <c r="D135" s="3">
        <v>1982</v>
      </c>
      <c r="E135" s="3">
        <v>1982</v>
      </c>
      <c r="F135" s="3" t="s">
        <v>402</v>
      </c>
      <c r="G135" s="8" t="s">
        <v>190</v>
      </c>
      <c r="H135" s="8" t="s">
        <v>64</v>
      </c>
      <c r="I135" s="8" t="s">
        <v>64</v>
      </c>
      <c r="J135" s="8">
        <v>0</v>
      </c>
      <c r="K135" s="8">
        <v>0</v>
      </c>
      <c r="L135" s="8">
        <v>1</v>
      </c>
      <c r="M135" s="8"/>
      <c r="N135" s="6"/>
      <c r="O135" s="8">
        <v>0</v>
      </c>
      <c r="P135" s="8">
        <v>0</v>
      </c>
      <c r="Q135" s="8">
        <v>0</v>
      </c>
      <c r="R135" s="8">
        <v>0</v>
      </c>
      <c r="S135" s="8">
        <v>0</v>
      </c>
      <c r="T135" s="8">
        <v>0</v>
      </c>
      <c r="U135" s="8">
        <v>0</v>
      </c>
      <c r="V135" s="8">
        <v>0</v>
      </c>
      <c r="W135" s="8" t="s">
        <v>112</v>
      </c>
      <c r="X135" s="8">
        <v>0</v>
      </c>
      <c r="Y135" s="8">
        <v>0</v>
      </c>
      <c r="Z135" s="8">
        <v>0</v>
      </c>
      <c r="AA135" s="8">
        <v>1</v>
      </c>
      <c r="AB135" s="8">
        <v>0</v>
      </c>
      <c r="AC135" s="8">
        <v>0</v>
      </c>
      <c r="AD135" s="8">
        <v>0</v>
      </c>
      <c r="AE135" s="8">
        <v>0</v>
      </c>
      <c r="AF135" s="8">
        <v>0</v>
      </c>
      <c r="AG135" s="8">
        <v>0</v>
      </c>
      <c r="AH135" s="8">
        <v>0</v>
      </c>
      <c r="AI135" s="8">
        <v>0</v>
      </c>
      <c r="AJ135" s="8">
        <v>0</v>
      </c>
      <c r="AK135" s="8">
        <v>0</v>
      </c>
      <c r="AL135" s="8">
        <v>0</v>
      </c>
      <c r="AM135" s="8">
        <v>0</v>
      </c>
      <c r="AN135" s="8">
        <v>0</v>
      </c>
      <c r="AO135" s="8">
        <v>0</v>
      </c>
      <c r="AP135" s="8">
        <v>0</v>
      </c>
      <c r="AQ135" s="8">
        <v>0</v>
      </c>
      <c r="AR135" s="8">
        <v>0</v>
      </c>
      <c r="AS135" s="8">
        <v>0</v>
      </c>
      <c r="AT135" s="8">
        <v>0</v>
      </c>
      <c r="AU135" s="8">
        <v>0</v>
      </c>
      <c r="AV135" s="8">
        <v>0</v>
      </c>
      <c r="AW135" s="8">
        <v>0</v>
      </c>
      <c r="AX135" s="8">
        <v>0</v>
      </c>
      <c r="AY135" s="8">
        <v>0</v>
      </c>
      <c r="AZ135" s="8">
        <v>0</v>
      </c>
      <c r="BA135" s="8">
        <v>0</v>
      </c>
      <c r="BB135" s="8">
        <v>0</v>
      </c>
      <c r="BC135" s="8">
        <v>0</v>
      </c>
      <c r="BD135" s="8">
        <v>0</v>
      </c>
      <c r="BE135" s="8">
        <v>0</v>
      </c>
      <c r="BF135" s="8">
        <v>0</v>
      </c>
      <c r="BG135" s="8">
        <v>0</v>
      </c>
      <c r="BH135" s="8">
        <v>0</v>
      </c>
      <c r="BI135" s="8">
        <v>0</v>
      </c>
      <c r="BJ135" s="8">
        <v>0</v>
      </c>
      <c r="BK135" s="8">
        <v>0</v>
      </c>
      <c r="BL135" s="8">
        <v>0</v>
      </c>
      <c r="BM135" s="8">
        <v>0</v>
      </c>
      <c r="BN135" s="8">
        <v>0</v>
      </c>
      <c r="BO135" s="3">
        <f t="shared" si="6"/>
        <v>0</v>
      </c>
      <c r="BP135" s="3"/>
      <c r="BQ135" s="3"/>
      <c r="BR135" s="3"/>
      <c r="BS135" s="3"/>
      <c r="BT135" s="3"/>
      <c r="BU135" s="3"/>
      <c r="BV135" s="3"/>
      <c r="BW135" s="3"/>
      <c r="BX135" s="3"/>
      <c r="BY135" s="3"/>
      <c r="BZ135" s="3"/>
      <c r="CA135" s="3"/>
      <c r="CB135" s="3"/>
      <c r="CC135" s="3"/>
      <c r="CD135" s="3"/>
    </row>
    <row r="136" spans="1:82" ht="15" customHeight="1" x14ac:dyDescent="0.2">
      <c r="A136">
        <v>135</v>
      </c>
      <c r="B136" t="s">
        <v>779</v>
      </c>
      <c r="C136" s="65" t="s">
        <v>191</v>
      </c>
      <c r="D136" s="3">
        <v>2002</v>
      </c>
      <c r="E136" s="3">
        <v>2002</v>
      </c>
      <c r="F136" s="3" t="s">
        <v>403</v>
      </c>
      <c r="G136" s="8" t="s">
        <v>63</v>
      </c>
      <c r="H136" s="8" t="s">
        <v>123</v>
      </c>
      <c r="I136" s="8" t="s">
        <v>123</v>
      </c>
      <c r="J136" s="8">
        <v>1</v>
      </c>
      <c r="K136" s="8">
        <v>0</v>
      </c>
      <c r="L136" s="8">
        <v>0</v>
      </c>
      <c r="M136" s="8" t="s">
        <v>192</v>
      </c>
      <c r="N136" s="6" t="s">
        <v>193</v>
      </c>
      <c r="O136" s="8">
        <v>1</v>
      </c>
      <c r="P136" s="8">
        <v>1</v>
      </c>
      <c r="Q136" s="8">
        <v>1</v>
      </c>
      <c r="R136" s="8">
        <v>1</v>
      </c>
      <c r="S136" s="8">
        <v>1</v>
      </c>
      <c r="T136" s="8">
        <v>0</v>
      </c>
      <c r="U136" s="8">
        <v>1</v>
      </c>
      <c r="V136" s="8">
        <v>1</v>
      </c>
      <c r="W136" s="8" t="s">
        <v>194</v>
      </c>
      <c r="X136" s="8">
        <v>0</v>
      </c>
      <c r="Y136" s="8">
        <v>0</v>
      </c>
      <c r="Z136" s="8">
        <v>0</v>
      </c>
      <c r="AA136" s="8">
        <v>0</v>
      </c>
      <c r="AB136" s="8">
        <v>0</v>
      </c>
      <c r="AC136" s="8">
        <v>0</v>
      </c>
      <c r="AD136" s="8">
        <v>0</v>
      </c>
      <c r="AE136" s="8">
        <v>1</v>
      </c>
      <c r="AF136" s="8">
        <v>0</v>
      </c>
      <c r="AG136" s="8">
        <v>0</v>
      </c>
      <c r="AH136" s="8">
        <v>0</v>
      </c>
      <c r="AI136" s="8">
        <v>0</v>
      </c>
      <c r="AJ136" s="8">
        <v>1</v>
      </c>
      <c r="AK136" s="8">
        <v>0</v>
      </c>
      <c r="AL136" s="8">
        <v>0</v>
      </c>
      <c r="AM136" s="8">
        <v>1</v>
      </c>
      <c r="AN136" s="8">
        <v>1</v>
      </c>
      <c r="AO136" s="8">
        <v>0</v>
      </c>
      <c r="AP136" s="8">
        <v>0</v>
      </c>
      <c r="AQ136" s="8">
        <v>0</v>
      </c>
      <c r="AR136" s="8">
        <v>0</v>
      </c>
      <c r="AS136" s="8">
        <v>0</v>
      </c>
      <c r="AT136" s="8">
        <v>0</v>
      </c>
      <c r="AU136" s="8">
        <v>0</v>
      </c>
      <c r="AV136" s="8">
        <v>0</v>
      </c>
      <c r="AW136" s="8">
        <v>0</v>
      </c>
      <c r="AX136" s="8">
        <v>0</v>
      </c>
      <c r="AY136" s="8">
        <v>0</v>
      </c>
      <c r="AZ136" s="8">
        <v>0</v>
      </c>
      <c r="BA136" s="8">
        <v>0</v>
      </c>
      <c r="BB136" s="8">
        <v>0</v>
      </c>
      <c r="BC136" s="8">
        <v>0</v>
      </c>
      <c r="BD136" s="8">
        <v>0</v>
      </c>
      <c r="BE136" s="8">
        <v>0</v>
      </c>
      <c r="BF136" s="8">
        <v>0</v>
      </c>
      <c r="BG136" s="8">
        <v>0</v>
      </c>
      <c r="BH136" s="8">
        <v>0</v>
      </c>
      <c r="BI136" s="8">
        <v>0</v>
      </c>
      <c r="BJ136" s="8">
        <v>0</v>
      </c>
      <c r="BK136" s="8">
        <v>0</v>
      </c>
      <c r="BL136" s="8">
        <v>0</v>
      </c>
      <c r="BM136" s="8">
        <v>0</v>
      </c>
      <c r="BN136" s="8">
        <v>0</v>
      </c>
      <c r="BO136" s="3">
        <f t="shared" ref="BO136:BO144" si="15">SUM(AE136:BN136)</f>
        <v>4</v>
      </c>
      <c r="BP136" s="3"/>
      <c r="BQ136" s="3"/>
      <c r="BR136" s="3"/>
      <c r="BS136" s="3"/>
      <c r="BT136" s="3"/>
      <c r="BU136" s="3"/>
      <c r="BV136" s="3"/>
      <c r="BW136" s="3"/>
      <c r="BX136" s="3"/>
      <c r="BY136" s="3"/>
      <c r="BZ136" s="3"/>
      <c r="CA136" s="3"/>
      <c r="CB136" s="3"/>
      <c r="CC136" s="3"/>
      <c r="CD136" s="3"/>
    </row>
    <row r="137" spans="1:82" ht="15" customHeight="1" x14ac:dyDescent="0.2">
      <c r="A137">
        <v>136</v>
      </c>
      <c r="B137" t="s">
        <v>779</v>
      </c>
      <c r="C137" s="65" t="s">
        <v>191</v>
      </c>
      <c r="D137" s="3">
        <v>2018</v>
      </c>
      <c r="E137" s="3">
        <v>2018</v>
      </c>
      <c r="F137" s="3" t="s">
        <v>404</v>
      </c>
      <c r="G137" s="8" t="s">
        <v>63</v>
      </c>
      <c r="H137" s="8" t="s">
        <v>123</v>
      </c>
      <c r="I137" s="8" t="s">
        <v>123</v>
      </c>
      <c r="J137" s="8">
        <v>1</v>
      </c>
      <c r="K137" s="8">
        <v>0</v>
      </c>
      <c r="L137" s="8">
        <v>0</v>
      </c>
      <c r="M137" s="8" t="s">
        <v>192</v>
      </c>
      <c r="N137" s="6" t="s">
        <v>195</v>
      </c>
      <c r="O137" s="8">
        <v>1</v>
      </c>
      <c r="P137" s="8">
        <v>1</v>
      </c>
      <c r="Q137" s="8">
        <v>1</v>
      </c>
      <c r="R137" s="8">
        <v>1</v>
      </c>
      <c r="S137" s="8">
        <v>1</v>
      </c>
      <c r="T137" s="8">
        <v>0</v>
      </c>
      <c r="U137" s="8">
        <v>1</v>
      </c>
      <c r="V137" s="8">
        <v>1</v>
      </c>
      <c r="W137" s="8" t="s">
        <v>194</v>
      </c>
      <c r="X137" s="8">
        <v>0</v>
      </c>
      <c r="Y137" s="8">
        <v>0</v>
      </c>
      <c r="Z137" s="8">
        <v>0</v>
      </c>
      <c r="AA137" s="8">
        <v>0</v>
      </c>
      <c r="AB137" s="8">
        <v>0</v>
      </c>
      <c r="AC137" s="8">
        <v>0</v>
      </c>
      <c r="AD137" s="8">
        <v>0</v>
      </c>
      <c r="AE137" s="8">
        <v>1</v>
      </c>
      <c r="AF137" s="8">
        <v>0</v>
      </c>
      <c r="AG137" s="8">
        <v>0</v>
      </c>
      <c r="AH137" s="8">
        <v>0</v>
      </c>
      <c r="AI137" s="8">
        <v>0</v>
      </c>
      <c r="AJ137" s="8">
        <v>1</v>
      </c>
      <c r="AK137" s="8">
        <v>0</v>
      </c>
      <c r="AL137" s="8">
        <v>0</v>
      </c>
      <c r="AM137" s="8">
        <v>1</v>
      </c>
      <c r="AN137" s="8">
        <v>1</v>
      </c>
      <c r="AO137" s="8">
        <v>0</v>
      </c>
      <c r="AP137" s="8">
        <v>0</v>
      </c>
      <c r="AQ137" s="8">
        <v>1</v>
      </c>
      <c r="AR137" s="8">
        <v>0</v>
      </c>
      <c r="AS137" s="8">
        <v>0</v>
      </c>
      <c r="AT137" s="8">
        <v>0</v>
      </c>
      <c r="AU137" s="8">
        <v>0</v>
      </c>
      <c r="AV137" s="8">
        <v>1</v>
      </c>
      <c r="AW137" s="8">
        <v>0</v>
      </c>
      <c r="AX137" s="8">
        <v>1</v>
      </c>
      <c r="AY137" s="8">
        <v>0</v>
      </c>
      <c r="AZ137" s="8">
        <v>0</v>
      </c>
      <c r="BA137" s="8">
        <v>0</v>
      </c>
      <c r="BB137" s="8">
        <v>0</v>
      </c>
      <c r="BC137" s="8">
        <v>0</v>
      </c>
      <c r="BD137" s="8">
        <v>0</v>
      </c>
      <c r="BE137" s="8">
        <v>0</v>
      </c>
      <c r="BF137" s="8">
        <v>0</v>
      </c>
      <c r="BG137" s="8">
        <v>0</v>
      </c>
      <c r="BH137" s="8">
        <v>0</v>
      </c>
      <c r="BI137" s="8">
        <v>0</v>
      </c>
      <c r="BJ137" s="8">
        <v>0</v>
      </c>
      <c r="BK137" s="8">
        <v>0</v>
      </c>
      <c r="BL137" s="8">
        <v>0</v>
      </c>
      <c r="BM137" s="8">
        <v>0</v>
      </c>
      <c r="BN137" s="8">
        <v>0</v>
      </c>
      <c r="BO137" s="3">
        <f t="shared" si="15"/>
        <v>7</v>
      </c>
      <c r="BP137" s="3"/>
      <c r="BQ137" s="3"/>
      <c r="BR137" s="3"/>
      <c r="BS137" s="3"/>
      <c r="BT137" s="3"/>
      <c r="BU137" s="3"/>
      <c r="BV137" s="3"/>
      <c r="BW137" s="3"/>
      <c r="BX137" s="3"/>
      <c r="BY137" s="3"/>
      <c r="BZ137" s="3"/>
      <c r="CA137" s="3"/>
      <c r="CB137" s="3"/>
      <c r="CC137" s="3"/>
      <c r="CD137" s="3"/>
    </row>
    <row r="138" spans="1:82" ht="15" customHeight="1" x14ac:dyDescent="0.2">
      <c r="A138">
        <v>137</v>
      </c>
      <c r="B138" t="s">
        <v>779</v>
      </c>
      <c r="C138" s="65" t="s">
        <v>191</v>
      </c>
      <c r="D138" s="3">
        <v>2020</v>
      </c>
      <c r="E138" s="3">
        <v>2020</v>
      </c>
      <c r="F138" s="3" t="s">
        <v>404</v>
      </c>
      <c r="G138" s="8" t="s">
        <v>63</v>
      </c>
      <c r="H138" s="8" t="s">
        <v>123</v>
      </c>
      <c r="I138" s="8" t="s">
        <v>123</v>
      </c>
      <c r="J138" s="8">
        <v>1</v>
      </c>
      <c r="K138" s="8">
        <v>0</v>
      </c>
      <c r="L138" s="8">
        <v>0</v>
      </c>
      <c r="M138" s="8" t="s">
        <v>192</v>
      </c>
      <c r="N138" s="6" t="s">
        <v>195</v>
      </c>
      <c r="O138" s="8">
        <v>1</v>
      </c>
      <c r="P138" s="8">
        <v>1</v>
      </c>
      <c r="Q138" s="8">
        <v>1</v>
      </c>
      <c r="R138" s="8">
        <v>1</v>
      </c>
      <c r="S138" s="8">
        <v>1</v>
      </c>
      <c r="T138" s="8">
        <v>0</v>
      </c>
      <c r="U138" s="8">
        <v>1</v>
      </c>
      <c r="V138" s="8">
        <v>1</v>
      </c>
      <c r="W138" s="8" t="s">
        <v>194</v>
      </c>
      <c r="X138" s="8">
        <v>0</v>
      </c>
      <c r="Y138" s="8">
        <v>0</v>
      </c>
      <c r="Z138" s="8">
        <v>0</v>
      </c>
      <c r="AA138" s="8">
        <v>0</v>
      </c>
      <c r="AB138" s="8">
        <v>1</v>
      </c>
      <c r="AC138" s="8">
        <v>0</v>
      </c>
      <c r="AD138" s="8">
        <v>0</v>
      </c>
      <c r="AE138" s="8">
        <v>1</v>
      </c>
      <c r="AF138" s="8">
        <v>0</v>
      </c>
      <c r="AG138" s="8">
        <v>0</v>
      </c>
      <c r="AH138" s="8">
        <v>0</v>
      </c>
      <c r="AI138" s="8">
        <v>0</v>
      </c>
      <c r="AJ138" s="8">
        <v>1</v>
      </c>
      <c r="AK138" s="8">
        <v>0</v>
      </c>
      <c r="AL138" s="8">
        <v>0</v>
      </c>
      <c r="AM138" s="8">
        <v>1</v>
      </c>
      <c r="AN138" s="8">
        <v>1</v>
      </c>
      <c r="AO138" s="8">
        <v>0</v>
      </c>
      <c r="AP138" s="8">
        <v>0</v>
      </c>
      <c r="AQ138" s="8">
        <v>1</v>
      </c>
      <c r="AR138" s="8">
        <v>0</v>
      </c>
      <c r="AS138" s="8">
        <v>1</v>
      </c>
      <c r="AT138" s="8">
        <v>0</v>
      </c>
      <c r="AU138" s="8">
        <v>0</v>
      </c>
      <c r="AV138" s="8">
        <v>1</v>
      </c>
      <c r="AW138" s="8">
        <v>0</v>
      </c>
      <c r="AX138" s="8">
        <v>1</v>
      </c>
      <c r="AY138" s="8">
        <v>0</v>
      </c>
      <c r="AZ138" s="8">
        <v>0</v>
      </c>
      <c r="BA138" s="8">
        <v>0</v>
      </c>
      <c r="BB138" s="8">
        <v>0</v>
      </c>
      <c r="BC138" s="8">
        <v>0</v>
      </c>
      <c r="BD138" s="8">
        <v>1</v>
      </c>
      <c r="BE138" s="8">
        <v>0</v>
      </c>
      <c r="BF138" s="8">
        <v>0</v>
      </c>
      <c r="BG138" s="8">
        <v>0</v>
      </c>
      <c r="BH138" s="8">
        <v>0</v>
      </c>
      <c r="BI138" s="8">
        <v>0</v>
      </c>
      <c r="BJ138" s="8">
        <v>0</v>
      </c>
      <c r="BK138" s="8">
        <v>0</v>
      </c>
      <c r="BL138" s="8">
        <v>0</v>
      </c>
      <c r="BM138" s="8">
        <v>0</v>
      </c>
      <c r="BN138" s="8">
        <v>0</v>
      </c>
      <c r="BO138" s="3">
        <f t="shared" si="15"/>
        <v>9</v>
      </c>
      <c r="BP138" s="3"/>
      <c r="BQ138" s="3"/>
      <c r="BR138" s="3"/>
      <c r="BS138" s="3"/>
      <c r="BT138" s="3"/>
      <c r="BU138" s="3"/>
      <c r="BV138" s="3"/>
      <c r="BW138" s="3"/>
      <c r="BX138" s="3"/>
      <c r="BY138" s="3"/>
      <c r="BZ138" s="3"/>
      <c r="CA138" s="3"/>
      <c r="CB138" s="3"/>
      <c r="CC138" s="3"/>
      <c r="CD138" s="3"/>
    </row>
    <row r="139" spans="1:82" ht="15" customHeight="1" x14ac:dyDescent="0.2">
      <c r="A139">
        <v>138</v>
      </c>
      <c r="B139" t="s">
        <v>780</v>
      </c>
      <c r="C139" s="65" t="s">
        <v>191</v>
      </c>
      <c r="D139" s="3">
        <v>2020</v>
      </c>
      <c r="E139" s="3">
        <v>2022</v>
      </c>
      <c r="F139" s="3" t="s">
        <v>405</v>
      </c>
      <c r="G139" s="8" t="s">
        <v>63</v>
      </c>
      <c r="H139" s="8" t="s">
        <v>52</v>
      </c>
      <c r="I139" s="8" t="s">
        <v>52</v>
      </c>
      <c r="J139" s="8">
        <v>1</v>
      </c>
      <c r="K139" s="8">
        <v>0</v>
      </c>
      <c r="L139" s="8">
        <v>1</v>
      </c>
      <c r="M139" s="8" t="s">
        <v>120</v>
      </c>
      <c r="N139" s="9">
        <v>0.25</v>
      </c>
      <c r="O139" s="8">
        <v>1</v>
      </c>
      <c r="P139" s="8">
        <v>1</v>
      </c>
      <c r="Q139" s="8">
        <v>1</v>
      </c>
      <c r="R139" s="8">
        <v>1</v>
      </c>
      <c r="S139" s="8">
        <v>0</v>
      </c>
      <c r="T139" s="8">
        <v>0</v>
      </c>
      <c r="U139" s="8">
        <v>1</v>
      </c>
      <c r="V139" s="8">
        <v>1</v>
      </c>
      <c r="W139" s="8" t="s">
        <v>194</v>
      </c>
      <c r="X139" s="8">
        <v>0</v>
      </c>
      <c r="Y139" s="8">
        <v>0</v>
      </c>
      <c r="Z139" s="8">
        <v>0</v>
      </c>
      <c r="AA139" s="8">
        <v>0</v>
      </c>
      <c r="AB139" s="8">
        <v>1</v>
      </c>
      <c r="AC139" s="8">
        <v>0</v>
      </c>
      <c r="AD139" s="8">
        <v>0</v>
      </c>
      <c r="AE139" s="8">
        <v>1</v>
      </c>
      <c r="AF139" s="8">
        <v>1</v>
      </c>
      <c r="AG139" s="8">
        <v>0</v>
      </c>
      <c r="AH139" s="8">
        <v>1</v>
      </c>
      <c r="AI139" s="8">
        <v>1</v>
      </c>
      <c r="AJ139" s="8">
        <v>1</v>
      </c>
      <c r="AK139" s="8">
        <v>1</v>
      </c>
      <c r="AL139" s="8">
        <v>0</v>
      </c>
      <c r="AM139" s="8">
        <v>1</v>
      </c>
      <c r="AN139" s="8">
        <v>1</v>
      </c>
      <c r="AO139" s="8">
        <v>1</v>
      </c>
      <c r="AP139" s="8">
        <v>0</v>
      </c>
      <c r="AQ139" s="8">
        <v>1</v>
      </c>
      <c r="AR139" s="8">
        <v>1</v>
      </c>
      <c r="AS139" s="8">
        <v>1</v>
      </c>
      <c r="AT139" s="8">
        <v>1</v>
      </c>
      <c r="AU139" s="8">
        <v>1</v>
      </c>
      <c r="AV139" s="8">
        <v>1</v>
      </c>
      <c r="AW139" s="8">
        <v>1</v>
      </c>
      <c r="AX139" s="8">
        <v>1</v>
      </c>
      <c r="AY139" s="8">
        <v>1</v>
      </c>
      <c r="AZ139" s="8">
        <v>0</v>
      </c>
      <c r="BA139" s="8">
        <v>1</v>
      </c>
      <c r="BB139" s="8">
        <v>0</v>
      </c>
      <c r="BC139" s="8">
        <v>0</v>
      </c>
      <c r="BD139" s="8">
        <v>1</v>
      </c>
      <c r="BE139" s="8">
        <v>0</v>
      </c>
      <c r="BF139" s="8">
        <v>0</v>
      </c>
      <c r="BG139" s="8">
        <v>1</v>
      </c>
      <c r="BH139" s="8">
        <v>1</v>
      </c>
      <c r="BI139" s="8">
        <v>1</v>
      </c>
      <c r="BJ139" s="8">
        <v>0</v>
      </c>
      <c r="BK139" s="8">
        <v>0</v>
      </c>
      <c r="BL139" s="8">
        <v>0</v>
      </c>
      <c r="BM139" s="8">
        <v>1</v>
      </c>
      <c r="BN139" s="8">
        <v>1</v>
      </c>
      <c r="BO139" s="3">
        <f t="shared" si="15"/>
        <v>25</v>
      </c>
      <c r="BP139" s="3"/>
      <c r="BQ139" s="3"/>
      <c r="BR139" s="3"/>
      <c r="BS139" s="3"/>
      <c r="BT139" s="3"/>
      <c r="BU139" s="3"/>
      <c r="BV139" s="3"/>
      <c r="BW139" s="3"/>
      <c r="BX139" s="3"/>
      <c r="BY139" s="3"/>
      <c r="BZ139" s="3"/>
      <c r="CA139" s="3"/>
      <c r="CB139" s="3"/>
      <c r="CC139" s="3"/>
      <c r="CD139" s="3"/>
    </row>
    <row r="140" spans="1:82" ht="15" customHeight="1" x14ac:dyDescent="0.2">
      <c r="A140">
        <v>139</v>
      </c>
      <c r="B140" t="s">
        <v>781</v>
      </c>
      <c r="C140" s="65" t="s">
        <v>196</v>
      </c>
      <c r="D140" s="3">
        <v>2007</v>
      </c>
      <c r="E140" s="3">
        <v>2007</v>
      </c>
      <c r="F140" s="3" t="s">
        <v>406</v>
      </c>
      <c r="G140" s="8" t="s">
        <v>51</v>
      </c>
      <c r="H140" s="8" t="s">
        <v>123</v>
      </c>
      <c r="I140" s="8" t="s">
        <v>123</v>
      </c>
      <c r="J140" s="8">
        <v>1</v>
      </c>
      <c r="K140" s="8">
        <v>0</v>
      </c>
      <c r="L140" s="8">
        <v>0</v>
      </c>
      <c r="M140" s="8" t="s">
        <v>67</v>
      </c>
      <c r="N140" s="9">
        <v>0.1</v>
      </c>
      <c r="O140" s="8">
        <v>0</v>
      </c>
      <c r="P140" s="8">
        <v>0</v>
      </c>
      <c r="Q140" s="8">
        <v>1</v>
      </c>
      <c r="R140" s="8">
        <v>0</v>
      </c>
      <c r="S140" s="8">
        <v>1</v>
      </c>
      <c r="T140" s="8">
        <v>0</v>
      </c>
      <c r="U140" s="8">
        <v>0</v>
      </c>
      <c r="V140" s="8">
        <v>1</v>
      </c>
      <c r="W140" s="8" t="s">
        <v>197</v>
      </c>
      <c r="X140" s="8">
        <v>0</v>
      </c>
      <c r="Y140" s="8">
        <v>0</v>
      </c>
      <c r="Z140" s="8">
        <v>1</v>
      </c>
      <c r="AA140" s="8">
        <v>0</v>
      </c>
      <c r="AB140" s="8">
        <v>1</v>
      </c>
      <c r="AC140" s="8">
        <v>0</v>
      </c>
      <c r="AD140" s="8">
        <v>0</v>
      </c>
      <c r="AE140" s="8">
        <v>0</v>
      </c>
      <c r="AF140" s="8">
        <v>0</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8">
        <v>0</v>
      </c>
      <c r="BH140" s="8">
        <v>0</v>
      </c>
      <c r="BI140" s="8">
        <v>0</v>
      </c>
      <c r="BJ140" s="8">
        <v>0</v>
      </c>
      <c r="BK140" s="8">
        <v>0</v>
      </c>
      <c r="BL140" s="8">
        <v>0</v>
      </c>
      <c r="BM140" s="8">
        <v>0</v>
      </c>
      <c r="BN140" s="8">
        <v>0</v>
      </c>
      <c r="BO140" s="3">
        <f t="shared" si="15"/>
        <v>0</v>
      </c>
      <c r="BP140" s="3"/>
      <c r="BQ140" s="3"/>
      <c r="BR140" s="3"/>
      <c r="BS140" s="3"/>
      <c r="BT140" s="3"/>
      <c r="BU140" s="3"/>
      <c r="BV140" s="3"/>
      <c r="BW140" s="3"/>
      <c r="BX140" s="3"/>
      <c r="BY140" s="3"/>
      <c r="BZ140" s="3"/>
      <c r="CA140" s="3"/>
      <c r="CB140" s="3"/>
      <c r="CC140" s="3"/>
      <c r="CD140" s="3"/>
    </row>
    <row r="141" spans="1:82" ht="15" customHeight="1" x14ac:dyDescent="0.2">
      <c r="A141">
        <v>140</v>
      </c>
      <c r="B141" t="s">
        <v>782</v>
      </c>
      <c r="C141" s="65" t="s">
        <v>196</v>
      </c>
      <c r="D141" s="3">
        <v>2019</v>
      </c>
      <c r="E141" s="3">
        <v>2020</v>
      </c>
      <c r="F141" s="3" t="s">
        <v>407</v>
      </c>
      <c r="G141" s="8" t="s">
        <v>51</v>
      </c>
      <c r="H141" s="8" t="s">
        <v>52</v>
      </c>
      <c r="I141" s="8" t="s">
        <v>52</v>
      </c>
      <c r="J141" s="8">
        <v>1</v>
      </c>
      <c r="K141" s="8">
        <v>0</v>
      </c>
      <c r="L141" s="8">
        <v>1</v>
      </c>
      <c r="M141" s="8" t="s">
        <v>120</v>
      </c>
      <c r="N141" s="9">
        <v>0.1</v>
      </c>
      <c r="O141" s="8">
        <v>1</v>
      </c>
      <c r="P141" s="8">
        <v>1</v>
      </c>
      <c r="Q141" s="8">
        <v>1</v>
      </c>
      <c r="R141" s="8">
        <v>1</v>
      </c>
      <c r="S141" s="8">
        <v>1</v>
      </c>
      <c r="T141" s="8">
        <v>0</v>
      </c>
      <c r="U141" s="8">
        <v>0</v>
      </c>
      <c r="V141" s="8">
        <v>1</v>
      </c>
      <c r="W141" s="8" t="s">
        <v>197</v>
      </c>
      <c r="X141" s="8">
        <v>0</v>
      </c>
      <c r="Y141" s="8">
        <v>0</v>
      </c>
      <c r="Z141" s="8">
        <v>1</v>
      </c>
      <c r="AA141" s="8">
        <v>1</v>
      </c>
      <c r="AB141" s="8">
        <v>1</v>
      </c>
      <c r="AC141" s="8">
        <v>0</v>
      </c>
      <c r="AD141" s="8">
        <v>0</v>
      </c>
      <c r="AE141" s="8">
        <v>0</v>
      </c>
      <c r="AF141" s="8">
        <v>0</v>
      </c>
      <c r="AG141" s="8">
        <v>0</v>
      </c>
      <c r="AH141" s="8">
        <v>0</v>
      </c>
      <c r="AI141" s="8">
        <v>0</v>
      </c>
      <c r="AJ141" s="8">
        <v>0</v>
      </c>
      <c r="AK141" s="8">
        <v>0</v>
      </c>
      <c r="AL141" s="8">
        <v>0</v>
      </c>
      <c r="AM141" s="8">
        <v>0</v>
      </c>
      <c r="AN141" s="8">
        <v>0</v>
      </c>
      <c r="AO141" s="8">
        <v>0</v>
      </c>
      <c r="AP141" s="8">
        <v>0</v>
      </c>
      <c r="AQ141" s="8">
        <v>0</v>
      </c>
      <c r="AR141" s="8">
        <v>0</v>
      </c>
      <c r="AS141" s="8">
        <v>0</v>
      </c>
      <c r="AT141" s="8">
        <v>0</v>
      </c>
      <c r="AU141" s="8">
        <v>0</v>
      </c>
      <c r="AV141" s="8">
        <v>0</v>
      </c>
      <c r="AW141" s="8">
        <v>0</v>
      </c>
      <c r="AX141" s="8">
        <v>0</v>
      </c>
      <c r="AY141" s="8">
        <v>0</v>
      </c>
      <c r="AZ141" s="8">
        <v>0</v>
      </c>
      <c r="BA141" s="8">
        <v>0</v>
      </c>
      <c r="BB141" s="8">
        <v>0</v>
      </c>
      <c r="BC141" s="8">
        <v>0</v>
      </c>
      <c r="BD141" s="8">
        <v>0</v>
      </c>
      <c r="BE141" s="8">
        <v>0</v>
      </c>
      <c r="BF141" s="8">
        <v>0</v>
      </c>
      <c r="BG141" s="8">
        <v>0</v>
      </c>
      <c r="BH141" s="8">
        <v>0</v>
      </c>
      <c r="BI141" s="8">
        <v>0</v>
      </c>
      <c r="BJ141" s="8">
        <v>0</v>
      </c>
      <c r="BK141" s="8">
        <v>0</v>
      </c>
      <c r="BL141" s="8">
        <v>0</v>
      </c>
      <c r="BM141" s="8">
        <v>0</v>
      </c>
      <c r="BN141" s="8">
        <v>0</v>
      </c>
      <c r="BO141" s="3">
        <f t="shared" si="15"/>
        <v>0</v>
      </c>
      <c r="BP141" s="3"/>
      <c r="BQ141" s="3"/>
      <c r="BR141" s="3"/>
      <c r="BS141" s="3"/>
      <c r="BT141" s="3"/>
      <c r="BU141" s="3"/>
      <c r="BV141" s="3"/>
      <c r="BW141" s="3"/>
      <c r="BX141" s="3"/>
      <c r="BY141" s="3"/>
      <c r="BZ141" s="3"/>
      <c r="CA141" s="3"/>
      <c r="CB141" s="3"/>
      <c r="CC141" s="3"/>
      <c r="CD141" s="3"/>
    </row>
    <row r="142" spans="1:82" ht="15.75" customHeight="1" x14ac:dyDescent="0.2">
      <c r="A142">
        <v>141</v>
      </c>
      <c r="B142" t="s">
        <v>783</v>
      </c>
      <c r="C142" s="65" t="s">
        <v>196</v>
      </c>
      <c r="D142" s="3">
        <v>2020</v>
      </c>
      <c r="E142" s="3">
        <v>2020</v>
      </c>
      <c r="F142" s="3" t="s">
        <v>408</v>
      </c>
      <c r="G142" s="8" t="s">
        <v>63</v>
      </c>
      <c r="H142" s="8" t="s">
        <v>123</v>
      </c>
      <c r="I142" s="8" t="s">
        <v>123</v>
      </c>
      <c r="J142" s="8">
        <v>1</v>
      </c>
      <c r="K142" s="8">
        <v>0</v>
      </c>
      <c r="L142" s="8">
        <v>1</v>
      </c>
      <c r="M142" s="8" t="s">
        <v>120</v>
      </c>
      <c r="N142" s="9">
        <v>0.1</v>
      </c>
      <c r="O142" s="8">
        <v>1</v>
      </c>
      <c r="P142" s="8">
        <v>1</v>
      </c>
      <c r="Q142" s="8">
        <v>1</v>
      </c>
      <c r="R142" s="8">
        <v>1</v>
      </c>
      <c r="S142" s="8">
        <v>1</v>
      </c>
      <c r="T142" s="8">
        <v>0</v>
      </c>
      <c r="U142" s="8">
        <v>0</v>
      </c>
      <c r="V142" s="8">
        <v>1</v>
      </c>
      <c r="W142" s="8" t="s">
        <v>197</v>
      </c>
      <c r="X142" s="8">
        <v>0</v>
      </c>
      <c r="Y142" s="8">
        <v>0</v>
      </c>
      <c r="Z142" s="8">
        <v>1</v>
      </c>
      <c r="AA142" s="8">
        <v>1</v>
      </c>
      <c r="AB142" s="8">
        <v>1</v>
      </c>
      <c r="AC142" s="8">
        <v>0</v>
      </c>
      <c r="AD142" s="8">
        <v>0</v>
      </c>
      <c r="AE142" s="8">
        <v>0</v>
      </c>
      <c r="AF142" s="8">
        <v>0</v>
      </c>
      <c r="AG142" s="8">
        <v>0</v>
      </c>
      <c r="AH142" s="8">
        <v>0</v>
      </c>
      <c r="AI142" s="8">
        <v>1</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8">
        <v>0</v>
      </c>
      <c r="BF142" s="8">
        <v>0</v>
      </c>
      <c r="BG142" s="8">
        <v>0</v>
      </c>
      <c r="BH142" s="8">
        <v>0</v>
      </c>
      <c r="BI142" s="8">
        <v>0</v>
      </c>
      <c r="BJ142" s="8">
        <v>0</v>
      </c>
      <c r="BK142" s="8">
        <v>0</v>
      </c>
      <c r="BL142" s="8">
        <v>0</v>
      </c>
      <c r="BM142" s="8">
        <v>0</v>
      </c>
      <c r="BN142" s="8">
        <v>0</v>
      </c>
      <c r="BO142" s="3">
        <f t="shared" si="15"/>
        <v>1</v>
      </c>
      <c r="BP142" s="3"/>
      <c r="BQ142" s="3"/>
      <c r="BR142" s="3"/>
      <c r="BS142" s="3"/>
      <c r="BT142" s="3"/>
      <c r="BU142" s="3"/>
      <c r="BV142" s="3"/>
      <c r="BW142" s="3"/>
      <c r="BX142" s="3"/>
      <c r="BY142" s="3"/>
      <c r="BZ142" s="3"/>
      <c r="CA142" s="3"/>
      <c r="CB142" s="3"/>
      <c r="CC142" s="3"/>
      <c r="CD142" s="3"/>
    </row>
    <row r="143" spans="1:82" ht="15.75" customHeight="1" x14ac:dyDescent="0.2">
      <c r="A143">
        <v>142</v>
      </c>
      <c r="B143" t="s">
        <v>784</v>
      </c>
      <c r="C143" s="65" t="s">
        <v>196</v>
      </c>
      <c r="D143" s="3">
        <v>2022</v>
      </c>
      <c r="E143" s="3">
        <v>2022</v>
      </c>
      <c r="F143" s="3" t="s">
        <v>409</v>
      </c>
      <c r="G143" s="8" t="s">
        <v>51</v>
      </c>
      <c r="H143" s="8" t="s">
        <v>123</v>
      </c>
      <c r="I143" s="8" t="s">
        <v>123</v>
      </c>
      <c r="J143" s="8">
        <v>1</v>
      </c>
      <c r="K143" s="8">
        <v>0</v>
      </c>
      <c r="L143" s="8">
        <v>0</v>
      </c>
      <c r="M143" s="8" t="s">
        <v>120</v>
      </c>
      <c r="N143" s="9">
        <v>0.1</v>
      </c>
      <c r="O143" s="8">
        <v>1</v>
      </c>
      <c r="P143" s="8">
        <v>1</v>
      </c>
      <c r="Q143" s="8">
        <v>1</v>
      </c>
      <c r="R143" s="8">
        <v>1</v>
      </c>
      <c r="S143" s="8">
        <v>1</v>
      </c>
      <c r="T143" s="8">
        <v>0</v>
      </c>
      <c r="U143" s="8">
        <v>0</v>
      </c>
      <c r="V143" s="8">
        <v>1</v>
      </c>
      <c r="W143" s="8" t="s">
        <v>197</v>
      </c>
      <c r="X143" s="8">
        <v>0</v>
      </c>
      <c r="Y143" s="8">
        <v>0</v>
      </c>
      <c r="Z143" s="8">
        <v>1</v>
      </c>
      <c r="AA143" s="8">
        <v>1</v>
      </c>
      <c r="AB143" s="8">
        <v>1</v>
      </c>
      <c r="AC143" s="8">
        <v>0</v>
      </c>
      <c r="AD143" s="8">
        <v>0</v>
      </c>
      <c r="AE143" s="8">
        <v>0</v>
      </c>
      <c r="AF143" s="8">
        <v>0</v>
      </c>
      <c r="AG143" s="8">
        <v>0</v>
      </c>
      <c r="AH143" s="8">
        <v>0</v>
      </c>
      <c r="AI143" s="8">
        <v>0</v>
      </c>
      <c r="AJ143" s="8">
        <v>0</v>
      </c>
      <c r="AK143" s="8">
        <v>0</v>
      </c>
      <c r="AL143" s="8">
        <v>1</v>
      </c>
      <c r="AM143" s="8">
        <v>0</v>
      </c>
      <c r="AN143" s="8">
        <v>0</v>
      </c>
      <c r="AO143" s="8">
        <v>0</v>
      </c>
      <c r="AP143" s="8">
        <v>1</v>
      </c>
      <c r="AQ143" s="8">
        <v>0</v>
      </c>
      <c r="AR143" s="8">
        <v>1</v>
      </c>
      <c r="AS143" s="8">
        <v>1</v>
      </c>
      <c r="AT143" s="8">
        <v>0</v>
      </c>
      <c r="AU143" s="8">
        <v>1</v>
      </c>
      <c r="AV143" s="8">
        <v>1</v>
      </c>
      <c r="AW143" s="8">
        <v>0</v>
      </c>
      <c r="AX143" s="8">
        <v>1</v>
      </c>
      <c r="AY143" s="8">
        <v>0</v>
      </c>
      <c r="AZ143" s="8">
        <v>0</v>
      </c>
      <c r="BA143" s="8">
        <v>0</v>
      </c>
      <c r="BB143" s="8">
        <v>0</v>
      </c>
      <c r="BC143" s="8">
        <v>0</v>
      </c>
      <c r="BD143" s="8">
        <v>0</v>
      </c>
      <c r="BE143" s="8">
        <v>0</v>
      </c>
      <c r="BF143" s="8">
        <v>0</v>
      </c>
      <c r="BG143" s="8">
        <v>0</v>
      </c>
      <c r="BH143" s="8">
        <v>1</v>
      </c>
      <c r="BI143" s="8">
        <v>0</v>
      </c>
      <c r="BJ143" s="8">
        <v>0</v>
      </c>
      <c r="BK143" s="8">
        <v>1</v>
      </c>
      <c r="BL143" s="8">
        <v>0</v>
      </c>
      <c r="BM143" s="8">
        <v>0</v>
      </c>
      <c r="BN143" s="8">
        <v>0</v>
      </c>
      <c r="BO143" s="3">
        <f t="shared" si="15"/>
        <v>9</v>
      </c>
      <c r="BP143" s="3"/>
      <c r="BQ143" s="3"/>
      <c r="BR143" s="3"/>
      <c r="BS143" s="3"/>
      <c r="BT143" s="3"/>
      <c r="BU143" s="3"/>
      <c r="BV143" s="3"/>
      <c r="BW143" s="3"/>
      <c r="BX143" s="3"/>
      <c r="BY143" s="3"/>
      <c r="BZ143" s="3"/>
      <c r="CA143" s="3"/>
      <c r="CB143" s="3"/>
      <c r="CC143" s="3"/>
      <c r="CD143" s="3"/>
    </row>
    <row r="144" spans="1:82" ht="15.75" customHeight="1" x14ac:dyDescent="0.2">
      <c r="A144">
        <v>143</v>
      </c>
      <c r="B144" t="s">
        <v>785</v>
      </c>
      <c r="C144" s="65" t="s">
        <v>196</v>
      </c>
      <c r="D144" s="3">
        <v>2022</v>
      </c>
      <c r="E144" s="3">
        <v>2022</v>
      </c>
      <c r="F144" s="107" t="s">
        <v>410</v>
      </c>
      <c r="G144" s="8" t="s">
        <v>51</v>
      </c>
      <c r="H144" s="8" t="s">
        <v>123</v>
      </c>
      <c r="I144" s="8" t="s">
        <v>123</v>
      </c>
      <c r="J144" s="8">
        <v>1</v>
      </c>
      <c r="K144" s="8">
        <v>0</v>
      </c>
      <c r="L144" s="8">
        <v>0</v>
      </c>
      <c r="M144" s="8" t="s">
        <v>120</v>
      </c>
      <c r="N144" s="9">
        <v>0.1</v>
      </c>
      <c r="O144" s="8">
        <v>1</v>
      </c>
      <c r="P144" s="8">
        <v>1</v>
      </c>
      <c r="Q144" s="8">
        <v>1</v>
      </c>
      <c r="R144" s="8">
        <v>1</v>
      </c>
      <c r="S144" s="8">
        <v>1</v>
      </c>
      <c r="T144" s="8">
        <v>0</v>
      </c>
      <c r="U144" s="8">
        <v>0</v>
      </c>
      <c r="V144" s="8">
        <v>1</v>
      </c>
      <c r="W144" s="8" t="s">
        <v>197</v>
      </c>
      <c r="X144" s="8">
        <v>0</v>
      </c>
      <c r="Y144" s="8">
        <v>0</v>
      </c>
      <c r="Z144" s="8">
        <v>1</v>
      </c>
      <c r="AA144" s="8">
        <v>1</v>
      </c>
      <c r="AB144" s="8">
        <v>1</v>
      </c>
      <c r="AC144" s="8">
        <v>0</v>
      </c>
      <c r="AD144" s="8">
        <v>0</v>
      </c>
      <c r="AE144" s="8">
        <v>0</v>
      </c>
      <c r="AF144" s="8">
        <v>0</v>
      </c>
      <c r="AG144" s="8">
        <v>0</v>
      </c>
      <c r="AH144" s="8">
        <v>0</v>
      </c>
      <c r="AI144" s="8">
        <v>0</v>
      </c>
      <c r="AJ144" s="8">
        <v>0</v>
      </c>
      <c r="AK144" s="8">
        <v>0</v>
      </c>
      <c r="AL144" s="8">
        <v>0</v>
      </c>
      <c r="AM144" s="8">
        <v>0</v>
      </c>
      <c r="AN144" s="8">
        <v>0</v>
      </c>
      <c r="AO144" s="8">
        <v>0</v>
      </c>
      <c r="AP144" s="8">
        <v>0</v>
      </c>
      <c r="AQ144" s="8">
        <v>0</v>
      </c>
      <c r="AR144" s="8">
        <v>0</v>
      </c>
      <c r="AS144" s="8">
        <v>0</v>
      </c>
      <c r="AT144" s="8">
        <v>0</v>
      </c>
      <c r="AU144" s="8">
        <v>0</v>
      </c>
      <c r="AV144" s="8">
        <v>0</v>
      </c>
      <c r="AW144" s="8">
        <v>0</v>
      </c>
      <c r="AX144" s="8">
        <v>0</v>
      </c>
      <c r="AY144" s="8">
        <v>0</v>
      </c>
      <c r="AZ144" s="8">
        <v>0</v>
      </c>
      <c r="BA144" s="8">
        <v>0</v>
      </c>
      <c r="BB144" s="8">
        <v>0</v>
      </c>
      <c r="BC144" s="8">
        <v>0</v>
      </c>
      <c r="BD144" s="8">
        <v>0</v>
      </c>
      <c r="BE144" s="8">
        <v>0</v>
      </c>
      <c r="BF144" s="8">
        <v>0</v>
      </c>
      <c r="BG144" s="8">
        <v>0</v>
      </c>
      <c r="BH144" s="8">
        <v>0</v>
      </c>
      <c r="BI144" s="8">
        <v>0</v>
      </c>
      <c r="BJ144" s="8">
        <v>0</v>
      </c>
      <c r="BK144" s="8">
        <v>0</v>
      </c>
      <c r="BL144" s="8">
        <v>0</v>
      </c>
      <c r="BM144" s="8">
        <v>0</v>
      </c>
      <c r="BN144" s="8">
        <v>0</v>
      </c>
      <c r="BO144" s="3">
        <f t="shared" si="15"/>
        <v>0</v>
      </c>
      <c r="BP144" s="3"/>
      <c r="BQ144" s="3"/>
      <c r="BR144" s="3"/>
      <c r="BS144" s="3"/>
      <c r="BT144" s="3"/>
      <c r="BU144" s="3"/>
      <c r="BV144" s="3"/>
      <c r="BW144" s="3"/>
      <c r="BX144" s="3"/>
      <c r="BY144" s="3"/>
      <c r="BZ144" s="3"/>
      <c r="CA144" s="3"/>
      <c r="CB144" s="3"/>
      <c r="CC144" s="3"/>
      <c r="CD144" s="3"/>
    </row>
    <row r="145" spans="3:82" ht="15.75" customHeight="1" x14ac:dyDescent="0.2">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8"/>
      <c r="AC145" s="8"/>
      <c r="AD145" s="8"/>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row>
    <row r="146" spans="3:82" ht="15.75" customHeight="1" x14ac:dyDescent="0.2">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8"/>
      <c r="AC146" s="8"/>
      <c r="AD146" s="8"/>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row>
    <row r="147" spans="3:82" ht="15.75" customHeight="1" x14ac:dyDescent="0.2">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8"/>
      <c r="AC147" s="8"/>
      <c r="AD147" s="8"/>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row>
    <row r="148" spans="3:82" ht="15.75" customHeight="1" x14ac:dyDescent="0.2">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8"/>
      <c r="AC148" s="8"/>
      <c r="AD148" s="8"/>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row>
    <row r="149" spans="3:82" ht="15.75" customHeight="1" x14ac:dyDescent="0.2">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8"/>
      <c r="AC149" s="8"/>
      <c r="AD149" s="8"/>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row>
    <row r="150" spans="3:82" ht="15.75" customHeight="1" x14ac:dyDescent="0.2">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8"/>
      <c r="AC150" s="8"/>
      <c r="AD150" s="8"/>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row>
    <row r="151" spans="3:82" ht="15.75" customHeight="1" x14ac:dyDescent="0.2">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8"/>
      <c r="AC151" s="8"/>
      <c r="AD151" s="8"/>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row>
    <row r="152" spans="3:82" ht="15.75" customHeight="1" x14ac:dyDescent="0.2">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8"/>
      <c r="AC152" s="8"/>
      <c r="AD152" s="8"/>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row>
    <row r="153" spans="3:82" ht="15.75" customHeight="1" x14ac:dyDescent="0.2">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8"/>
      <c r="AC153" s="8"/>
      <c r="AD153" s="8"/>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row>
    <row r="154" spans="3:82" ht="15.75" customHeight="1" x14ac:dyDescent="0.2">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8"/>
      <c r="AC154" s="8"/>
      <c r="AD154" s="8"/>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row>
    <row r="155" spans="3:82" ht="15.75" customHeight="1" x14ac:dyDescent="0.2">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8"/>
      <c r="AC155" s="8"/>
      <c r="AD155" s="8"/>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row>
    <row r="156" spans="3:82" ht="15.75" customHeight="1" x14ac:dyDescent="0.2">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8"/>
      <c r="AC156" s="8"/>
      <c r="AD156" s="8"/>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row>
    <row r="157" spans="3:82" ht="15.75" customHeight="1" x14ac:dyDescent="0.2">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8"/>
      <c r="AC157" s="8"/>
      <c r="AD157" s="8"/>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row>
    <row r="158" spans="3:82" ht="15.75" customHeight="1" x14ac:dyDescent="0.2">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8"/>
      <c r="AC158" s="8"/>
      <c r="AD158" s="8"/>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row>
    <row r="159" spans="3:82" ht="15.75" customHeight="1" x14ac:dyDescent="0.2">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8"/>
      <c r="AC159" s="8"/>
      <c r="AD159" s="8"/>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row>
    <row r="160" spans="3:82" ht="15.75" customHeight="1" x14ac:dyDescent="0.2">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8"/>
      <c r="AC160" s="8"/>
      <c r="AD160" s="8"/>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row>
    <row r="161" spans="3:82" ht="15.75" customHeight="1" x14ac:dyDescent="0.2">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8"/>
      <c r="AC161" s="8"/>
      <c r="AD161" s="8"/>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row>
    <row r="162" spans="3:82" ht="15.75" customHeight="1" x14ac:dyDescent="0.2">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8"/>
      <c r="AC162" s="8"/>
      <c r="AD162" s="8"/>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row>
    <row r="163" spans="3:82" ht="15.75" customHeight="1" x14ac:dyDescent="0.2">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8"/>
      <c r="AC163" s="8"/>
      <c r="AD163" s="8"/>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row>
    <row r="164" spans="3:82" ht="15.75" customHeight="1" x14ac:dyDescent="0.2">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8"/>
      <c r="AC164" s="8"/>
      <c r="AD164" s="8"/>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row>
    <row r="165" spans="3:82" ht="15.75" customHeight="1" x14ac:dyDescent="0.2">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8"/>
      <c r="AC165" s="8"/>
      <c r="AD165" s="8"/>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row>
    <row r="166" spans="3:82" ht="15.75" customHeight="1" x14ac:dyDescent="0.2">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8"/>
      <c r="AC166" s="8"/>
      <c r="AD166" s="8"/>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row>
    <row r="167" spans="3:82" ht="15.75" customHeight="1" x14ac:dyDescent="0.2">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8"/>
      <c r="AC167" s="8"/>
      <c r="AD167" s="8"/>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row>
    <row r="168" spans="3:82" ht="15.75" customHeight="1" x14ac:dyDescent="0.2">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8"/>
      <c r="AC168" s="8"/>
      <c r="AD168" s="8"/>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row>
    <row r="169" spans="3:82" ht="15.75" customHeight="1" x14ac:dyDescent="0.2">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8"/>
      <c r="AC169" s="8"/>
      <c r="AD169" s="8"/>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row>
    <row r="170" spans="3:82" ht="15.75" customHeight="1" x14ac:dyDescent="0.2">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8"/>
      <c r="AC170" s="8"/>
      <c r="AD170" s="8"/>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row>
    <row r="171" spans="3:82" ht="15.75" customHeight="1" x14ac:dyDescent="0.2">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8"/>
      <c r="AC171" s="8"/>
      <c r="AD171" s="8"/>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row>
    <row r="172" spans="3:82" ht="15.75" customHeight="1" x14ac:dyDescent="0.2">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8"/>
      <c r="AC172" s="8"/>
      <c r="AD172" s="8"/>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row>
    <row r="173" spans="3:82" ht="15.75" customHeight="1" x14ac:dyDescent="0.2">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8"/>
      <c r="AC173" s="8"/>
      <c r="AD173" s="8"/>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row>
    <row r="174" spans="3:82" ht="15.75" customHeight="1" x14ac:dyDescent="0.2">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8"/>
      <c r="AC174" s="8"/>
      <c r="AD174" s="8"/>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row>
    <row r="175" spans="3:82" ht="15.75" customHeight="1" x14ac:dyDescent="0.2">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8"/>
      <c r="AC175" s="8"/>
      <c r="AD175" s="8"/>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row>
    <row r="176" spans="3:82" ht="15.75" customHeight="1" x14ac:dyDescent="0.2">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8"/>
      <c r="AC176" s="8"/>
      <c r="AD176" s="8"/>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row>
    <row r="177" spans="3:82" ht="15.75" customHeight="1" x14ac:dyDescent="0.2">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8"/>
      <c r="AC177" s="8"/>
      <c r="AD177" s="8"/>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row>
    <row r="178" spans="3:82" ht="15.75" customHeight="1" x14ac:dyDescent="0.2">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8"/>
      <c r="AC178" s="8"/>
      <c r="AD178" s="8"/>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row>
    <row r="179" spans="3:82" ht="15.75" customHeight="1" x14ac:dyDescent="0.2">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8"/>
      <c r="AC179" s="8"/>
      <c r="AD179" s="8"/>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row>
    <row r="180" spans="3:82" ht="15.75" customHeight="1" x14ac:dyDescent="0.2">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8"/>
      <c r="AC180" s="8"/>
      <c r="AD180" s="8"/>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row>
    <row r="181" spans="3:82" ht="15.75" customHeight="1" x14ac:dyDescent="0.2">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8"/>
      <c r="AC181" s="8"/>
      <c r="AD181" s="8"/>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row>
    <row r="182" spans="3:82" ht="15.75" customHeight="1" x14ac:dyDescent="0.2">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8"/>
      <c r="AC182" s="8"/>
      <c r="AD182" s="8"/>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row>
    <row r="183" spans="3:82" ht="15.75" customHeight="1" x14ac:dyDescent="0.2">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8"/>
      <c r="AC183" s="8"/>
      <c r="AD183" s="8"/>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row>
    <row r="184" spans="3:82" ht="15.75" customHeight="1" x14ac:dyDescent="0.2">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8"/>
      <c r="AC184" s="8"/>
      <c r="AD184" s="8"/>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row>
    <row r="185" spans="3:82" ht="15.75" customHeight="1" x14ac:dyDescent="0.2">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8"/>
      <c r="AC185" s="8"/>
      <c r="AD185" s="8"/>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row>
    <row r="186" spans="3:82" ht="15.75" customHeight="1" x14ac:dyDescent="0.2">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8"/>
      <c r="AC186" s="8"/>
      <c r="AD186" s="8"/>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row>
    <row r="187" spans="3:82" ht="15.75" customHeight="1" x14ac:dyDescent="0.2">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8"/>
      <c r="AC187" s="8"/>
      <c r="AD187" s="8"/>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row>
    <row r="188" spans="3:82" ht="15.75" customHeight="1" x14ac:dyDescent="0.2">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8"/>
      <c r="AC188" s="8"/>
      <c r="AD188" s="8"/>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row>
    <row r="189" spans="3:82" ht="15.75" customHeight="1" x14ac:dyDescent="0.2">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8"/>
      <c r="AC189" s="8"/>
      <c r="AD189" s="8"/>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row>
    <row r="190" spans="3:82" ht="15.75" customHeight="1" x14ac:dyDescent="0.2">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8"/>
      <c r="AC190" s="8"/>
      <c r="AD190" s="8"/>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row>
    <row r="191" spans="3:82" ht="15.75" customHeight="1" x14ac:dyDescent="0.2">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8"/>
      <c r="AC191" s="8"/>
      <c r="AD191" s="8"/>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row>
    <row r="192" spans="3:82" ht="15.75" customHeight="1" x14ac:dyDescent="0.2">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8"/>
      <c r="AC192" s="8"/>
      <c r="AD192" s="8"/>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row>
    <row r="193" spans="3:82" ht="15.75" customHeight="1" x14ac:dyDescent="0.2">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8"/>
      <c r="AC193" s="8"/>
      <c r="AD193" s="8"/>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row>
    <row r="194" spans="3:82" ht="15.75" customHeight="1" x14ac:dyDescent="0.2">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8"/>
      <c r="AC194" s="8"/>
      <c r="AD194" s="8"/>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row>
    <row r="195" spans="3:82" ht="15.75" customHeight="1" x14ac:dyDescent="0.2">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8"/>
      <c r="AC195" s="8"/>
      <c r="AD195" s="8"/>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row>
    <row r="196" spans="3:82" ht="15.75" customHeight="1" x14ac:dyDescent="0.2">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8"/>
      <c r="AC196" s="8"/>
      <c r="AD196" s="8"/>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row>
    <row r="197" spans="3:82" ht="15.75" customHeight="1" x14ac:dyDescent="0.2">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8"/>
      <c r="AC197" s="8"/>
      <c r="AD197" s="8"/>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row>
    <row r="198" spans="3:82" ht="15.75" customHeight="1" x14ac:dyDescent="0.2">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8"/>
      <c r="AC198" s="8"/>
      <c r="AD198" s="8"/>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row>
    <row r="199" spans="3:82" ht="15.75" customHeight="1" x14ac:dyDescent="0.2">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8"/>
      <c r="AC199" s="8"/>
      <c r="AD199" s="8"/>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row>
    <row r="200" spans="3:82" ht="15.75" customHeight="1" x14ac:dyDescent="0.2">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8"/>
      <c r="AC200" s="8"/>
      <c r="AD200" s="8"/>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row>
    <row r="201" spans="3:82" ht="15.75" customHeight="1" x14ac:dyDescent="0.2">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8"/>
      <c r="AC201" s="8"/>
      <c r="AD201" s="8"/>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row>
    <row r="202" spans="3:82" ht="15.75" customHeight="1" x14ac:dyDescent="0.2">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8"/>
      <c r="AC202" s="8"/>
      <c r="AD202" s="8"/>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row>
    <row r="203" spans="3:82" ht="15.75" customHeight="1" x14ac:dyDescent="0.2">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8"/>
      <c r="AC203" s="8"/>
      <c r="AD203" s="8"/>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row>
    <row r="204" spans="3:82" ht="15.75" customHeight="1" x14ac:dyDescent="0.2">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8"/>
      <c r="AC204" s="8"/>
      <c r="AD204" s="8"/>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row>
    <row r="205" spans="3:82" ht="15.75" customHeight="1" x14ac:dyDescent="0.2">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8"/>
      <c r="AC205" s="8"/>
      <c r="AD205" s="8"/>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row>
    <row r="206" spans="3:82" ht="15.75" customHeight="1" x14ac:dyDescent="0.2">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8"/>
      <c r="AC206" s="8"/>
      <c r="AD206" s="8"/>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row>
    <row r="207" spans="3:82" ht="15.75" customHeight="1" x14ac:dyDescent="0.2">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8"/>
      <c r="AC207" s="8"/>
      <c r="AD207" s="8"/>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row>
    <row r="208" spans="3:82" ht="15.75" customHeight="1" x14ac:dyDescent="0.2">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8"/>
      <c r="AC208" s="8"/>
      <c r="AD208" s="8"/>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row>
    <row r="209" spans="3:82" ht="15.75" customHeight="1" x14ac:dyDescent="0.2">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8"/>
      <c r="AC209" s="8"/>
      <c r="AD209" s="8"/>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row>
    <row r="210" spans="3:82" ht="15.75" customHeight="1" x14ac:dyDescent="0.2">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8"/>
      <c r="AC210" s="8"/>
      <c r="AD210" s="8"/>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row>
    <row r="211" spans="3:82" ht="15.75" customHeight="1" x14ac:dyDescent="0.2">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8"/>
      <c r="AC211" s="8"/>
      <c r="AD211" s="8"/>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row>
    <row r="212" spans="3:82" ht="15.75" customHeight="1" x14ac:dyDescent="0.2">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8"/>
      <c r="AC212" s="8"/>
      <c r="AD212" s="8"/>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row>
    <row r="213" spans="3:82" ht="15.75" customHeight="1" x14ac:dyDescent="0.2">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8"/>
      <c r="AC213" s="8"/>
      <c r="AD213" s="8"/>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row>
    <row r="214" spans="3:82" ht="15.75" customHeight="1" x14ac:dyDescent="0.2">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8"/>
      <c r="AC214" s="8"/>
      <c r="AD214" s="8"/>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row>
    <row r="215" spans="3:82" ht="15.75" customHeight="1" x14ac:dyDescent="0.2">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8"/>
      <c r="AC215" s="8"/>
      <c r="AD215" s="8"/>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row>
    <row r="216" spans="3:82" ht="15.75" customHeight="1" x14ac:dyDescent="0.2">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8"/>
      <c r="AC216" s="8"/>
      <c r="AD216" s="8"/>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row>
    <row r="217" spans="3:82" ht="15.75" customHeight="1" x14ac:dyDescent="0.2">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8"/>
      <c r="AC217" s="8"/>
      <c r="AD217" s="8"/>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row>
    <row r="218" spans="3:82" ht="15.75" customHeight="1" x14ac:dyDescent="0.2">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8"/>
      <c r="AC218" s="8"/>
      <c r="AD218" s="8"/>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row>
    <row r="219" spans="3:82" ht="15.75" customHeight="1" x14ac:dyDescent="0.2">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8"/>
      <c r="AC219" s="8"/>
      <c r="AD219" s="8"/>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row>
    <row r="220" spans="3:82" ht="15.75" customHeight="1" x14ac:dyDescent="0.2">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8"/>
      <c r="AC220" s="8"/>
      <c r="AD220" s="8"/>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row>
    <row r="221" spans="3:82" ht="15.75" customHeight="1" x14ac:dyDescent="0.2">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8"/>
      <c r="AC221" s="8"/>
      <c r="AD221" s="8"/>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row>
    <row r="222" spans="3:82" ht="15.75" customHeight="1" x14ac:dyDescent="0.2">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8"/>
      <c r="AC222" s="8"/>
      <c r="AD222" s="8"/>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row>
    <row r="223" spans="3:82" ht="15.75" customHeight="1" x14ac:dyDescent="0.2">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8"/>
      <c r="AC223" s="8"/>
      <c r="AD223" s="8"/>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row>
    <row r="224" spans="3:82" ht="15.75" customHeight="1" x14ac:dyDescent="0.2">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8"/>
      <c r="AC224" s="8"/>
      <c r="AD224" s="8"/>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row>
    <row r="225" spans="3:82" ht="15.75" customHeight="1" x14ac:dyDescent="0.2">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8"/>
      <c r="AC225" s="8"/>
      <c r="AD225" s="8"/>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row>
    <row r="226" spans="3:82" ht="15.75" customHeight="1" x14ac:dyDescent="0.2">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8"/>
      <c r="AC226" s="8"/>
      <c r="AD226" s="8"/>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row>
    <row r="227" spans="3:82" ht="15.75" customHeight="1" x14ac:dyDescent="0.2">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8"/>
      <c r="AC227" s="8"/>
      <c r="AD227" s="8"/>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row>
    <row r="228" spans="3:82" ht="15.75" customHeight="1" x14ac:dyDescent="0.2">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8"/>
      <c r="AC228" s="8"/>
      <c r="AD228" s="8"/>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row>
    <row r="229" spans="3:82" ht="15.75" customHeight="1" x14ac:dyDescent="0.2">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8"/>
      <c r="AC229" s="8"/>
      <c r="AD229" s="8"/>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row>
    <row r="230" spans="3:82" ht="15.75" customHeight="1" x14ac:dyDescent="0.2">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8"/>
      <c r="AC230" s="8"/>
      <c r="AD230" s="8"/>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row>
    <row r="231" spans="3:82" ht="15.75" customHeight="1" x14ac:dyDescent="0.2">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8"/>
      <c r="AC231" s="8"/>
      <c r="AD231" s="8"/>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row>
    <row r="232" spans="3:82" ht="15.75" customHeight="1" x14ac:dyDescent="0.2">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8"/>
      <c r="AC232" s="8"/>
      <c r="AD232" s="8"/>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row>
    <row r="233" spans="3:82" ht="15.75" customHeight="1" x14ac:dyDescent="0.2">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8"/>
      <c r="AC233" s="8"/>
      <c r="AD233" s="8"/>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row>
    <row r="234" spans="3:82" ht="15.75" customHeight="1" x14ac:dyDescent="0.2">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8"/>
      <c r="AC234" s="8"/>
      <c r="AD234" s="8"/>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row>
    <row r="235" spans="3:82" ht="15.75" customHeight="1" x14ac:dyDescent="0.2">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8"/>
      <c r="AC235" s="8"/>
      <c r="AD235" s="8"/>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row>
    <row r="236" spans="3:82" ht="15.75" customHeight="1" x14ac:dyDescent="0.2">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8"/>
      <c r="AC236" s="8"/>
      <c r="AD236" s="8"/>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row>
    <row r="237" spans="3:82" ht="15.75" customHeight="1" x14ac:dyDescent="0.2">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8"/>
      <c r="AC237" s="8"/>
      <c r="AD237" s="8"/>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row>
    <row r="238" spans="3:82" ht="15.75" customHeight="1" x14ac:dyDescent="0.2">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8"/>
      <c r="AC238" s="8"/>
      <c r="AD238" s="8"/>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row>
    <row r="239" spans="3:82" ht="15.75" customHeight="1" x14ac:dyDescent="0.2">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8"/>
      <c r="AC239" s="8"/>
      <c r="AD239" s="8"/>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row>
    <row r="240" spans="3:82" ht="15.75" customHeight="1" x14ac:dyDescent="0.2">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8"/>
      <c r="AC240" s="8"/>
      <c r="AD240" s="8"/>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row>
    <row r="241" spans="3:82" ht="15.75" customHeight="1" x14ac:dyDescent="0.2">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8"/>
      <c r="AC241" s="8"/>
      <c r="AD241" s="8"/>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row>
    <row r="242" spans="3:82" ht="15.75" customHeight="1" x14ac:dyDescent="0.2">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8"/>
      <c r="AC242" s="8"/>
      <c r="AD242" s="8"/>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row>
    <row r="243" spans="3:82" ht="15.75" customHeight="1" x14ac:dyDescent="0.2">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8"/>
      <c r="AC243" s="8"/>
      <c r="AD243" s="8"/>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row>
    <row r="244" spans="3:82" ht="15.75" customHeight="1" x14ac:dyDescent="0.2">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8"/>
      <c r="AC244" s="8"/>
      <c r="AD244" s="8"/>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row>
    <row r="245" spans="3:82" ht="15.75" customHeight="1" x14ac:dyDescent="0.2">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8"/>
      <c r="AC245" s="8"/>
      <c r="AD245" s="8"/>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row>
    <row r="246" spans="3:82" ht="15.75" customHeight="1" x14ac:dyDescent="0.2">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8"/>
      <c r="AC246" s="8"/>
      <c r="AD246" s="8"/>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row>
    <row r="247" spans="3:82" ht="15.75" customHeight="1" x14ac:dyDescent="0.2">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8"/>
      <c r="AC247" s="8"/>
      <c r="AD247" s="8"/>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row>
    <row r="248" spans="3:82" ht="15.75" customHeight="1" x14ac:dyDescent="0.2">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8"/>
      <c r="AC248" s="8"/>
      <c r="AD248" s="8"/>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row>
    <row r="249" spans="3:82" ht="15.75" customHeight="1" x14ac:dyDescent="0.2">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8"/>
      <c r="AC249" s="8"/>
      <c r="AD249" s="8"/>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row>
    <row r="250" spans="3:82" ht="15.75" customHeight="1" x14ac:dyDescent="0.2">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8"/>
      <c r="AC250" s="8"/>
      <c r="AD250" s="8"/>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row>
    <row r="251" spans="3:82" ht="15.75" customHeight="1" x14ac:dyDescent="0.2">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8"/>
      <c r="AC251" s="8"/>
      <c r="AD251" s="8"/>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row>
    <row r="252" spans="3:82" ht="15.75" customHeight="1" x14ac:dyDescent="0.2">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8"/>
      <c r="AC252" s="8"/>
      <c r="AD252" s="8"/>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row>
    <row r="253" spans="3:82" ht="15.75" customHeight="1" x14ac:dyDescent="0.2">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8"/>
      <c r="AC253" s="8"/>
      <c r="AD253" s="8"/>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row>
    <row r="254" spans="3:82" ht="15.75" customHeight="1" x14ac:dyDescent="0.2">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8"/>
      <c r="AC254" s="8"/>
      <c r="AD254" s="8"/>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row>
    <row r="255" spans="3:82" ht="15.75" customHeight="1" x14ac:dyDescent="0.2">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8"/>
      <c r="AC255" s="8"/>
      <c r="AD255" s="8"/>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row>
    <row r="256" spans="3:82" ht="15.75" customHeight="1" x14ac:dyDescent="0.2">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8"/>
      <c r="AC256" s="8"/>
      <c r="AD256" s="8"/>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row>
    <row r="257" spans="3:82" ht="15.75" customHeight="1" x14ac:dyDescent="0.2">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8"/>
      <c r="AC257" s="8"/>
      <c r="AD257" s="8"/>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row>
    <row r="258" spans="3:82" ht="15.75" customHeight="1" x14ac:dyDescent="0.2">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8"/>
      <c r="AC258" s="8"/>
      <c r="AD258" s="8"/>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row>
    <row r="259" spans="3:82" ht="15.75" customHeight="1" x14ac:dyDescent="0.2">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8"/>
      <c r="AC259" s="8"/>
      <c r="AD259" s="8"/>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row>
    <row r="260" spans="3:82" ht="15.75" customHeight="1" x14ac:dyDescent="0.2">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8"/>
      <c r="AC260" s="8"/>
      <c r="AD260" s="8"/>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row>
    <row r="261" spans="3:82" ht="15.75" customHeight="1" x14ac:dyDescent="0.2">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8"/>
      <c r="AC261" s="8"/>
      <c r="AD261" s="8"/>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row>
    <row r="262" spans="3:82" ht="15.75" customHeight="1" x14ac:dyDescent="0.2">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8"/>
      <c r="AC262" s="8"/>
      <c r="AD262" s="8"/>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row>
    <row r="263" spans="3:82" ht="15.75" customHeight="1" x14ac:dyDescent="0.2">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8"/>
      <c r="AC263" s="8"/>
      <c r="AD263" s="8"/>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row>
    <row r="264" spans="3:82" ht="15.75" customHeight="1" x14ac:dyDescent="0.2">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8"/>
      <c r="AC264" s="8"/>
      <c r="AD264" s="8"/>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row>
    <row r="265" spans="3:82" ht="15.75" customHeight="1" x14ac:dyDescent="0.2">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8"/>
      <c r="AC265" s="8"/>
      <c r="AD265" s="8"/>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row>
    <row r="266" spans="3:82" ht="15.75" customHeight="1" x14ac:dyDescent="0.2">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8"/>
      <c r="AC266" s="8"/>
      <c r="AD266" s="8"/>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row>
    <row r="267" spans="3:82" ht="15.75" customHeight="1" x14ac:dyDescent="0.2">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8"/>
      <c r="AC267" s="8"/>
      <c r="AD267" s="8"/>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row>
    <row r="268" spans="3:82" ht="15.75" customHeight="1" x14ac:dyDescent="0.2">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8"/>
      <c r="AC268" s="8"/>
      <c r="AD268" s="8"/>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row>
    <row r="269" spans="3:82" ht="15.75" customHeight="1" x14ac:dyDescent="0.2">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8"/>
      <c r="AC269" s="8"/>
      <c r="AD269" s="8"/>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row>
    <row r="270" spans="3:82" ht="15.75" customHeight="1" x14ac:dyDescent="0.2">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8"/>
      <c r="AC270" s="8"/>
      <c r="AD270" s="8"/>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row>
    <row r="271" spans="3:82" ht="15.75" customHeight="1" x14ac:dyDescent="0.2">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8"/>
      <c r="AC271" s="8"/>
      <c r="AD271" s="8"/>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row>
    <row r="272" spans="3:82" ht="15.75" customHeight="1" x14ac:dyDescent="0.2">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8"/>
      <c r="AC272" s="8"/>
      <c r="AD272" s="8"/>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row>
    <row r="273" spans="3:82" ht="15.75" customHeight="1" x14ac:dyDescent="0.2">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8"/>
      <c r="AC273" s="8"/>
      <c r="AD273" s="8"/>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row>
    <row r="274" spans="3:82" ht="15.75" customHeight="1" x14ac:dyDescent="0.2">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8"/>
      <c r="AC274" s="8"/>
      <c r="AD274" s="8"/>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row>
    <row r="275" spans="3:82" ht="15.75" customHeight="1" x14ac:dyDescent="0.2">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8"/>
      <c r="AC275" s="8"/>
      <c r="AD275" s="8"/>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row>
    <row r="276" spans="3:82" ht="15.75" customHeight="1" x14ac:dyDescent="0.2">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8"/>
      <c r="AC276" s="8"/>
      <c r="AD276" s="8"/>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row>
    <row r="277" spans="3:82" ht="15.75" customHeight="1" x14ac:dyDescent="0.2">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8"/>
      <c r="AC277" s="8"/>
      <c r="AD277" s="8"/>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row>
    <row r="278" spans="3:82" ht="15.75" customHeight="1" x14ac:dyDescent="0.2">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8"/>
      <c r="AC278" s="8"/>
      <c r="AD278" s="8"/>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row>
    <row r="279" spans="3:82" ht="15.75" customHeight="1" x14ac:dyDescent="0.2">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8"/>
      <c r="AC279" s="8"/>
      <c r="AD279" s="8"/>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row>
    <row r="280" spans="3:82" ht="15.75" customHeight="1" x14ac:dyDescent="0.2">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8"/>
      <c r="AC280" s="8"/>
      <c r="AD280" s="8"/>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row>
    <row r="281" spans="3:82" ht="15.75" customHeight="1" x14ac:dyDescent="0.2">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8"/>
      <c r="AC281" s="8"/>
      <c r="AD281" s="8"/>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row>
    <row r="282" spans="3:82" ht="15.75" customHeight="1" x14ac:dyDescent="0.2">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8"/>
      <c r="AC282" s="8"/>
      <c r="AD282" s="8"/>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row>
    <row r="283" spans="3:82" ht="15.75" customHeight="1" x14ac:dyDescent="0.2">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8"/>
      <c r="AC283" s="8"/>
      <c r="AD283" s="8"/>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row>
    <row r="284" spans="3:82" ht="15.75" customHeight="1" x14ac:dyDescent="0.2">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8"/>
      <c r="AC284" s="8"/>
      <c r="AD284" s="8"/>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row>
    <row r="285" spans="3:82" ht="15.75" customHeight="1" x14ac:dyDescent="0.2">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8"/>
      <c r="AC285" s="8"/>
      <c r="AD285" s="8"/>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row>
    <row r="286" spans="3:82" ht="15.75" customHeight="1" x14ac:dyDescent="0.2">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8"/>
      <c r="AC286" s="8"/>
      <c r="AD286" s="8"/>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row>
    <row r="287" spans="3:82" ht="15.75" customHeight="1" x14ac:dyDescent="0.2">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8"/>
      <c r="AC287" s="8"/>
      <c r="AD287" s="8"/>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row>
    <row r="288" spans="3:82" ht="15.75" customHeight="1" x14ac:dyDescent="0.2">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8"/>
      <c r="AC288" s="8"/>
      <c r="AD288" s="8"/>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row>
    <row r="289" spans="3:82" ht="15.75" customHeight="1" x14ac:dyDescent="0.2">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8"/>
      <c r="AC289" s="8"/>
      <c r="AD289" s="8"/>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row>
    <row r="290" spans="3:82" ht="15.75" customHeight="1" x14ac:dyDescent="0.2">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8"/>
      <c r="AC290" s="8"/>
      <c r="AD290" s="8"/>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row>
    <row r="291" spans="3:82" ht="15.75" customHeight="1" x14ac:dyDescent="0.2">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8"/>
      <c r="AC291" s="8"/>
      <c r="AD291" s="8"/>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row>
    <row r="292" spans="3:82" ht="15.75" customHeight="1" x14ac:dyDescent="0.2">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8"/>
      <c r="AC292" s="8"/>
      <c r="AD292" s="8"/>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row>
    <row r="293" spans="3:82" ht="15.75" customHeight="1" x14ac:dyDescent="0.2">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8"/>
      <c r="AC293" s="8"/>
      <c r="AD293" s="8"/>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row>
    <row r="294" spans="3:82" ht="15.75" customHeight="1" x14ac:dyDescent="0.2">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8"/>
      <c r="AC294" s="8"/>
      <c r="AD294" s="8"/>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row>
    <row r="295" spans="3:82" ht="15.75" customHeight="1" x14ac:dyDescent="0.2">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8"/>
      <c r="AC295" s="8"/>
      <c r="AD295" s="8"/>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row>
    <row r="296" spans="3:82" ht="15.75" customHeight="1" x14ac:dyDescent="0.2">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8"/>
      <c r="AC296" s="8"/>
      <c r="AD296" s="8"/>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row>
    <row r="297" spans="3:82" ht="15.75" customHeight="1" x14ac:dyDescent="0.2">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8"/>
      <c r="AC297" s="8"/>
      <c r="AD297" s="8"/>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row>
    <row r="298" spans="3:82" ht="15.75" customHeight="1" x14ac:dyDescent="0.2">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8"/>
      <c r="AC298" s="8"/>
      <c r="AD298" s="8"/>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row>
    <row r="299" spans="3:82" ht="15.75" customHeight="1" x14ac:dyDescent="0.2">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8"/>
      <c r="AC299" s="8"/>
      <c r="AD299" s="8"/>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row>
    <row r="300" spans="3:82" ht="15.75" customHeight="1" x14ac:dyDescent="0.2">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8"/>
      <c r="AC300" s="8"/>
      <c r="AD300" s="8"/>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row>
    <row r="301" spans="3:82" ht="15.75" customHeight="1" x14ac:dyDescent="0.2">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8"/>
      <c r="AC301" s="8"/>
      <c r="AD301" s="8"/>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row>
    <row r="302" spans="3:82" ht="15.75" customHeight="1" x14ac:dyDescent="0.2">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8"/>
      <c r="AC302" s="8"/>
      <c r="AD302" s="8"/>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row>
    <row r="303" spans="3:82" ht="15.75" customHeight="1" x14ac:dyDescent="0.2">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8"/>
      <c r="AC303" s="8"/>
      <c r="AD303" s="8"/>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row>
    <row r="304" spans="3:82" ht="15.75" customHeight="1" x14ac:dyDescent="0.2">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8"/>
      <c r="AC304" s="8"/>
      <c r="AD304" s="8"/>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row>
    <row r="305" spans="3:82" ht="15.75" customHeight="1" x14ac:dyDescent="0.2">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8"/>
      <c r="AC305" s="8"/>
      <c r="AD305" s="8"/>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row>
    <row r="306" spans="3:82" ht="15.75" customHeight="1" x14ac:dyDescent="0.2">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8"/>
      <c r="AC306" s="8"/>
      <c r="AD306" s="8"/>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row>
    <row r="307" spans="3:82" ht="15.75" customHeight="1" x14ac:dyDescent="0.2">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8"/>
      <c r="AC307" s="8"/>
      <c r="AD307" s="8"/>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row>
    <row r="308" spans="3:82" ht="15.75" customHeight="1" x14ac:dyDescent="0.2">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8"/>
      <c r="AC308" s="8"/>
      <c r="AD308" s="8"/>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row>
    <row r="309" spans="3:82" ht="15.75" customHeight="1" x14ac:dyDescent="0.2">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8"/>
      <c r="AC309" s="8"/>
      <c r="AD309" s="8"/>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row>
    <row r="310" spans="3:82" ht="15.75" customHeight="1" x14ac:dyDescent="0.2">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8"/>
      <c r="AC310" s="8"/>
      <c r="AD310" s="8"/>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row>
    <row r="311" spans="3:82" ht="15.75" customHeight="1" x14ac:dyDescent="0.2">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8"/>
      <c r="AC311" s="8"/>
      <c r="AD311" s="8"/>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row>
    <row r="312" spans="3:82" ht="15.75" customHeight="1" x14ac:dyDescent="0.2">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8"/>
      <c r="AC312" s="8"/>
      <c r="AD312" s="8"/>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row>
    <row r="313" spans="3:82" ht="15.75" customHeight="1" x14ac:dyDescent="0.2">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8"/>
      <c r="AC313" s="8"/>
      <c r="AD313" s="8"/>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row>
    <row r="314" spans="3:82" ht="15.75" customHeight="1" x14ac:dyDescent="0.2">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8"/>
      <c r="AC314" s="8"/>
      <c r="AD314" s="8"/>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row>
    <row r="315" spans="3:82" ht="15.75" customHeight="1" x14ac:dyDescent="0.2">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8"/>
      <c r="AC315" s="8"/>
      <c r="AD315" s="8"/>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row>
    <row r="316" spans="3:82" ht="15.75" customHeight="1" x14ac:dyDescent="0.2">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8"/>
      <c r="AC316" s="8"/>
      <c r="AD316" s="8"/>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row>
    <row r="317" spans="3:82" ht="15.75" customHeight="1" x14ac:dyDescent="0.2">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8"/>
      <c r="AC317" s="8"/>
      <c r="AD317" s="8"/>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row>
    <row r="318" spans="3:82" ht="15.75" customHeight="1" x14ac:dyDescent="0.2">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8"/>
      <c r="AC318" s="8"/>
      <c r="AD318" s="8"/>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row>
    <row r="319" spans="3:82" ht="15.75" customHeight="1" x14ac:dyDescent="0.2">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8"/>
      <c r="AC319" s="8"/>
      <c r="AD319" s="8"/>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row>
    <row r="320" spans="3:82" ht="15.75" customHeight="1" x14ac:dyDescent="0.2">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8"/>
      <c r="AC320" s="8"/>
      <c r="AD320" s="8"/>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row>
    <row r="321" spans="3:82" ht="15.75" customHeight="1" x14ac:dyDescent="0.2">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8"/>
      <c r="AC321" s="8"/>
      <c r="AD321" s="8"/>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row>
    <row r="322" spans="3:82" ht="15.75" customHeight="1" x14ac:dyDescent="0.2">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8"/>
      <c r="AC322" s="8"/>
      <c r="AD322" s="8"/>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row>
    <row r="323" spans="3:82" ht="15.75" customHeight="1" x14ac:dyDescent="0.2">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8"/>
      <c r="AC323" s="8"/>
      <c r="AD323" s="8"/>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row>
    <row r="324" spans="3:82" ht="15.75" customHeight="1" x14ac:dyDescent="0.2">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8"/>
      <c r="AC324" s="8"/>
      <c r="AD324" s="8"/>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row>
    <row r="325" spans="3:82" ht="15.75" customHeight="1" x14ac:dyDescent="0.2">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8"/>
      <c r="AC325" s="8"/>
      <c r="AD325" s="8"/>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row>
    <row r="326" spans="3:82" ht="15.75" customHeight="1" x14ac:dyDescent="0.2">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8"/>
      <c r="AC326" s="8"/>
      <c r="AD326" s="8"/>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row>
    <row r="327" spans="3:82" ht="15.75" customHeight="1" x14ac:dyDescent="0.2">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8"/>
      <c r="AC327" s="8"/>
      <c r="AD327" s="8"/>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row>
    <row r="328" spans="3:82" ht="15.75" customHeight="1" x14ac:dyDescent="0.2">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8"/>
      <c r="AC328" s="8"/>
      <c r="AD328" s="8"/>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row>
    <row r="329" spans="3:82" ht="15.75" customHeight="1" x14ac:dyDescent="0.2">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8"/>
      <c r="AC329" s="8"/>
      <c r="AD329" s="8"/>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row>
    <row r="330" spans="3:82" ht="15.75" customHeight="1" x14ac:dyDescent="0.2">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8"/>
      <c r="AC330" s="8"/>
      <c r="AD330" s="8"/>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row>
    <row r="331" spans="3:82" ht="15.75" customHeight="1" x14ac:dyDescent="0.2">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8"/>
      <c r="AC331" s="8"/>
      <c r="AD331" s="8"/>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row>
    <row r="332" spans="3:82" ht="15.75" customHeight="1" x14ac:dyDescent="0.2">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8"/>
      <c r="AC332" s="8"/>
      <c r="AD332" s="8"/>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row>
    <row r="333" spans="3:82" ht="15.75" customHeight="1" x14ac:dyDescent="0.2">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8"/>
      <c r="AC333" s="8"/>
      <c r="AD333" s="8"/>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row>
    <row r="334" spans="3:82" ht="15.75" customHeight="1" x14ac:dyDescent="0.2">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8"/>
      <c r="AC334" s="8"/>
      <c r="AD334" s="8"/>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row>
    <row r="335" spans="3:82" ht="15.75" customHeight="1" x14ac:dyDescent="0.2">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8"/>
      <c r="AC335" s="8"/>
      <c r="AD335" s="8"/>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row>
    <row r="336" spans="3:82" ht="15.75" customHeight="1" x14ac:dyDescent="0.2">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8"/>
      <c r="AC336" s="8"/>
      <c r="AD336" s="8"/>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row>
    <row r="337" spans="3:82" ht="15.75" customHeight="1" x14ac:dyDescent="0.2">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8"/>
      <c r="AC337" s="8"/>
      <c r="AD337" s="8"/>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row>
    <row r="338" spans="3:82" ht="15.75" customHeight="1" x14ac:dyDescent="0.2">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8"/>
      <c r="AC338" s="8"/>
      <c r="AD338" s="8"/>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row>
    <row r="339" spans="3:82" ht="15.75" customHeight="1" x14ac:dyDescent="0.2">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8"/>
      <c r="AC339" s="8"/>
      <c r="AD339" s="8"/>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row>
    <row r="340" spans="3:82" ht="15.75" customHeight="1" x14ac:dyDescent="0.2">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8"/>
      <c r="AC340" s="8"/>
      <c r="AD340" s="8"/>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row>
    <row r="341" spans="3:82" ht="15.75" customHeight="1" x14ac:dyDescent="0.2">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8"/>
      <c r="AC341" s="8"/>
      <c r="AD341" s="8"/>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row>
    <row r="342" spans="3:82" ht="15.75" customHeight="1" x14ac:dyDescent="0.2">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8"/>
      <c r="AC342" s="8"/>
      <c r="AD342" s="8"/>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row>
    <row r="343" spans="3:82" ht="15.75" customHeight="1" x14ac:dyDescent="0.2">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8"/>
      <c r="AC343" s="8"/>
      <c r="AD343" s="8"/>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row>
    <row r="344" spans="3:82" ht="15.75" customHeight="1" x14ac:dyDescent="0.2">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8"/>
      <c r="AC344" s="8"/>
      <c r="AD344" s="8"/>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row>
    <row r="345" spans="3:82" ht="15.75" customHeight="1" x14ac:dyDescent="0.2">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8"/>
      <c r="AC345" s="8"/>
      <c r="AD345" s="8"/>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row>
    <row r="346" spans="3:82" ht="15.75" customHeight="1" x14ac:dyDescent="0.2">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8"/>
      <c r="AC346" s="8"/>
      <c r="AD346" s="8"/>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row>
    <row r="347" spans="3:82" ht="15.75" customHeight="1" x14ac:dyDescent="0.2">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8"/>
      <c r="AC347" s="8"/>
      <c r="AD347" s="8"/>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row>
    <row r="348" spans="3:82" ht="15.75" customHeight="1" x14ac:dyDescent="0.2">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8"/>
      <c r="AC348" s="8"/>
      <c r="AD348" s="8"/>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row>
    <row r="349" spans="3:82" ht="15.75" customHeight="1" x14ac:dyDescent="0.2">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8"/>
      <c r="AC349" s="8"/>
      <c r="AD349" s="8"/>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row>
    <row r="350" spans="3:82" ht="15.75" customHeight="1" x14ac:dyDescent="0.2">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8"/>
      <c r="AC350" s="8"/>
      <c r="AD350" s="8"/>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row>
    <row r="351" spans="3:82" ht="15.75" customHeight="1" x14ac:dyDescent="0.2">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8"/>
      <c r="AC351" s="8"/>
      <c r="AD351" s="8"/>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row>
    <row r="352" spans="3:82" ht="15.75" customHeight="1" x14ac:dyDescent="0.2">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8"/>
      <c r="AC352" s="8"/>
      <c r="AD352" s="8"/>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row>
    <row r="353" spans="3:82" ht="15.75" customHeight="1" x14ac:dyDescent="0.2">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8"/>
      <c r="AC353" s="8"/>
      <c r="AD353" s="8"/>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row>
    <row r="354" spans="3:82" ht="15.75" customHeight="1" x14ac:dyDescent="0.2">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8"/>
      <c r="AC354" s="8"/>
      <c r="AD354" s="8"/>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row>
    <row r="355" spans="3:82" ht="15.75" customHeight="1" x14ac:dyDescent="0.2">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8"/>
      <c r="AC355" s="8"/>
      <c r="AD355" s="8"/>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row>
    <row r="356" spans="3:82" ht="15.75" customHeight="1" x14ac:dyDescent="0.2">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8"/>
      <c r="AC356" s="8"/>
      <c r="AD356" s="8"/>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row>
    <row r="357" spans="3:82" ht="15.75" customHeight="1" x14ac:dyDescent="0.2">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8"/>
      <c r="AC357" s="8"/>
      <c r="AD357" s="8"/>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row>
    <row r="358" spans="3:82" ht="15.75" customHeight="1" x14ac:dyDescent="0.2">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8"/>
      <c r="AC358" s="8"/>
      <c r="AD358" s="8"/>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row>
    <row r="359" spans="3:82" ht="15.75" customHeight="1" x14ac:dyDescent="0.2">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8"/>
      <c r="AC359" s="8"/>
      <c r="AD359" s="8"/>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row>
    <row r="360" spans="3:82" ht="15.75" customHeight="1" x14ac:dyDescent="0.2">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8"/>
      <c r="AC360" s="8"/>
      <c r="AD360" s="8"/>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row>
    <row r="361" spans="3:82" ht="15.75" customHeight="1" x14ac:dyDescent="0.2">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8"/>
      <c r="AC361" s="8"/>
      <c r="AD361" s="8"/>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row>
    <row r="362" spans="3:82" ht="15.75" customHeight="1" x14ac:dyDescent="0.2">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8"/>
      <c r="AC362" s="8"/>
      <c r="AD362" s="8"/>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row>
    <row r="363" spans="3:82" ht="15.75" customHeight="1" x14ac:dyDescent="0.2">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8"/>
      <c r="AC363" s="8"/>
      <c r="AD363" s="8"/>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row>
    <row r="364" spans="3:82" ht="15.75" customHeight="1" x14ac:dyDescent="0.2">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8"/>
      <c r="AC364" s="8"/>
      <c r="AD364" s="8"/>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row>
    <row r="365" spans="3:82" ht="15.75" customHeight="1" x14ac:dyDescent="0.2">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8"/>
      <c r="AC365" s="8"/>
      <c r="AD365" s="8"/>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row>
    <row r="366" spans="3:82" ht="15.75" customHeight="1" x14ac:dyDescent="0.2">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8"/>
      <c r="AC366" s="8"/>
      <c r="AD366" s="8"/>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row>
    <row r="367" spans="3:82" ht="15.75" customHeight="1" x14ac:dyDescent="0.2">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8"/>
      <c r="AC367" s="8"/>
      <c r="AD367" s="8"/>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row>
    <row r="368" spans="3:82" ht="15.75" customHeight="1" x14ac:dyDescent="0.2">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8"/>
      <c r="AC368" s="8"/>
      <c r="AD368" s="8"/>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row>
    <row r="369" spans="3:82" ht="15.75" customHeight="1" x14ac:dyDescent="0.2">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8"/>
      <c r="AC369" s="8"/>
      <c r="AD369" s="8"/>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row>
    <row r="370" spans="3:82" ht="15.75" customHeight="1" x14ac:dyDescent="0.2">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8"/>
      <c r="AC370" s="8"/>
      <c r="AD370" s="8"/>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row>
    <row r="371" spans="3:82" ht="15.75" customHeight="1" x14ac:dyDescent="0.2">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8"/>
      <c r="AC371" s="8"/>
      <c r="AD371" s="8"/>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row>
    <row r="372" spans="3:82" ht="15.75" customHeight="1" x14ac:dyDescent="0.2">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8"/>
      <c r="AC372" s="8"/>
      <c r="AD372" s="8"/>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row>
    <row r="373" spans="3:82" ht="15.75" customHeight="1" x14ac:dyDescent="0.2">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8"/>
      <c r="AC373" s="8"/>
      <c r="AD373" s="8"/>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row>
    <row r="374" spans="3:82" ht="15.75" customHeight="1" x14ac:dyDescent="0.2">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8"/>
      <c r="AC374" s="8"/>
      <c r="AD374" s="8"/>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row>
    <row r="375" spans="3:82" ht="15.75" customHeight="1" x14ac:dyDescent="0.2">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8"/>
      <c r="AC375" s="8"/>
      <c r="AD375" s="8"/>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row>
    <row r="376" spans="3:82" ht="15.75" customHeight="1" x14ac:dyDescent="0.2">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8"/>
      <c r="AC376" s="8"/>
      <c r="AD376" s="8"/>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row>
    <row r="377" spans="3:82" ht="15.75" customHeight="1" x14ac:dyDescent="0.2">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8"/>
      <c r="AC377" s="8"/>
      <c r="AD377" s="8"/>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row>
    <row r="378" spans="3:82" ht="15.75" customHeight="1" x14ac:dyDescent="0.2">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8"/>
      <c r="AC378" s="8"/>
      <c r="AD378" s="8"/>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row>
    <row r="379" spans="3:82" ht="15.75" customHeight="1" x14ac:dyDescent="0.2">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8"/>
      <c r="AC379" s="8"/>
      <c r="AD379" s="8"/>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row>
    <row r="380" spans="3:82" ht="15.75" customHeight="1" x14ac:dyDescent="0.2">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8"/>
      <c r="AC380" s="8"/>
      <c r="AD380" s="8"/>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row>
    <row r="381" spans="3:82" ht="15.75" customHeight="1" x14ac:dyDescent="0.2">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8"/>
      <c r="AC381" s="8"/>
      <c r="AD381" s="8"/>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row>
    <row r="382" spans="3:82" ht="15.75" customHeight="1" x14ac:dyDescent="0.2">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8"/>
      <c r="AC382" s="8"/>
      <c r="AD382" s="8"/>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row>
    <row r="383" spans="3:82" ht="15.75" customHeight="1" x14ac:dyDescent="0.2">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8"/>
      <c r="AC383" s="8"/>
      <c r="AD383" s="8"/>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row>
    <row r="384" spans="3:82" ht="15.75" customHeight="1" x14ac:dyDescent="0.2">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8"/>
      <c r="AC384" s="8"/>
      <c r="AD384" s="8"/>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row>
    <row r="385" spans="3:82" ht="15.75" customHeight="1" x14ac:dyDescent="0.2">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8"/>
      <c r="AC385" s="8"/>
      <c r="AD385" s="8"/>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row>
    <row r="386" spans="3:82" ht="15.75" customHeight="1" x14ac:dyDescent="0.2">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8"/>
      <c r="AC386" s="8"/>
      <c r="AD386" s="8"/>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row>
    <row r="387" spans="3:82" ht="15.75" customHeight="1" x14ac:dyDescent="0.2">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8"/>
      <c r="AC387" s="8"/>
      <c r="AD387" s="8"/>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row>
    <row r="388" spans="3:82" ht="15.75" customHeight="1" x14ac:dyDescent="0.2">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8"/>
      <c r="AC388" s="8"/>
      <c r="AD388" s="8"/>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row>
    <row r="389" spans="3:82" ht="15.75" customHeight="1" x14ac:dyDescent="0.2">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8"/>
      <c r="AC389" s="8"/>
      <c r="AD389" s="8"/>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row>
    <row r="390" spans="3:82" ht="15.75" customHeight="1" x14ac:dyDescent="0.2">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8"/>
      <c r="AC390" s="8"/>
      <c r="AD390" s="8"/>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row>
    <row r="391" spans="3:82" ht="15.75" customHeight="1" x14ac:dyDescent="0.2">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8"/>
      <c r="AC391" s="8"/>
      <c r="AD391" s="8"/>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row>
    <row r="392" spans="3:82" ht="15.75" customHeight="1" x14ac:dyDescent="0.2">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8"/>
      <c r="AC392" s="8"/>
      <c r="AD392" s="8"/>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row>
    <row r="393" spans="3:82" ht="15.75" customHeight="1" x14ac:dyDescent="0.2">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8"/>
      <c r="AC393" s="8"/>
      <c r="AD393" s="8"/>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row>
    <row r="394" spans="3:82" ht="15.75" customHeight="1" x14ac:dyDescent="0.2">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8"/>
      <c r="AC394" s="8"/>
      <c r="AD394" s="8"/>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row>
    <row r="395" spans="3:82" ht="15.75" customHeight="1" x14ac:dyDescent="0.2">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8"/>
      <c r="AC395" s="8"/>
      <c r="AD395" s="8"/>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row>
    <row r="396" spans="3:82" ht="15.75" customHeight="1" x14ac:dyDescent="0.2">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8"/>
      <c r="AC396" s="8"/>
      <c r="AD396" s="8"/>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row>
    <row r="397" spans="3:82" ht="15.75" customHeight="1" x14ac:dyDescent="0.2">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8"/>
      <c r="AC397" s="8"/>
      <c r="AD397" s="8"/>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row>
    <row r="398" spans="3:82" ht="15.75" customHeight="1" x14ac:dyDescent="0.2">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8"/>
      <c r="AC398" s="8"/>
      <c r="AD398" s="8"/>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row>
    <row r="399" spans="3:82" ht="15.75" customHeight="1" x14ac:dyDescent="0.2">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8"/>
      <c r="AC399" s="8"/>
      <c r="AD399" s="8"/>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row>
    <row r="400" spans="3:82" ht="15.75" customHeight="1" x14ac:dyDescent="0.2">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8"/>
      <c r="AC400" s="8"/>
      <c r="AD400" s="8"/>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row>
    <row r="401" spans="3:82" ht="15.75" customHeight="1" x14ac:dyDescent="0.2">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8"/>
      <c r="AC401" s="8"/>
      <c r="AD401" s="8"/>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row>
    <row r="402" spans="3:82" ht="15.75" customHeight="1" x14ac:dyDescent="0.2">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8"/>
      <c r="AC402" s="8"/>
      <c r="AD402" s="8"/>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row>
    <row r="403" spans="3:82" ht="15.75" customHeight="1" x14ac:dyDescent="0.2">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8"/>
      <c r="AC403" s="8"/>
      <c r="AD403" s="8"/>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row>
    <row r="404" spans="3:82" ht="15.75" customHeight="1" x14ac:dyDescent="0.2">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8"/>
      <c r="AC404" s="8"/>
      <c r="AD404" s="8"/>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row>
    <row r="405" spans="3:82" ht="15.75" customHeight="1" x14ac:dyDescent="0.2">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8"/>
      <c r="AC405" s="8"/>
      <c r="AD405" s="8"/>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row>
    <row r="406" spans="3:82" ht="15.75" customHeight="1" x14ac:dyDescent="0.2">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8"/>
      <c r="AC406" s="8"/>
      <c r="AD406" s="8"/>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row>
    <row r="407" spans="3:82" ht="15.75" customHeight="1" x14ac:dyDescent="0.2">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8"/>
      <c r="AC407" s="8"/>
      <c r="AD407" s="8"/>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row>
    <row r="408" spans="3:82" ht="15.75" customHeight="1" x14ac:dyDescent="0.2">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8"/>
      <c r="AC408" s="8"/>
      <c r="AD408" s="8"/>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row>
    <row r="409" spans="3:82" ht="15.75" customHeight="1" x14ac:dyDescent="0.2">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8"/>
      <c r="AC409" s="8"/>
      <c r="AD409" s="8"/>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row>
    <row r="410" spans="3:82" ht="15.75" customHeight="1" x14ac:dyDescent="0.2">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8"/>
      <c r="AC410" s="8"/>
      <c r="AD410" s="8"/>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row>
    <row r="411" spans="3:82" ht="15.75" customHeight="1" x14ac:dyDescent="0.2">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8"/>
      <c r="AC411" s="8"/>
      <c r="AD411" s="8"/>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row>
    <row r="412" spans="3:82" ht="15.75" customHeight="1" x14ac:dyDescent="0.2">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8"/>
      <c r="AC412" s="8"/>
      <c r="AD412" s="8"/>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row>
    <row r="413" spans="3:82" ht="15.75" customHeight="1" x14ac:dyDescent="0.2">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8"/>
      <c r="AC413" s="8"/>
      <c r="AD413" s="8"/>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row>
    <row r="414" spans="3:82" ht="15.75" customHeight="1" x14ac:dyDescent="0.2">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8"/>
      <c r="AC414" s="8"/>
      <c r="AD414" s="8"/>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row>
    <row r="415" spans="3:82" ht="15.75" customHeight="1" x14ac:dyDescent="0.2">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8"/>
      <c r="AC415" s="8"/>
      <c r="AD415" s="8"/>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row>
    <row r="416" spans="3:82" ht="15.75" customHeight="1" x14ac:dyDescent="0.2">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8"/>
      <c r="AC416" s="8"/>
      <c r="AD416" s="8"/>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row>
    <row r="417" spans="3:82" ht="15.75" customHeight="1" x14ac:dyDescent="0.2">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8"/>
      <c r="AC417" s="8"/>
      <c r="AD417" s="8"/>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row>
    <row r="418" spans="3:82" ht="15.75" customHeight="1" x14ac:dyDescent="0.2">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8"/>
      <c r="AC418" s="8"/>
      <c r="AD418" s="8"/>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row>
    <row r="419" spans="3:82" ht="15.75" customHeight="1" x14ac:dyDescent="0.2">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8"/>
      <c r="AC419" s="8"/>
      <c r="AD419" s="8"/>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row>
    <row r="420" spans="3:82" ht="15.75" customHeight="1" x14ac:dyDescent="0.2">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8"/>
      <c r="AC420" s="8"/>
      <c r="AD420" s="8"/>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row>
    <row r="421" spans="3:82" ht="15.75" customHeight="1" x14ac:dyDescent="0.2">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8"/>
      <c r="AC421" s="8"/>
      <c r="AD421" s="8"/>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row>
    <row r="422" spans="3:82" ht="15.75" customHeight="1" x14ac:dyDescent="0.2">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8"/>
      <c r="AC422" s="8"/>
      <c r="AD422" s="8"/>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row>
    <row r="423" spans="3:82" ht="15.75" customHeight="1" x14ac:dyDescent="0.2">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8"/>
      <c r="AC423" s="8"/>
      <c r="AD423" s="8"/>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row>
    <row r="424" spans="3:82" ht="15.75" customHeight="1" x14ac:dyDescent="0.2">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8"/>
      <c r="AC424" s="8"/>
      <c r="AD424" s="8"/>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row>
    <row r="425" spans="3:82" ht="15.75" customHeight="1" x14ac:dyDescent="0.2">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8"/>
      <c r="AC425" s="8"/>
      <c r="AD425" s="8"/>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row>
    <row r="426" spans="3:82" ht="15.75" customHeight="1" x14ac:dyDescent="0.2">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8"/>
      <c r="AC426" s="8"/>
      <c r="AD426" s="8"/>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row>
    <row r="427" spans="3:82" ht="15.75" customHeight="1" x14ac:dyDescent="0.2">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8"/>
      <c r="AC427" s="8"/>
      <c r="AD427" s="8"/>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row>
    <row r="428" spans="3:82" ht="15.75" customHeight="1" x14ac:dyDescent="0.2">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8"/>
      <c r="AC428" s="8"/>
      <c r="AD428" s="8"/>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row>
    <row r="429" spans="3:82" ht="15.75" customHeight="1" x14ac:dyDescent="0.2">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8"/>
      <c r="AC429" s="8"/>
      <c r="AD429" s="8"/>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row>
    <row r="430" spans="3:82" ht="15.75" customHeight="1" x14ac:dyDescent="0.2">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8"/>
      <c r="AC430" s="8"/>
      <c r="AD430" s="8"/>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row>
    <row r="431" spans="3:82" ht="15.75" customHeight="1" x14ac:dyDescent="0.2">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8"/>
      <c r="AC431" s="8"/>
      <c r="AD431" s="8"/>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row>
    <row r="432" spans="3:82" ht="15.75" customHeight="1" x14ac:dyDescent="0.2">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8"/>
      <c r="AC432" s="8"/>
      <c r="AD432" s="8"/>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row>
    <row r="433" spans="3:82" ht="15.75" customHeight="1" x14ac:dyDescent="0.2">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8"/>
      <c r="AC433" s="8"/>
      <c r="AD433" s="8"/>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row>
    <row r="434" spans="3:82" ht="15.75" customHeight="1" x14ac:dyDescent="0.2">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8"/>
      <c r="AC434" s="8"/>
      <c r="AD434" s="8"/>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row>
    <row r="435" spans="3:82" ht="15.75" customHeight="1" x14ac:dyDescent="0.2">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8"/>
      <c r="AC435" s="8"/>
      <c r="AD435" s="8"/>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row>
    <row r="436" spans="3:82" ht="15.75" customHeight="1" x14ac:dyDescent="0.2">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8"/>
      <c r="AC436" s="8"/>
      <c r="AD436" s="8"/>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row>
    <row r="437" spans="3:82" ht="15.75" customHeight="1" x14ac:dyDescent="0.2">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8"/>
      <c r="AC437" s="8"/>
      <c r="AD437" s="8"/>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row>
    <row r="438" spans="3:82" ht="15.75" customHeight="1" x14ac:dyDescent="0.2">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8"/>
      <c r="AC438" s="8"/>
      <c r="AD438" s="8"/>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row>
    <row r="439" spans="3:82" ht="15.75" customHeight="1" x14ac:dyDescent="0.2">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8"/>
      <c r="AC439" s="8"/>
      <c r="AD439" s="8"/>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row>
    <row r="440" spans="3:82" ht="15.75" customHeight="1" x14ac:dyDescent="0.2">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8"/>
      <c r="AC440" s="8"/>
      <c r="AD440" s="8"/>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row>
    <row r="441" spans="3:82" ht="15.75" customHeight="1" x14ac:dyDescent="0.2">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8"/>
      <c r="AC441" s="8"/>
      <c r="AD441" s="8"/>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row>
    <row r="442" spans="3:82" ht="15.75" customHeight="1" x14ac:dyDescent="0.2">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8"/>
      <c r="AC442" s="8"/>
      <c r="AD442" s="8"/>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row>
    <row r="443" spans="3:82" ht="15.75" customHeight="1" x14ac:dyDescent="0.2">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8"/>
      <c r="AC443" s="8"/>
      <c r="AD443" s="8"/>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row>
    <row r="444" spans="3:82" ht="15.75" customHeight="1" x14ac:dyDescent="0.2">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8"/>
      <c r="AC444" s="8"/>
      <c r="AD444" s="8"/>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row>
    <row r="445" spans="3:82" ht="15.75" customHeight="1" x14ac:dyDescent="0.2">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8"/>
      <c r="AC445" s="8"/>
      <c r="AD445" s="8"/>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row>
    <row r="446" spans="3:82" ht="15.75" customHeight="1" x14ac:dyDescent="0.2">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8"/>
      <c r="AC446" s="8"/>
      <c r="AD446" s="8"/>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row>
    <row r="447" spans="3:82" ht="15.75" customHeight="1" x14ac:dyDescent="0.2">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8"/>
      <c r="AC447" s="8"/>
      <c r="AD447" s="8"/>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row>
    <row r="448" spans="3:82" ht="15.75" customHeight="1" x14ac:dyDescent="0.2">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8"/>
      <c r="AC448" s="8"/>
      <c r="AD448" s="8"/>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row>
    <row r="449" spans="3:82" ht="15.75" customHeight="1" x14ac:dyDescent="0.2">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8"/>
      <c r="AC449" s="8"/>
      <c r="AD449" s="8"/>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row>
    <row r="450" spans="3:82" ht="15.75" customHeight="1" x14ac:dyDescent="0.2">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8"/>
      <c r="AC450" s="8"/>
      <c r="AD450" s="8"/>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row>
    <row r="451" spans="3:82" ht="15.75" customHeight="1" x14ac:dyDescent="0.2">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8"/>
      <c r="AC451" s="8"/>
      <c r="AD451" s="8"/>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row>
    <row r="452" spans="3:82" ht="15.75" customHeight="1" x14ac:dyDescent="0.2">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8"/>
      <c r="AC452" s="8"/>
      <c r="AD452" s="8"/>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row>
    <row r="453" spans="3:82" ht="15.75" customHeight="1" x14ac:dyDescent="0.2">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8"/>
      <c r="AC453" s="8"/>
      <c r="AD453" s="8"/>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row>
    <row r="454" spans="3:82" ht="15.75" customHeight="1" x14ac:dyDescent="0.2">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8"/>
      <c r="AC454" s="8"/>
      <c r="AD454" s="8"/>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row>
    <row r="455" spans="3:82" ht="15.75" customHeight="1" x14ac:dyDescent="0.2">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8"/>
      <c r="AC455" s="8"/>
      <c r="AD455" s="8"/>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row>
    <row r="456" spans="3:82" ht="15.75" customHeight="1" x14ac:dyDescent="0.2">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8"/>
      <c r="AC456" s="8"/>
      <c r="AD456" s="8"/>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row>
    <row r="457" spans="3:82" ht="15.75" customHeight="1" x14ac:dyDescent="0.2">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8"/>
      <c r="AC457" s="8"/>
      <c r="AD457" s="8"/>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row>
    <row r="458" spans="3:82" ht="15.75" customHeight="1" x14ac:dyDescent="0.2">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8"/>
      <c r="AC458" s="8"/>
      <c r="AD458" s="8"/>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row>
    <row r="459" spans="3:82" ht="15.75" customHeight="1" x14ac:dyDescent="0.2">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8"/>
      <c r="AC459" s="8"/>
      <c r="AD459" s="8"/>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row>
    <row r="460" spans="3:82" ht="15.75" customHeight="1" x14ac:dyDescent="0.2">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8"/>
      <c r="AC460" s="8"/>
      <c r="AD460" s="8"/>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row>
    <row r="461" spans="3:82" ht="15.75" customHeight="1" x14ac:dyDescent="0.2">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8"/>
      <c r="AC461" s="8"/>
      <c r="AD461" s="8"/>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row>
    <row r="462" spans="3:82" ht="15.75" customHeight="1" x14ac:dyDescent="0.2">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8"/>
      <c r="AC462" s="8"/>
      <c r="AD462" s="8"/>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row>
    <row r="463" spans="3:82" ht="15.75" customHeight="1" x14ac:dyDescent="0.2">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8"/>
      <c r="AC463" s="8"/>
      <c r="AD463" s="8"/>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row>
    <row r="464" spans="3:82" ht="15.75" customHeight="1" x14ac:dyDescent="0.2">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8"/>
      <c r="AC464" s="8"/>
      <c r="AD464" s="8"/>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row>
    <row r="465" spans="3:82" ht="15.75" customHeight="1" x14ac:dyDescent="0.2">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8"/>
      <c r="AC465" s="8"/>
      <c r="AD465" s="8"/>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row>
    <row r="466" spans="3:82" ht="15.75" customHeight="1" x14ac:dyDescent="0.2">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8"/>
      <c r="AC466" s="8"/>
      <c r="AD466" s="8"/>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row>
    <row r="467" spans="3:82" ht="15.75" customHeight="1" x14ac:dyDescent="0.2">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8"/>
      <c r="AC467" s="8"/>
      <c r="AD467" s="8"/>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row>
    <row r="468" spans="3:82" ht="15.75" customHeight="1" x14ac:dyDescent="0.2">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8"/>
      <c r="AC468" s="8"/>
      <c r="AD468" s="8"/>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row>
    <row r="469" spans="3:82" ht="15.75" customHeight="1" x14ac:dyDescent="0.2">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8"/>
      <c r="AC469" s="8"/>
      <c r="AD469" s="8"/>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row>
    <row r="470" spans="3:82" ht="15.75" customHeight="1" x14ac:dyDescent="0.2">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8"/>
      <c r="AC470" s="8"/>
      <c r="AD470" s="8"/>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row>
    <row r="471" spans="3:82" ht="15.75" customHeight="1" x14ac:dyDescent="0.2">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8"/>
      <c r="AC471" s="8"/>
      <c r="AD471" s="8"/>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row>
    <row r="472" spans="3:82" ht="15.75" customHeight="1" x14ac:dyDescent="0.2">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8"/>
      <c r="AC472" s="8"/>
      <c r="AD472" s="8"/>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row>
    <row r="473" spans="3:82" ht="15.75" customHeight="1" x14ac:dyDescent="0.2">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8"/>
      <c r="AC473" s="8"/>
      <c r="AD473" s="8"/>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row>
    <row r="474" spans="3:82" ht="15.75" customHeight="1" x14ac:dyDescent="0.2">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8"/>
      <c r="AC474" s="8"/>
      <c r="AD474" s="8"/>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row>
    <row r="475" spans="3:82" ht="15.75" customHeight="1" x14ac:dyDescent="0.2">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8"/>
      <c r="AC475" s="8"/>
      <c r="AD475" s="8"/>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row>
    <row r="476" spans="3:82" ht="15.75" customHeight="1" x14ac:dyDescent="0.2">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8"/>
      <c r="AC476" s="8"/>
      <c r="AD476" s="8"/>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row>
    <row r="477" spans="3:82" ht="15.75" customHeight="1" x14ac:dyDescent="0.2">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8"/>
      <c r="AC477" s="8"/>
      <c r="AD477" s="8"/>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row>
    <row r="478" spans="3:82" ht="15.75" customHeight="1" x14ac:dyDescent="0.2">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8"/>
      <c r="AC478" s="8"/>
      <c r="AD478" s="8"/>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row>
    <row r="479" spans="3:82" ht="15.75" customHeight="1" x14ac:dyDescent="0.2">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8"/>
      <c r="AC479" s="8"/>
      <c r="AD479" s="8"/>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row>
    <row r="480" spans="3:82" ht="15.75" customHeight="1" x14ac:dyDescent="0.2">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8"/>
      <c r="AC480" s="8"/>
      <c r="AD480" s="8"/>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row>
    <row r="481" spans="3:82" ht="15.75" customHeight="1" x14ac:dyDescent="0.2">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8"/>
      <c r="AC481" s="8"/>
      <c r="AD481" s="8"/>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row>
    <row r="482" spans="3:82" ht="15.75" customHeight="1" x14ac:dyDescent="0.2">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8"/>
      <c r="AC482" s="8"/>
      <c r="AD482" s="8"/>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row>
    <row r="483" spans="3:82" ht="15.75" customHeight="1" x14ac:dyDescent="0.2">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8"/>
      <c r="AC483" s="8"/>
      <c r="AD483" s="8"/>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row>
    <row r="484" spans="3:82" ht="15.75" customHeight="1" x14ac:dyDescent="0.2">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8"/>
      <c r="AC484" s="8"/>
      <c r="AD484" s="8"/>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row>
    <row r="485" spans="3:82" ht="15.75" customHeight="1" x14ac:dyDescent="0.2">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8"/>
      <c r="AC485" s="8"/>
      <c r="AD485" s="8"/>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row>
    <row r="486" spans="3:82" ht="15.75" customHeight="1" x14ac:dyDescent="0.2">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8"/>
      <c r="AC486" s="8"/>
      <c r="AD486" s="8"/>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row>
    <row r="487" spans="3:82" ht="15.75" customHeight="1" x14ac:dyDescent="0.2">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8"/>
      <c r="AC487" s="8"/>
      <c r="AD487" s="8"/>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row>
    <row r="488" spans="3:82" ht="15.75" customHeight="1" x14ac:dyDescent="0.2">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8"/>
      <c r="AC488" s="8"/>
      <c r="AD488" s="8"/>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row>
    <row r="489" spans="3:82" ht="15.75" customHeight="1" x14ac:dyDescent="0.2">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8"/>
      <c r="AC489" s="8"/>
      <c r="AD489" s="8"/>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row>
    <row r="490" spans="3:82" ht="15.75" customHeight="1" x14ac:dyDescent="0.2">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8"/>
      <c r="AC490" s="8"/>
      <c r="AD490" s="8"/>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row>
    <row r="491" spans="3:82" ht="15.75" customHeight="1" x14ac:dyDescent="0.2">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8"/>
      <c r="AC491" s="8"/>
      <c r="AD491" s="8"/>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row>
    <row r="492" spans="3:82" ht="15.75" customHeight="1" x14ac:dyDescent="0.2">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8"/>
      <c r="AC492" s="8"/>
      <c r="AD492" s="8"/>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row>
    <row r="493" spans="3:82" ht="15.75" customHeight="1" x14ac:dyDescent="0.2">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8"/>
      <c r="AC493" s="8"/>
      <c r="AD493" s="8"/>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row>
    <row r="494" spans="3:82" ht="15.75" customHeight="1" x14ac:dyDescent="0.2">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8"/>
      <c r="AC494" s="8"/>
      <c r="AD494" s="8"/>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row>
    <row r="495" spans="3:82" ht="15.75" customHeight="1" x14ac:dyDescent="0.2">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8"/>
      <c r="AC495" s="8"/>
      <c r="AD495" s="8"/>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row>
    <row r="496" spans="3:82" ht="15.75" customHeight="1" x14ac:dyDescent="0.2">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8"/>
      <c r="AC496" s="8"/>
      <c r="AD496" s="8"/>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row>
    <row r="497" spans="3:82" ht="15.75" customHeight="1" x14ac:dyDescent="0.2">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8"/>
      <c r="AC497" s="8"/>
      <c r="AD497" s="8"/>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row>
    <row r="498" spans="3:82" ht="15.75" customHeight="1" x14ac:dyDescent="0.2">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8"/>
      <c r="AC498" s="8"/>
      <c r="AD498" s="8"/>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row>
    <row r="499" spans="3:82" ht="15.75" customHeight="1" x14ac:dyDescent="0.2">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8"/>
      <c r="AC499" s="8"/>
      <c r="AD499" s="8"/>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row>
    <row r="500" spans="3:82" ht="15.75" customHeight="1" x14ac:dyDescent="0.2">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8"/>
      <c r="AC500" s="8"/>
      <c r="AD500" s="8"/>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row>
    <row r="501" spans="3:82" ht="15.75" customHeight="1" x14ac:dyDescent="0.2">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8"/>
      <c r="AC501" s="8"/>
      <c r="AD501" s="8"/>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row>
    <row r="502" spans="3:82" ht="15.75" customHeight="1" x14ac:dyDescent="0.2">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8"/>
      <c r="AC502" s="8"/>
      <c r="AD502" s="8"/>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row>
    <row r="503" spans="3:82" ht="15.75" customHeight="1" x14ac:dyDescent="0.2">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8"/>
      <c r="AC503" s="8"/>
      <c r="AD503" s="8"/>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row>
    <row r="504" spans="3:82" ht="15.75" customHeight="1" x14ac:dyDescent="0.2">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8"/>
      <c r="AC504" s="8"/>
      <c r="AD504" s="8"/>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row>
    <row r="505" spans="3:82" ht="15.75" customHeight="1" x14ac:dyDescent="0.2">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8"/>
      <c r="AC505" s="8"/>
      <c r="AD505" s="8"/>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row>
    <row r="506" spans="3:82" ht="15.75" customHeight="1" x14ac:dyDescent="0.2">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8"/>
      <c r="AC506" s="8"/>
      <c r="AD506" s="8"/>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row>
    <row r="507" spans="3:82" ht="15.75" customHeight="1" x14ac:dyDescent="0.2">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8"/>
      <c r="AC507" s="8"/>
      <c r="AD507" s="8"/>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row>
    <row r="508" spans="3:82" ht="15.75" customHeight="1" x14ac:dyDescent="0.2">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8"/>
      <c r="AC508" s="8"/>
      <c r="AD508" s="8"/>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row>
    <row r="509" spans="3:82" ht="15.75" customHeight="1" x14ac:dyDescent="0.2">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8"/>
      <c r="AC509" s="8"/>
      <c r="AD509" s="8"/>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row>
    <row r="510" spans="3:82" ht="15.75" customHeight="1" x14ac:dyDescent="0.2">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8"/>
      <c r="AC510" s="8"/>
      <c r="AD510" s="8"/>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row>
    <row r="511" spans="3:82" ht="15.75" customHeight="1" x14ac:dyDescent="0.2">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8"/>
      <c r="AC511" s="8"/>
      <c r="AD511" s="8"/>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row>
    <row r="512" spans="3:82" ht="15.75" customHeight="1" x14ac:dyDescent="0.2">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8"/>
      <c r="AC512" s="8"/>
      <c r="AD512" s="8"/>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row>
    <row r="513" spans="3:82" ht="15.75" customHeight="1" x14ac:dyDescent="0.2">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8"/>
      <c r="AC513" s="8"/>
      <c r="AD513" s="8"/>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row>
    <row r="514" spans="3:82" ht="15.75" customHeight="1" x14ac:dyDescent="0.2">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8"/>
      <c r="AC514" s="8"/>
      <c r="AD514" s="8"/>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row>
    <row r="515" spans="3:82" ht="15.75" customHeight="1" x14ac:dyDescent="0.2">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8"/>
      <c r="AC515" s="8"/>
      <c r="AD515" s="8"/>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row>
    <row r="516" spans="3:82" ht="15.75" customHeight="1" x14ac:dyDescent="0.2">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8"/>
      <c r="AC516" s="8"/>
      <c r="AD516" s="8"/>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row>
    <row r="517" spans="3:82" ht="15.75" customHeight="1" x14ac:dyDescent="0.2">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8"/>
      <c r="AC517" s="8"/>
      <c r="AD517" s="8"/>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row>
    <row r="518" spans="3:82" ht="15.75" customHeight="1" x14ac:dyDescent="0.2">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8"/>
      <c r="AC518" s="8"/>
      <c r="AD518" s="8"/>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row>
    <row r="519" spans="3:82" ht="15.75" customHeight="1" x14ac:dyDescent="0.2">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8"/>
      <c r="AC519" s="8"/>
      <c r="AD519" s="8"/>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row>
    <row r="520" spans="3:82" ht="15.75" customHeight="1" x14ac:dyDescent="0.2">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8"/>
      <c r="AC520" s="8"/>
      <c r="AD520" s="8"/>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row>
    <row r="521" spans="3:82" ht="15.75" customHeight="1" x14ac:dyDescent="0.2">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8"/>
      <c r="AC521" s="8"/>
      <c r="AD521" s="8"/>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row>
    <row r="522" spans="3:82" ht="15.75" customHeight="1" x14ac:dyDescent="0.2">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8"/>
      <c r="AC522" s="8"/>
      <c r="AD522" s="8"/>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row>
    <row r="523" spans="3:82" ht="15.75" customHeight="1" x14ac:dyDescent="0.2">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8"/>
      <c r="AC523" s="8"/>
      <c r="AD523" s="8"/>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row>
    <row r="524" spans="3:82" ht="15.75" customHeight="1" x14ac:dyDescent="0.2">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8"/>
      <c r="AC524" s="8"/>
      <c r="AD524" s="8"/>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row>
    <row r="525" spans="3:82" ht="15.75" customHeight="1" x14ac:dyDescent="0.2">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8"/>
      <c r="AC525" s="8"/>
      <c r="AD525" s="8"/>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row>
    <row r="526" spans="3:82" ht="15.75" customHeight="1" x14ac:dyDescent="0.2">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8"/>
      <c r="AC526" s="8"/>
      <c r="AD526" s="8"/>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row>
    <row r="527" spans="3:82" ht="15.75" customHeight="1" x14ac:dyDescent="0.2">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8"/>
      <c r="AC527" s="8"/>
      <c r="AD527" s="8"/>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row>
    <row r="528" spans="3:82" ht="15.75" customHeight="1" x14ac:dyDescent="0.2">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8"/>
      <c r="AC528" s="8"/>
      <c r="AD528" s="8"/>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row>
    <row r="529" spans="3:82" ht="15.75" customHeight="1" x14ac:dyDescent="0.2">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8"/>
      <c r="AC529" s="8"/>
      <c r="AD529" s="8"/>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row>
    <row r="530" spans="3:82" ht="15.75" customHeight="1" x14ac:dyDescent="0.2">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8"/>
      <c r="AC530" s="8"/>
      <c r="AD530" s="8"/>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row>
    <row r="531" spans="3:82" ht="15.75" customHeight="1" x14ac:dyDescent="0.2">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8"/>
      <c r="AC531" s="8"/>
      <c r="AD531" s="8"/>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row>
    <row r="532" spans="3:82" ht="15.75" customHeight="1" x14ac:dyDescent="0.2">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8"/>
      <c r="AC532" s="8"/>
      <c r="AD532" s="8"/>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row>
    <row r="533" spans="3:82" ht="15.75" customHeight="1" x14ac:dyDescent="0.2">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8"/>
      <c r="AC533" s="8"/>
      <c r="AD533" s="8"/>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row>
    <row r="534" spans="3:82" ht="15.75" customHeight="1" x14ac:dyDescent="0.2">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8"/>
      <c r="AC534" s="8"/>
      <c r="AD534" s="8"/>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row>
    <row r="535" spans="3:82" ht="15.75" customHeight="1" x14ac:dyDescent="0.2">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8"/>
      <c r="AC535" s="8"/>
      <c r="AD535" s="8"/>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row>
    <row r="536" spans="3:82" ht="15.75" customHeight="1" x14ac:dyDescent="0.2">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8"/>
      <c r="AC536" s="8"/>
      <c r="AD536" s="8"/>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row>
    <row r="537" spans="3:82" ht="15.75" customHeight="1" x14ac:dyDescent="0.2">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8"/>
      <c r="AC537" s="8"/>
      <c r="AD537" s="8"/>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row>
    <row r="538" spans="3:82" ht="15.75" customHeight="1" x14ac:dyDescent="0.2">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8"/>
      <c r="AC538" s="8"/>
      <c r="AD538" s="8"/>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row>
    <row r="539" spans="3:82" ht="15.75" customHeight="1" x14ac:dyDescent="0.2">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8"/>
      <c r="AC539" s="8"/>
      <c r="AD539" s="8"/>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row>
    <row r="540" spans="3:82" ht="15.75" customHeight="1" x14ac:dyDescent="0.2">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8"/>
      <c r="AC540" s="8"/>
      <c r="AD540" s="8"/>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row>
    <row r="541" spans="3:82" ht="15.75" customHeight="1" x14ac:dyDescent="0.2">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8"/>
      <c r="AC541" s="8"/>
      <c r="AD541" s="8"/>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row>
    <row r="542" spans="3:82" ht="15.75" customHeight="1" x14ac:dyDescent="0.2">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8"/>
      <c r="AC542" s="8"/>
      <c r="AD542" s="8"/>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row>
    <row r="543" spans="3:82" ht="15.75" customHeight="1" x14ac:dyDescent="0.2">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8"/>
      <c r="AC543" s="8"/>
      <c r="AD543" s="8"/>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row>
    <row r="544" spans="3:82" ht="15.75" customHeight="1" x14ac:dyDescent="0.2">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8"/>
      <c r="AC544" s="8"/>
      <c r="AD544" s="8"/>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row>
    <row r="545" spans="3:82" ht="15.75" customHeight="1" x14ac:dyDescent="0.2">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8"/>
      <c r="AC545" s="8"/>
      <c r="AD545" s="8"/>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row>
    <row r="546" spans="3:82" ht="15.75" customHeight="1" x14ac:dyDescent="0.2">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8"/>
      <c r="AC546" s="8"/>
      <c r="AD546" s="8"/>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row>
    <row r="547" spans="3:82" ht="15.75" customHeight="1" x14ac:dyDescent="0.2">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8"/>
      <c r="AC547" s="8"/>
      <c r="AD547" s="8"/>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row>
    <row r="548" spans="3:82" ht="15.75" customHeight="1" x14ac:dyDescent="0.2">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8"/>
      <c r="AC548" s="8"/>
      <c r="AD548" s="8"/>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row>
    <row r="549" spans="3:82" ht="15.75" customHeight="1" x14ac:dyDescent="0.2">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8"/>
      <c r="AC549" s="8"/>
      <c r="AD549" s="8"/>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row>
    <row r="550" spans="3:82" ht="15.75" customHeight="1" x14ac:dyDescent="0.2">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8"/>
      <c r="AC550" s="8"/>
      <c r="AD550" s="8"/>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row>
    <row r="551" spans="3:82" ht="15.75" customHeight="1" x14ac:dyDescent="0.2">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8"/>
      <c r="AC551" s="8"/>
      <c r="AD551" s="8"/>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row>
    <row r="552" spans="3:82" ht="15.75" customHeight="1" x14ac:dyDescent="0.2">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8"/>
      <c r="AC552" s="8"/>
      <c r="AD552" s="8"/>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row>
    <row r="553" spans="3:82" ht="15.75" customHeight="1" x14ac:dyDescent="0.2">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8"/>
      <c r="AC553" s="8"/>
      <c r="AD553" s="8"/>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row>
    <row r="554" spans="3:82" ht="15.75" customHeight="1" x14ac:dyDescent="0.2">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8"/>
      <c r="AC554" s="8"/>
      <c r="AD554" s="8"/>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row>
    <row r="555" spans="3:82" ht="15.75" customHeight="1" x14ac:dyDescent="0.2">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8"/>
      <c r="AC555" s="8"/>
      <c r="AD555" s="8"/>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row>
    <row r="556" spans="3:82" ht="15.75" customHeight="1" x14ac:dyDescent="0.2">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8"/>
      <c r="AC556" s="8"/>
      <c r="AD556" s="8"/>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row>
    <row r="557" spans="3:82" ht="15.75" customHeight="1" x14ac:dyDescent="0.2">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8"/>
      <c r="AC557" s="8"/>
      <c r="AD557" s="8"/>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row>
    <row r="558" spans="3:82" ht="15.75" customHeight="1" x14ac:dyDescent="0.2">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8"/>
      <c r="AC558" s="8"/>
      <c r="AD558" s="8"/>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row>
    <row r="559" spans="3:82" ht="15.75" customHeight="1" x14ac:dyDescent="0.2">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8"/>
      <c r="AC559" s="8"/>
      <c r="AD559" s="8"/>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row>
    <row r="560" spans="3:82" ht="15.75" customHeight="1" x14ac:dyDescent="0.2">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8"/>
      <c r="AC560" s="8"/>
      <c r="AD560" s="8"/>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row>
    <row r="561" spans="3:82" ht="15.75" customHeight="1" x14ac:dyDescent="0.2">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8"/>
      <c r="AC561" s="8"/>
      <c r="AD561" s="8"/>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row>
    <row r="562" spans="3:82" ht="15.75" customHeight="1" x14ac:dyDescent="0.2">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8"/>
      <c r="AC562" s="8"/>
      <c r="AD562" s="8"/>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row>
    <row r="563" spans="3:82" ht="15.75" customHeight="1" x14ac:dyDescent="0.2">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8"/>
      <c r="AC563" s="8"/>
      <c r="AD563" s="8"/>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row>
    <row r="564" spans="3:82" ht="15.75" customHeight="1" x14ac:dyDescent="0.2">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8"/>
      <c r="AC564" s="8"/>
      <c r="AD564" s="8"/>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row>
    <row r="565" spans="3:82" ht="15.75" customHeight="1" x14ac:dyDescent="0.2">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8"/>
      <c r="AC565" s="8"/>
      <c r="AD565" s="8"/>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row>
    <row r="566" spans="3:82" ht="15.75" customHeight="1" x14ac:dyDescent="0.2">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8"/>
      <c r="AC566" s="8"/>
      <c r="AD566" s="8"/>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row>
    <row r="567" spans="3:82" ht="15.75" customHeight="1" x14ac:dyDescent="0.2">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8"/>
      <c r="AC567" s="8"/>
      <c r="AD567" s="8"/>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row>
    <row r="568" spans="3:82" ht="15.75" customHeight="1" x14ac:dyDescent="0.2">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8"/>
      <c r="AC568" s="8"/>
      <c r="AD568" s="8"/>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row>
    <row r="569" spans="3:82" ht="15.75" customHeight="1" x14ac:dyDescent="0.2">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8"/>
      <c r="AC569" s="8"/>
      <c r="AD569" s="8"/>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row>
    <row r="570" spans="3:82" ht="15.75" customHeight="1" x14ac:dyDescent="0.2">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8"/>
      <c r="AC570" s="8"/>
      <c r="AD570" s="8"/>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row>
    <row r="571" spans="3:82" ht="15.75" customHeight="1" x14ac:dyDescent="0.2">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8"/>
      <c r="AC571" s="8"/>
      <c r="AD571" s="8"/>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row>
    <row r="572" spans="3:82" ht="15.75" customHeight="1" x14ac:dyDescent="0.2">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8"/>
      <c r="AC572" s="8"/>
      <c r="AD572" s="8"/>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row>
    <row r="573" spans="3:82" ht="15.75" customHeight="1" x14ac:dyDescent="0.2">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8"/>
      <c r="AC573" s="8"/>
      <c r="AD573" s="8"/>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row>
    <row r="574" spans="3:82" ht="15.75" customHeight="1" x14ac:dyDescent="0.2">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8"/>
      <c r="AC574" s="8"/>
      <c r="AD574" s="8"/>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row>
    <row r="575" spans="3:82" ht="15.75" customHeight="1" x14ac:dyDescent="0.2">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8"/>
      <c r="AC575" s="8"/>
      <c r="AD575" s="8"/>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row>
    <row r="576" spans="3:82" ht="15.75" customHeight="1" x14ac:dyDescent="0.2">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8"/>
      <c r="AC576" s="8"/>
      <c r="AD576" s="8"/>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row>
    <row r="577" spans="3:82" ht="15.75" customHeight="1" x14ac:dyDescent="0.2">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8"/>
      <c r="AC577" s="8"/>
      <c r="AD577" s="8"/>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row>
    <row r="578" spans="3:82" ht="15.75" customHeight="1" x14ac:dyDescent="0.2">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8"/>
      <c r="AC578" s="8"/>
      <c r="AD578" s="8"/>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row>
    <row r="579" spans="3:82" ht="15.75" customHeight="1" x14ac:dyDescent="0.2">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8"/>
      <c r="AC579" s="8"/>
      <c r="AD579" s="8"/>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row>
    <row r="580" spans="3:82" ht="15.75" customHeight="1" x14ac:dyDescent="0.2">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8"/>
      <c r="AC580" s="8"/>
      <c r="AD580" s="8"/>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row>
    <row r="581" spans="3:82" ht="15.75" customHeight="1" x14ac:dyDescent="0.2">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8"/>
      <c r="AC581" s="8"/>
      <c r="AD581" s="8"/>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row>
    <row r="582" spans="3:82" ht="15.75" customHeight="1" x14ac:dyDescent="0.2">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8"/>
      <c r="AC582" s="8"/>
      <c r="AD582" s="8"/>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row>
    <row r="583" spans="3:82" ht="15.75" customHeight="1" x14ac:dyDescent="0.2">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8"/>
      <c r="AC583" s="8"/>
      <c r="AD583" s="8"/>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row>
    <row r="584" spans="3:82" ht="15.75" customHeight="1" x14ac:dyDescent="0.2">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8"/>
      <c r="AC584" s="8"/>
      <c r="AD584" s="8"/>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row>
    <row r="585" spans="3:82" ht="15.75" customHeight="1" x14ac:dyDescent="0.2">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8"/>
      <c r="AC585" s="8"/>
      <c r="AD585" s="8"/>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row>
    <row r="586" spans="3:82" ht="15.75" customHeight="1" x14ac:dyDescent="0.2">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8"/>
      <c r="AC586" s="8"/>
      <c r="AD586" s="8"/>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row>
    <row r="587" spans="3:82" ht="15.75" customHeight="1" x14ac:dyDescent="0.2">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8"/>
      <c r="AC587" s="8"/>
      <c r="AD587" s="8"/>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row>
    <row r="588" spans="3:82" ht="15.75" customHeight="1" x14ac:dyDescent="0.2">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8"/>
      <c r="AC588" s="8"/>
      <c r="AD588" s="8"/>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row>
    <row r="589" spans="3:82" ht="15.75" customHeight="1" x14ac:dyDescent="0.2">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8"/>
      <c r="AC589" s="8"/>
      <c r="AD589" s="8"/>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row>
    <row r="590" spans="3:82" ht="15.75" customHeight="1" x14ac:dyDescent="0.2">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8"/>
      <c r="AC590" s="8"/>
      <c r="AD590" s="8"/>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row>
    <row r="591" spans="3:82" ht="15.75" customHeight="1" x14ac:dyDescent="0.2">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8"/>
      <c r="AC591" s="8"/>
      <c r="AD591" s="8"/>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row>
    <row r="592" spans="3:82" ht="15.75" customHeight="1" x14ac:dyDescent="0.2">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8"/>
      <c r="AC592" s="8"/>
      <c r="AD592" s="8"/>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row>
    <row r="593" spans="3:82" ht="15.75" customHeight="1" x14ac:dyDescent="0.2">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8"/>
      <c r="AC593" s="8"/>
      <c r="AD593" s="8"/>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row>
    <row r="594" spans="3:82" ht="15.75" customHeight="1" x14ac:dyDescent="0.2">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8"/>
      <c r="AC594" s="8"/>
      <c r="AD594" s="8"/>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row>
    <row r="595" spans="3:82" ht="15.75" customHeight="1" x14ac:dyDescent="0.2">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8"/>
      <c r="AC595" s="8"/>
      <c r="AD595" s="8"/>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row>
    <row r="596" spans="3:82" ht="15.75" customHeight="1" x14ac:dyDescent="0.2">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8"/>
      <c r="AC596" s="8"/>
      <c r="AD596" s="8"/>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row>
    <row r="597" spans="3:82" ht="15.75" customHeight="1" x14ac:dyDescent="0.2">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8"/>
      <c r="AC597" s="8"/>
      <c r="AD597" s="8"/>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row>
    <row r="598" spans="3:82" ht="15.75" customHeight="1" x14ac:dyDescent="0.2">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8"/>
      <c r="AC598" s="8"/>
      <c r="AD598" s="8"/>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row>
    <row r="599" spans="3:82" ht="15.75" customHeight="1" x14ac:dyDescent="0.2">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8"/>
      <c r="AC599" s="8"/>
      <c r="AD599" s="8"/>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row>
    <row r="600" spans="3:82" ht="15.75" customHeight="1" x14ac:dyDescent="0.2">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8"/>
      <c r="AC600" s="8"/>
      <c r="AD600" s="8"/>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row>
    <row r="601" spans="3:82" ht="15.75" customHeight="1" x14ac:dyDescent="0.2">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8"/>
      <c r="AC601" s="8"/>
      <c r="AD601" s="8"/>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row>
    <row r="602" spans="3:82" ht="15.75" customHeight="1" x14ac:dyDescent="0.2">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8"/>
      <c r="AC602" s="8"/>
      <c r="AD602" s="8"/>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row>
    <row r="603" spans="3:82" ht="15.75" customHeight="1" x14ac:dyDescent="0.2">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8"/>
      <c r="AC603" s="8"/>
      <c r="AD603" s="8"/>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row>
    <row r="604" spans="3:82" ht="15.75" customHeight="1" x14ac:dyDescent="0.2">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8"/>
      <c r="AC604" s="8"/>
      <c r="AD604" s="8"/>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row>
    <row r="605" spans="3:82" ht="15.75" customHeight="1" x14ac:dyDescent="0.2">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8"/>
      <c r="AC605" s="8"/>
      <c r="AD605" s="8"/>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row>
    <row r="606" spans="3:82" ht="15.75" customHeight="1" x14ac:dyDescent="0.2">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8"/>
      <c r="AC606" s="8"/>
      <c r="AD606" s="8"/>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row>
    <row r="607" spans="3:82" ht="15.75" customHeight="1" x14ac:dyDescent="0.2">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8"/>
      <c r="AC607" s="8"/>
      <c r="AD607" s="8"/>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row>
    <row r="608" spans="3:82" ht="15.75" customHeight="1" x14ac:dyDescent="0.2">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8"/>
      <c r="AC608" s="8"/>
      <c r="AD608" s="8"/>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row>
    <row r="609" spans="3:82" ht="15.75" customHeight="1" x14ac:dyDescent="0.2">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row>
    <row r="610" spans="3:82" ht="15.75" customHeight="1" x14ac:dyDescent="0.2">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row>
    <row r="611" spans="3:82" ht="15.75" customHeight="1" x14ac:dyDescent="0.2">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row>
    <row r="612" spans="3:82" ht="15.75" customHeight="1" x14ac:dyDescent="0.2">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row>
    <row r="613" spans="3:82" ht="15.75" customHeight="1" x14ac:dyDescent="0.2">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row>
    <row r="614" spans="3:82" ht="15.75" customHeight="1" x14ac:dyDescent="0.2">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row>
    <row r="615" spans="3:82" ht="15.75" customHeight="1" x14ac:dyDescent="0.2">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row>
    <row r="616" spans="3:82" ht="15.75" customHeight="1" x14ac:dyDescent="0.2">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row>
    <row r="617" spans="3:82" ht="15.75" customHeight="1" x14ac:dyDescent="0.2">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row>
    <row r="618" spans="3:82" ht="15.75" customHeight="1" x14ac:dyDescent="0.2">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row>
    <row r="619" spans="3:82" ht="15.75" customHeight="1" x14ac:dyDescent="0.2">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row>
    <row r="620" spans="3:82" ht="15.75" customHeight="1" x14ac:dyDescent="0.2">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row>
    <row r="621" spans="3:82" ht="15.75" customHeight="1" x14ac:dyDescent="0.2">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row>
    <row r="622" spans="3:82" ht="15.75" customHeight="1" x14ac:dyDescent="0.2">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row>
    <row r="623" spans="3:82" ht="15.75" customHeight="1" x14ac:dyDescent="0.2">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row>
    <row r="624" spans="3:82" ht="15.75" customHeight="1" x14ac:dyDescent="0.2">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row>
    <row r="625" spans="3:82" ht="15.75" customHeight="1" x14ac:dyDescent="0.2">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row>
    <row r="626" spans="3:82" ht="15.75" customHeight="1" x14ac:dyDescent="0.2">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row>
    <row r="627" spans="3:82" ht="15.75" customHeight="1" x14ac:dyDescent="0.2">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row>
    <row r="628" spans="3:82" ht="15.75" customHeight="1" x14ac:dyDescent="0.2">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row>
    <row r="629" spans="3:82" ht="15.75" customHeight="1" x14ac:dyDescent="0.2">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row>
    <row r="630" spans="3:82" ht="15.75" customHeight="1" x14ac:dyDescent="0.2">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row>
    <row r="631" spans="3:82" ht="15.75" customHeight="1" x14ac:dyDescent="0.2">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row>
    <row r="632" spans="3:82" ht="15.75" customHeight="1" x14ac:dyDescent="0.2">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row>
    <row r="633" spans="3:82" ht="15.75" customHeight="1" x14ac:dyDescent="0.2">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row>
    <row r="634" spans="3:82" ht="15.75" customHeight="1" x14ac:dyDescent="0.2">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row>
    <row r="635" spans="3:82" ht="15.75" customHeight="1" x14ac:dyDescent="0.2">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row>
    <row r="636" spans="3:82" ht="15.75" customHeight="1" x14ac:dyDescent="0.2">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row>
    <row r="637" spans="3:82" ht="15.75" customHeight="1" x14ac:dyDescent="0.2">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row>
    <row r="638" spans="3:82" ht="15.75" customHeight="1" x14ac:dyDescent="0.2">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row>
    <row r="639" spans="3:82" ht="15.75" customHeight="1" x14ac:dyDescent="0.2">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row>
    <row r="640" spans="3:82" ht="15.75" customHeight="1" x14ac:dyDescent="0.2">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row>
    <row r="641" spans="3:82" ht="15.75" customHeight="1" x14ac:dyDescent="0.2">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row>
    <row r="642" spans="3:82" ht="15.75" customHeight="1" x14ac:dyDescent="0.2">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row>
    <row r="643" spans="3:82" ht="15.75" customHeight="1" x14ac:dyDescent="0.2">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row>
    <row r="644" spans="3:82" ht="15.75" customHeight="1" x14ac:dyDescent="0.2">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row>
    <row r="645" spans="3:82" ht="15.75" customHeight="1" x14ac:dyDescent="0.2">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row>
    <row r="646" spans="3:82" ht="15.75" customHeight="1" x14ac:dyDescent="0.2">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row>
    <row r="647" spans="3:82" ht="15.75" customHeight="1" x14ac:dyDescent="0.2">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row>
    <row r="648" spans="3:82" ht="15.75" customHeight="1" x14ac:dyDescent="0.2">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row>
    <row r="649" spans="3:82" ht="15.75" customHeight="1" x14ac:dyDescent="0.2">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row>
    <row r="650" spans="3:82" ht="15.75" customHeight="1" x14ac:dyDescent="0.2">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row>
    <row r="651" spans="3:82" ht="15.75" customHeight="1" x14ac:dyDescent="0.2">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row>
    <row r="652" spans="3:82" ht="15.75" customHeight="1" x14ac:dyDescent="0.2">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row>
    <row r="653" spans="3:82" ht="15.75" customHeight="1" x14ac:dyDescent="0.2">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row>
    <row r="654" spans="3:82" ht="15.75" customHeight="1" x14ac:dyDescent="0.2">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row>
    <row r="655" spans="3:82" ht="15.75" customHeight="1" x14ac:dyDescent="0.2">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row>
    <row r="656" spans="3:82" ht="15.75" customHeight="1" x14ac:dyDescent="0.2">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row>
    <row r="657" spans="3:82" ht="15.75" customHeight="1" x14ac:dyDescent="0.2">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row>
    <row r="658" spans="3:82" ht="15.75" customHeight="1" x14ac:dyDescent="0.2">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row>
    <row r="659" spans="3:82" ht="15.75" customHeight="1" x14ac:dyDescent="0.2">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row>
    <row r="660" spans="3:82" ht="15.75" customHeight="1" x14ac:dyDescent="0.2">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row>
    <row r="661" spans="3:82" ht="15.75" customHeight="1" x14ac:dyDescent="0.2">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row>
    <row r="662" spans="3:82" ht="15.75" customHeight="1" x14ac:dyDescent="0.2">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row>
    <row r="663" spans="3:82" ht="15.75" customHeight="1" x14ac:dyDescent="0.2">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row>
    <row r="664" spans="3:82" ht="15.75" customHeight="1" x14ac:dyDescent="0.2">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row>
    <row r="665" spans="3:82" ht="15.75" customHeight="1" x14ac:dyDescent="0.2">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row>
    <row r="666" spans="3:82" ht="15.75" customHeight="1" x14ac:dyDescent="0.2">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row>
    <row r="667" spans="3:82" ht="15.75" customHeight="1" x14ac:dyDescent="0.2">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row>
    <row r="668" spans="3:82" ht="15.75" customHeight="1" x14ac:dyDescent="0.2">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row>
    <row r="669" spans="3:82" ht="15.75" customHeight="1" x14ac:dyDescent="0.2">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row>
    <row r="670" spans="3:82" ht="15.75" customHeight="1" x14ac:dyDescent="0.2">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row>
    <row r="671" spans="3:82" ht="15.75" customHeight="1" x14ac:dyDescent="0.2">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row>
    <row r="672" spans="3:82" ht="15.75" customHeight="1" x14ac:dyDescent="0.2">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row>
    <row r="673" spans="3:82" ht="15.75" customHeight="1" x14ac:dyDescent="0.2">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row>
    <row r="674" spans="3:82" ht="15.75" customHeight="1" x14ac:dyDescent="0.2">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row>
    <row r="675" spans="3:82" ht="15.75" customHeight="1" x14ac:dyDescent="0.2">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row>
    <row r="676" spans="3:82" ht="15.75" customHeight="1" x14ac:dyDescent="0.2">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row>
    <row r="677" spans="3:82" ht="15.75" customHeight="1" x14ac:dyDescent="0.2">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row>
    <row r="678" spans="3:82" ht="15.75" customHeight="1" x14ac:dyDescent="0.2">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row>
    <row r="679" spans="3:82" ht="15.75" customHeight="1" x14ac:dyDescent="0.2">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row>
    <row r="680" spans="3:82" ht="15.75" customHeight="1" x14ac:dyDescent="0.2">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row>
    <row r="681" spans="3:82" ht="15.75" customHeight="1" x14ac:dyDescent="0.2">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row>
    <row r="682" spans="3:82" ht="15.75" customHeight="1" x14ac:dyDescent="0.2">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row>
    <row r="683" spans="3:82" ht="15.75" customHeight="1" x14ac:dyDescent="0.2">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row>
    <row r="684" spans="3:82" ht="15.75" customHeight="1" x14ac:dyDescent="0.2">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row>
    <row r="685" spans="3:82" ht="15.75" customHeight="1" x14ac:dyDescent="0.2">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row>
    <row r="686" spans="3:82" ht="15.75" customHeight="1" x14ac:dyDescent="0.2">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row>
    <row r="687" spans="3:82" ht="15.75" customHeight="1" x14ac:dyDescent="0.2">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row>
    <row r="688" spans="3:82" ht="15.75" customHeight="1" x14ac:dyDescent="0.2">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row>
    <row r="689" spans="3:82" ht="15.75" customHeight="1" x14ac:dyDescent="0.2">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row>
    <row r="690" spans="3:82" ht="15.75" customHeight="1" x14ac:dyDescent="0.2">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row>
    <row r="691" spans="3:82" ht="15.75" customHeight="1" x14ac:dyDescent="0.2">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row>
    <row r="692" spans="3:82" ht="15.75" customHeight="1" x14ac:dyDescent="0.2">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row>
    <row r="693" spans="3:82" ht="15.75" customHeight="1" x14ac:dyDescent="0.2">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row>
    <row r="694" spans="3:82" ht="15.75" customHeight="1" x14ac:dyDescent="0.2">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row>
    <row r="695" spans="3:82" ht="15.75" customHeight="1" x14ac:dyDescent="0.2">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row>
    <row r="696" spans="3:82" ht="15.75" customHeight="1" x14ac:dyDescent="0.2">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row>
    <row r="697" spans="3:82" ht="15.75" customHeight="1" x14ac:dyDescent="0.2">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row>
    <row r="698" spans="3:82" ht="15.75" customHeight="1" x14ac:dyDescent="0.2">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row>
    <row r="699" spans="3:82" ht="15.75" customHeight="1" x14ac:dyDescent="0.2">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row>
    <row r="700" spans="3:82" ht="15.75" customHeight="1" x14ac:dyDescent="0.2">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row>
    <row r="701" spans="3:82" ht="15.75" customHeight="1" x14ac:dyDescent="0.2">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row>
    <row r="702" spans="3:82" ht="15.75" customHeight="1" x14ac:dyDescent="0.2">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row>
    <row r="703" spans="3:82" ht="15.75" customHeight="1" x14ac:dyDescent="0.2">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row>
    <row r="704" spans="3:82" ht="15.75" customHeight="1" x14ac:dyDescent="0.2">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row>
    <row r="705" spans="3:82" ht="15.75" customHeight="1" x14ac:dyDescent="0.2">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row>
    <row r="706" spans="3:82" ht="15.75" customHeight="1" x14ac:dyDescent="0.2">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row>
    <row r="707" spans="3:82" ht="15.75" customHeight="1" x14ac:dyDescent="0.2">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row>
    <row r="708" spans="3:82" ht="15.75" customHeight="1" x14ac:dyDescent="0.2">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row>
    <row r="709" spans="3:82" ht="15.75" customHeight="1" x14ac:dyDescent="0.2">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row>
    <row r="710" spans="3:82" ht="15.75" customHeight="1" x14ac:dyDescent="0.2">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row>
    <row r="711" spans="3:82" ht="15.75" customHeight="1" x14ac:dyDescent="0.2">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row>
    <row r="712" spans="3:82" ht="15.75" customHeight="1" x14ac:dyDescent="0.2">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row>
    <row r="713" spans="3:82" ht="15.75" customHeight="1" x14ac:dyDescent="0.2">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row>
    <row r="714" spans="3:82" ht="15.75" customHeight="1" x14ac:dyDescent="0.2">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row>
    <row r="715" spans="3:82" ht="15.75" customHeight="1" x14ac:dyDescent="0.2">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row>
    <row r="716" spans="3:82" ht="15.75" customHeight="1" x14ac:dyDescent="0.2">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row>
    <row r="717" spans="3:82" ht="15.75" customHeight="1" x14ac:dyDescent="0.2">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row>
    <row r="718" spans="3:82" ht="15.75" customHeight="1" x14ac:dyDescent="0.2">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row>
    <row r="719" spans="3:82" ht="15.75" customHeight="1" x14ac:dyDescent="0.2">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row>
    <row r="720" spans="3:82" ht="15.75" customHeight="1" x14ac:dyDescent="0.2">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row>
    <row r="721" spans="3:82" ht="15.75" customHeight="1" x14ac:dyDescent="0.2">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row>
    <row r="722" spans="3:82" ht="15.75" customHeight="1" x14ac:dyDescent="0.2">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row>
    <row r="723" spans="3:82" ht="15.75" customHeight="1" x14ac:dyDescent="0.2">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row>
    <row r="724" spans="3:82" ht="15.75" customHeight="1" x14ac:dyDescent="0.2">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row>
    <row r="725" spans="3:82" ht="15.75" customHeight="1" x14ac:dyDescent="0.2">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row>
    <row r="726" spans="3:82" ht="15.75" customHeight="1" x14ac:dyDescent="0.2">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row>
    <row r="727" spans="3:82" ht="15.75" customHeight="1" x14ac:dyDescent="0.2">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row>
    <row r="728" spans="3:82" ht="15.75" customHeight="1" x14ac:dyDescent="0.2">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row>
    <row r="729" spans="3:82" ht="15.75" customHeight="1" x14ac:dyDescent="0.2">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row>
    <row r="730" spans="3:82" ht="15.75" customHeight="1" x14ac:dyDescent="0.2">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row>
    <row r="731" spans="3:82" ht="15.75" customHeight="1" x14ac:dyDescent="0.2">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row>
    <row r="732" spans="3:82" ht="15.75" customHeight="1" x14ac:dyDescent="0.2">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row>
    <row r="733" spans="3:82" ht="15.75" customHeight="1" x14ac:dyDescent="0.2">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row>
    <row r="734" spans="3:82" ht="15.75" customHeight="1" x14ac:dyDescent="0.2">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row>
    <row r="735" spans="3:82" ht="15.75" customHeight="1" x14ac:dyDescent="0.2">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row>
    <row r="736" spans="3:82" ht="15.75" customHeight="1" x14ac:dyDescent="0.2">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row>
    <row r="737" spans="3:82" ht="15.75" customHeight="1" x14ac:dyDescent="0.2">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row>
    <row r="738" spans="3:82" ht="15.75" customHeight="1" x14ac:dyDescent="0.2">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row>
    <row r="739" spans="3:82" ht="15.75" customHeight="1" x14ac:dyDescent="0.2">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row>
    <row r="740" spans="3:82" ht="15.75" customHeight="1" x14ac:dyDescent="0.2">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row>
    <row r="741" spans="3:82" ht="15.75" customHeight="1" x14ac:dyDescent="0.2">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row>
    <row r="742" spans="3:82" ht="15.75" customHeight="1" x14ac:dyDescent="0.2">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row>
    <row r="743" spans="3:82" ht="15.75" customHeight="1" x14ac:dyDescent="0.2">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row>
    <row r="744" spans="3:82" ht="15.75" customHeight="1" x14ac:dyDescent="0.2">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row>
    <row r="745" spans="3:82" ht="15.75" customHeight="1" x14ac:dyDescent="0.2">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row>
    <row r="746" spans="3:82" ht="15.75" customHeight="1" x14ac:dyDescent="0.2">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row>
    <row r="747" spans="3:82" ht="15.75" customHeight="1" x14ac:dyDescent="0.2">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row>
    <row r="748" spans="3:82" ht="15.75" customHeight="1" x14ac:dyDescent="0.2">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row>
    <row r="749" spans="3:82" ht="15.75" customHeight="1" x14ac:dyDescent="0.2">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row>
    <row r="750" spans="3:82" ht="15.75" customHeight="1" x14ac:dyDescent="0.2">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row>
    <row r="751" spans="3:82" ht="15.75" customHeight="1" x14ac:dyDescent="0.2">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row>
    <row r="752" spans="3:82" ht="15.75" customHeight="1" x14ac:dyDescent="0.2">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row>
    <row r="753" spans="3:82" ht="15.75" customHeight="1" x14ac:dyDescent="0.2">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row>
    <row r="754" spans="3:82" ht="15.75" customHeight="1" x14ac:dyDescent="0.2">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row>
    <row r="755" spans="3:82" ht="15.75" customHeight="1" x14ac:dyDescent="0.2">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row>
    <row r="756" spans="3:82" ht="15.75" customHeight="1" x14ac:dyDescent="0.2">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row>
    <row r="757" spans="3:82" ht="15.75" customHeight="1" x14ac:dyDescent="0.2">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row>
    <row r="758" spans="3:82" ht="15.75" customHeight="1" x14ac:dyDescent="0.2">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row>
    <row r="759" spans="3:82" ht="15.75" customHeight="1" x14ac:dyDescent="0.2">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row>
    <row r="760" spans="3:82" ht="15.75" customHeight="1" x14ac:dyDescent="0.2">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row>
    <row r="761" spans="3:82" ht="15.75" customHeight="1" x14ac:dyDescent="0.2">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row>
    <row r="762" spans="3:82" ht="15.75" customHeight="1" x14ac:dyDescent="0.2">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row>
    <row r="763" spans="3:82" ht="15.75" customHeight="1" x14ac:dyDescent="0.2">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row>
    <row r="764" spans="3:82" ht="15.75" customHeight="1" x14ac:dyDescent="0.2">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row>
    <row r="765" spans="3:82" ht="15.75" customHeight="1" x14ac:dyDescent="0.2">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row>
    <row r="766" spans="3:82" ht="15.75" customHeight="1" x14ac:dyDescent="0.2">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row>
    <row r="767" spans="3:82" ht="15.75" customHeight="1" x14ac:dyDescent="0.2">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row>
    <row r="768" spans="3:82" ht="15.75" customHeight="1" x14ac:dyDescent="0.2">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row>
    <row r="769" spans="3:82" ht="15.75" customHeight="1" x14ac:dyDescent="0.2">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row>
    <row r="770" spans="3:82" ht="15.75" customHeight="1" x14ac:dyDescent="0.2">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row>
    <row r="771" spans="3:82" ht="15.75" customHeight="1" x14ac:dyDescent="0.2">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row>
    <row r="772" spans="3:82" ht="15.75" customHeight="1" x14ac:dyDescent="0.2">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row>
    <row r="773" spans="3:82" ht="15.75" customHeight="1" x14ac:dyDescent="0.2">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row>
    <row r="774" spans="3:82" ht="15.75" customHeight="1" x14ac:dyDescent="0.2">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row>
    <row r="775" spans="3:82" ht="15.75" customHeight="1" x14ac:dyDescent="0.2">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row>
    <row r="776" spans="3:82" ht="15.75" customHeight="1" x14ac:dyDescent="0.2">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row>
    <row r="777" spans="3:82" ht="15.75" customHeight="1" x14ac:dyDescent="0.2">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row>
    <row r="778" spans="3:82" ht="15.75" customHeight="1" x14ac:dyDescent="0.2">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row>
    <row r="779" spans="3:82" ht="15.75" customHeight="1" x14ac:dyDescent="0.2">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row>
    <row r="780" spans="3:82" ht="15.75" customHeight="1" x14ac:dyDescent="0.2">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row>
    <row r="781" spans="3:82" ht="15.75" customHeight="1" x14ac:dyDescent="0.2">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row>
    <row r="782" spans="3:82" ht="15.75" customHeight="1" x14ac:dyDescent="0.2">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row>
    <row r="783" spans="3:82" ht="15.75" customHeight="1" x14ac:dyDescent="0.2">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row>
    <row r="784" spans="3:82" ht="15.75" customHeight="1" x14ac:dyDescent="0.2">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row>
    <row r="785" spans="3:82" ht="15.75" customHeight="1" x14ac:dyDescent="0.2">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row>
    <row r="786" spans="3:82" ht="15.75" customHeight="1" x14ac:dyDescent="0.2">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row>
    <row r="787" spans="3:82" ht="15.75" customHeight="1" x14ac:dyDescent="0.2">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row>
    <row r="788" spans="3:82" ht="15.75" customHeight="1" x14ac:dyDescent="0.2">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row>
    <row r="789" spans="3:82" ht="15.75" customHeight="1" x14ac:dyDescent="0.2">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row>
    <row r="790" spans="3:82" ht="15.75" customHeight="1" x14ac:dyDescent="0.2">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row>
    <row r="791" spans="3:82" ht="15.75" customHeight="1" x14ac:dyDescent="0.2">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row>
    <row r="792" spans="3:82" ht="15.75" customHeight="1" x14ac:dyDescent="0.2">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row>
    <row r="793" spans="3:82" ht="15.75" customHeight="1" x14ac:dyDescent="0.2">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row>
    <row r="794" spans="3:82" ht="15.75" customHeight="1" x14ac:dyDescent="0.2">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row>
    <row r="795" spans="3:82" ht="15.75" customHeight="1" x14ac:dyDescent="0.2">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row>
    <row r="796" spans="3:82" ht="15.75" customHeight="1" x14ac:dyDescent="0.2">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row>
    <row r="797" spans="3:82" ht="15.75" customHeight="1" x14ac:dyDescent="0.2">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row>
    <row r="798" spans="3:82" ht="15.75" customHeight="1" x14ac:dyDescent="0.2">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row>
    <row r="799" spans="3:82" ht="15.75" customHeight="1" x14ac:dyDescent="0.2">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row>
    <row r="800" spans="3:82" ht="15.75" customHeight="1" x14ac:dyDescent="0.2">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row>
    <row r="801" spans="3:82" ht="15.75" customHeight="1" x14ac:dyDescent="0.2">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row>
    <row r="802" spans="3:82" ht="15.75" customHeight="1" x14ac:dyDescent="0.2">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row>
    <row r="803" spans="3:82" ht="15.75" customHeight="1" x14ac:dyDescent="0.2">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row>
    <row r="804" spans="3:82" ht="15.75" customHeight="1" x14ac:dyDescent="0.2">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row>
    <row r="805" spans="3:82" ht="15.75" customHeight="1" x14ac:dyDescent="0.2">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row>
    <row r="806" spans="3:82" ht="15.75" customHeight="1" x14ac:dyDescent="0.2">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row>
    <row r="807" spans="3:82" ht="15.75" customHeight="1" x14ac:dyDescent="0.2">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row>
    <row r="808" spans="3:82" ht="15.75" customHeight="1" x14ac:dyDescent="0.2">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row>
    <row r="809" spans="3:82" ht="15.75" customHeight="1" x14ac:dyDescent="0.2">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row>
    <row r="810" spans="3:82" ht="15.75" customHeight="1" x14ac:dyDescent="0.2">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row>
    <row r="811" spans="3:82" ht="15.75" customHeight="1" x14ac:dyDescent="0.2">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row>
    <row r="812" spans="3:82" ht="15.75" customHeight="1" x14ac:dyDescent="0.2">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row>
    <row r="813" spans="3:82" ht="15.75" customHeight="1" x14ac:dyDescent="0.2">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row>
    <row r="814" spans="3:82" ht="15.75" customHeight="1" x14ac:dyDescent="0.2">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row>
    <row r="815" spans="3:82" ht="15.75" customHeight="1" x14ac:dyDescent="0.2">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row>
    <row r="816" spans="3:82" ht="15.75" customHeight="1" x14ac:dyDescent="0.2">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row>
    <row r="817" spans="3:82" ht="15.75" customHeight="1" x14ac:dyDescent="0.2">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row>
    <row r="818" spans="3:82" ht="15.75" customHeight="1" x14ac:dyDescent="0.2">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row>
    <row r="819" spans="3:82" ht="15.75" customHeight="1" x14ac:dyDescent="0.2">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row>
    <row r="820" spans="3:82" ht="15.75" customHeight="1" x14ac:dyDescent="0.2">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row>
    <row r="821" spans="3:82" ht="15.75" customHeight="1" x14ac:dyDescent="0.2">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row>
    <row r="822" spans="3:82" ht="15.75" customHeight="1" x14ac:dyDescent="0.2">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row>
    <row r="823" spans="3:82" ht="15.75" customHeight="1" x14ac:dyDescent="0.2">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row>
    <row r="824" spans="3:82" ht="15.75" customHeight="1" x14ac:dyDescent="0.2">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row>
    <row r="825" spans="3:82" ht="15.75" customHeight="1" x14ac:dyDescent="0.2">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row>
    <row r="826" spans="3:82" ht="15.75" customHeight="1" x14ac:dyDescent="0.2">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row>
    <row r="827" spans="3:82" ht="15.75" customHeight="1" x14ac:dyDescent="0.2">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row>
    <row r="828" spans="3:82" ht="15.75" customHeight="1" x14ac:dyDescent="0.2">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row>
    <row r="829" spans="3:82" ht="15.75" customHeight="1" x14ac:dyDescent="0.2">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row>
    <row r="830" spans="3:82" ht="15.75" customHeight="1" x14ac:dyDescent="0.2">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row>
    <row r="831" spans="3:82" ht="15.75" customHeight="1" x14ac:dyDescent="0.2">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row>
    <row r="832" spans="3:82" ht="15.75" customHeight="1" x14ac:dyDescent="0.2">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row>
    <row r="833" spans="3:82" ht="15.75" customHeight="1" x14ac:dyDescent="0.2">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row>
    <row r="834" spans="3:82" ht="15.75" customHeight="1" x14ac:dyDescent="0.2">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row>
    <row r="835" spans="3:82" ht="15.75" customHeight="1" x14ac:dyDescent="0.2">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row>
    <row r="836" spans="3:82" ht="15.75" customHeight="1" x14ac:dyDescent="0.2">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row>
    <row r="837" spans="3:82" ht="15.75" customHeight="1" x14ac:dyDescent="0.2">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row>
    <row r="838" spans="3:82" ht="15.75" customHeight="1" x14ac:dyDescent="0.2">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row>
    <row r="839" spans="3:82" ht="15.75" customHeight="1" x14ac:dyDescent="0.2">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row>
    <row r="840" spans="3:82" ht="15.75" customHeight="1" x14ac:dyDescent="0.2">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row>
    <row r="841" spans="3:82" ht="15.75" customHeight="1" x14ac:dyDescent="0.2">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row>
    <row r="842" spans="3:82" ht="15.75" customHeight="1" x14ac:dyDescent="0.2">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row>
    <row r="843" spans="3:82" ht="15.75" customHeight="1" x14ac:dyDescent="0.2">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row>
    <row r="844" spans="3:82" ht="15.75" customHeight="1" x14ac:dyDescent="0.2">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row>
    <row r="845" spans="3:82" ht="15.75" customHeight="1" x14ac:dyDescent="0.2">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row>
    <row r="846" spans="3:82" ht="15.75" customHeight="1" x14ac:dyDescent="0.2">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row>
    <row r="847" spans="3:82" ht="15.75" customHeight="1" x14ac:dyDescent="0.2">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row>
    <row r="848" spans="3:82" ht="15.75" customHeight="1" x14ac:dyDescent="0.2">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row>
    <row r="849" spans="3:82" ht="15.75" customHeight="1" x14ac:dyDescent="0.2">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row>
    <row r="850" spans="3:82" ht="15.75" customHeight="1" x14ac:dyDescent="0.2">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row>
    <row r="851" spans="3:82" ht="15.75" customHeight="1" x14ac:dyDescent="0.2">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row>
    <row r="852" spans="3:82" ht="15.75" customHeight="1" x14ac:dyDescent="0.2">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row>
    <row r="853" spans="3:82" ht="15.75" customHeight="1" x14ac:dyDescent="0.2">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row>
    <row r="854" spans="3:82" ht="15.75" customHeight="1" x14ac:dyDescent="0.2">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row>
    <row r="855" spans="3:82" ht="15.75" customHeight="1" x14ac:dyDescent="0.2">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row>
    <row r="856" spans="3:82" ht="15.75" customHeight="1" x14ac:dyDescent="0.2">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row>
    <row r="857" spans="3:82" ht="15.75" customHeight="1" x14ac:dyDescent="0.2">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row>
    <row r="858" spans="3:82" ht="15.75" customHeight="1" x14ac:dyDescent="0.2">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row>
    <row r="859" spans="3:82" ht="15.75" customHeight="1" x14ac:dyDescent="0.2">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row>
    <row r="860" spans="3:82" ht="15.75" customHeight="1" x14ac:dyDescent="0.2">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row>
    <row r="861" spans="3:82" ht="15.75" customHeight="1" x14ac:dyDescent="0.2">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row>
    <row r="862" spans="3:82" ht="15.75" customHeight="1" x14ac:dyDescent="0.2">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row>
    <row r="863" spans="3:82" ht="15.75" customHeight="1" x14ac:dyDescent="0.2">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row>
    <row r="864" spans="3:82" ht="15.75" customHeight="1" x14ac:dyDescent="0.2">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row>
    <row r="865" spans="3:82" ht="15.75" customHeight="1" x14ac:dyDescent="0.2">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row>
    <row r="866" spans="3:82" ht="15.75" customHeight="1" x14ac:dyDescent="0.2">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row>
    <row r="867" spans="3:82" ht="15.75" customHeight="1" x14ac:dyDescent="0.2">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row>
    <row r="868" spans="3:82" ht="15.75" customHeight="1" x14ac:dyDescent="0.2">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row>
    <row r="869" spans="3:82" ht="15.75" customHeight="1" x14ac:dyDescent="0.2">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row>
    <row r="870" spans="3:82" ht="15.75" customHeight="1" x14ac:dyDescent="0.2">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row>
    <row r="871" spans="3:82" ht="15.75" customHeight="1" x14ac:dyDescent="0.2">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row>
    <row r="872" spans="3:82" ht="15.75" customHeight="1" x14ac:dyDescent="0.2">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row>
    <row r="873" spans="3:82" ht="15.75" customHeight="1" x14ac:dyDescent="0.2">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row>
    <row r="874" spans="3:82" ht="15.75" customHeight="1" x14ac:dyDescent="0.2">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row>
    <row r="875" spans="3:82" ht="15.75" customHeight="1" x14ac:dyDescent="0.2">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row>
    <row r="876" spans="3:82" ht="15.75" customHeight="1" x14ac:dyDescent="0.2">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row>
    <row r="877" spans="3:82" ht="15.75" customHeight="1" x14ac:dyDescent="0.2">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row>
    <row r="878" spans="3:82" ht="15.75" customHeight="1" x14ac:dyDescent="0.2">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row>
    <row r="879" spans="3:82" ht="15.75" customHeight="1" x14ac:dyDescent="0.2">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row>
    <row r="880" spans="3:82" ht="15.75" customHeight="1" x14ac:dyDescent="0.2">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row>
    <row r="881" spans="3:82" ht="15.75" customHeight="1" x14ac:dyDescent="0.2">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row>
    <row r="882" spans="3:82" ht="15.75" customHeight="1" x14ac:dyDescent="0.2">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row>
    <row r="883" spans="3:82" ht="15.75" customHeight="1" x14ac:dyDescent="0.2">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row>
    <row r="884" spans="3:82" ht="15.75" customHeight="1" x14ac:dyDescent="0.2">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row>
    <row r="885" spans="3:82" ht="15.75" customHeight="1" x14ac:dyDescent="0.2">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row>
    <row r="886" spans="3:82" ht="15.75" customHeight="1" x14ac:dyDescent="0.2">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row>
    <row r="887" spans="3:82" ht="15.75" customHeight="1" x14ac:dyDescent="0.2">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row>
    <row r="888" spans="3:82" ht="15.75" customHeight="1" x14ac:dyDescent="0.2">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row>
    <row r="889" spans="3:82" ht="15.75" customHeight="1" x14ac:dyDescent="0.2">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row>
    <row r="890" spans="3:82" ht="15.75" customHeight="1" x14ac:dyDescent="0.2">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row>
    <row r="891" spans="3:82" ht="15.75" customHeight="1" x14ac:dyDescent="0.2">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row>
    <row r="892" spans="3:82" ht="15.75" customHeight="1" x14ac:dyDescent="0.2">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row>
    <row r="893" spans="3:82" ht="15.75" customHeight="1" x14ac:dyDescent="0.2">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row>
    <row r="894" spans="3:82" ht="15.75" customHeight="1" x14ac:dyDescent="0.2">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row>
    <row r="895" spans="3:82" ht="15.75" customHeight="1" x14ac:dyDescent="0.2">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row>
    <row r="896" spans="3:82" ht="15.75" customHeight="1" x14ac:dyDescent="0.2">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row>
    <row r="897" spans="3:82" ht="15.75" customHeight="1" x14ac:dyDescent="0.2">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row>
    <row r="898" spans="3:82" ht="15.75" customHeight="1" x14ac:dyDescent="0.2">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row>
    <row r="899" spans="3:82" ht="15.75" customHeight="1" x14ac:dyDescent="0.2">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row>
    <row r="900" spans="3:82" ht="15.75" customHeight="1" x14ac:dyDescent="0.2">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row>
    <row r="901" spans="3:82" ht="15.75" customHeight="1" x14ac:dyDescent="0.2">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row>
    <row r="902" spans="3:82" ht="15.75" customHeight="1" x14ac:dyDescent="0.2">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row>
    <row r="903" spans="3:82" ht="15.75" customHeight="1" x14ac:dyDescent="0.2">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row>
    <row r="904" spans="3:82" ht="15.75" customHeight="1" x14ac:dyDescent="0.2">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row>
    <row r="905" spans="3:82" ht="15.75" customHeight="1" x14ac:dyDescent="0.2">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row>
    <row r="906" spans="3:82" ht="15.75" customHeight="1" x14ac:dyDescent="0.2">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row>
    <row r="907" spans="3:82" ht="15.75" customHeight="1" x14ac:dyDescent="0.2">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row>
    <row r="908" spans="3:82" ht="15.75" customHeight="1" x14ac:dyDescent="0.2">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row>
    <row r="909" spans="3:82" ht="15.75" customHeight="1" x14ac:dyDescent="0.2">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row>
    <row r="910" spans="3:82" ht="15.75" customHeight="1" x14ac:dyDescent="0.2">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row>
    <row r="911" spans="3:82" ht="15.75" customHeight="1" x14ac:dyDescent="0.2">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row>
    <row r="912" spans="3:82" ht="15.75" customHeight="1" x14ac:dyDescent="0.2">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row>
    <row r="913" spans="3:82" ht="15.75" customHeight="1" x14ac:dyDescent="0.2">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row>
    <row r="914" spans="3:82" ht="15.75" customHeight="1" x14ac:dyDescent="0.2">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row>
    <row r="915" spans="3:82" ht="15.75" customHeight="1" x14ac:dyDescent="0.2">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row>
    <row r="916" spans="3:82" ht="15.75" customHeight="1" x14ac:dyDescent="0.2">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row>
    <row r="917" spans="3:82" ht="15.75" customHeight="1" x14ac:dyDescent="0.2">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row>
    <row r="918" spans="3:82" ht="15.75" customHeight="1" x14ac:dyDescent="0.2">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row>
    <row r="919" spans="3:82" ht="15.75" customHeight="1" x14ac:dyDescent="0.2">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row>
    <row r="920" spans="3:82" ht="15.75" customHeight="1" x14ac:dyDescent="0.2">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row>
    <row r="921" spans="3:82" ht="15.75" customHeight="1" x14ac:dyDescent="0.2">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row>
    <row r="922" spans="3:82" ht="15.75" customHeight="1" x14ac:dyDescent="0.2">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row>
    <row r="923" spans="3:82" ht="15.75" customHeight="1" x14ac:dyDescent="0.2">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row>
    <row r="924" spans="3:82" ht="15.75" customHeight="1" x14ac:dyDescent="0.2">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row>
    <row r="925" spans="3:82" ht="15.75" customHeight="1" x14ac:dyDescent="0.2">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row>
    <row r="926" spans="3:82" ht="15.75" customHeight="1" x14ac:dyDescent="0.2">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row>
    <row r="927" spans="3:82" ht="15.75" customHeight="1" x14ac:dyDescent="0.2">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row>
    <row r="928" spans="3:82" ht="15.75" customHeight="1" x14ac:dyDescent="0.2">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row>
    <row r="929" spans="3:82" ht="15.75" customHeight="1" x14ac:dyDescent="0.2">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row>
    <row r="930" spans="3:82" ht="15.75" customHeight="1" x14ac:dyDescent="0.2">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row>
    <row r="931" spans="3:82" ht="15.75" customHeight="1" x14ac:dyDescent="0.2">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row>
    <row r="932" spans="3:82" ht="15.75" customHeight="1" x14ac:dyDescent="0.2">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row>
    <row r="933" spans="3:82" ht="15.75" customHeight="1" x14ac:dyDescent="0.2">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row>
    <row r="934" spans="3:82" ht="15.75" customHeight="1" x14ac:dyDescent="0.2">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row>
    <row r="935" spans="3:82" ht="15.75" customHeight="1" x14ac:dyDescent="0.2">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row>
    <row r="936" spans="3:82" ht="15.75" customHeight="1" x14ac:dyDescent="0.2">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row>
    <row r="937" spans="3:82" ht="15.75" customHeight="1" x14ac:dyDescent="0.2">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row>
    <row r="938" spans="3:82" ht="15.75" customHeight="1" x14ac:dyDescent="0.2">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row>
    <row r="939" spans="3:82" ht="15.75" customHeight="1" x14ac:dyDescent="0.2">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row>
    <row r="940" spans="3:82" ht="15.75" customHeight="1" x14ac:dyDescent="0.2">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row>
    <row r="941" spans="3:82" ht="15.75" customHeight="1" x14ac:dyDescent="0.2">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row>
    <row r="942" spans="3:82" ht="15.75" customHeight="1" x14ac:dyDescent="0.2">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row>
    <row r="943" spans="3:82" ht="15.75" customHeight="1" x14ac:dyDescent="0.2">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row>
    <row r="944" spans="3:82" ht="15.75" customHeight="1" x14ac:dyDescent="0.2">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row>
    <row r="945" spans="3:82" ht="15.75" customHeight="1" x14ac:dyDescent="0.2">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row>
    <row r="946" spans="3:82" ht="15.75" customHeight="1" x14ac:dyDescent="0.2">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row>
    <row r="947" spans="3:82" ht="15.75" customHeight="1" x14ac:dyDescent="0.2">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row>
    <row r="948" spans="3:82" ht="15.75" customHeight="1" x14ac:dyDescent="0.2">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row>
    <row r="949" spans="3:82" ht="15.75" customHeight="1" x14ac:dyDescent="0.2">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row>
    <row r="950" spans="3:82" ht="15.75" customHeight="1" x14ac:dyDescent="0.2">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row>
    <row r="951" spans="3:82" ht="15.75" customHeight="1" x14ac:dyDescent="0.2">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row>
    <row r="952" spans="3:82" ht="15.75" customHeight="1" x14ac:dyDescent="0.2">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row>
    <row r="953" spans="3:82" ht="15.75" customHeight="1" x14ac:dyDescent="0.2">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row>
    <row r="954" spans="3:82" ht="15.75" customHeight="1" x14ac:dyDescent="0.2">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row>
    <row r="955" spans="3:82" ht="15.75" customHeight="1" x14ac:dyDescent="0.2">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row>
    <row r="956" spans="3:82" ht="15.75" customHeight="1" x14ac:dyDescent="0.2">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row>
    <row r="957" spans="3:82" ht="15.75" customHeight="1" x14ac:dyDescent="0.2">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row>
    <row r="958" spans="3:82" ht="15.75" customHeight="1" x14ac:dyDescent="0.2">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row>
    <row r="959" spans="3:82" ht="15.75" customHeight="1" x14ac:dyDescent="0.2">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row>
    <row r="960" spans="3:82" ht="15.75" customHeight="1" x14ac:dyDescent="0.2">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row>
    <row r="961" spans="3:82" ht="15.75" customHeight="1" x14ac:dyDescent="0.2">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row>
    <row r="962" spans="3:82" ht="15.75" customHeight="1" x14ac:dyDescent="0.2">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row>
    <row r="963" spans="3:82" ht="15.75" customHeight="1" x14ac:dyDescent="0.2">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row>
    <row r="964" spans="3:82" ht="15.75" customHeight="1" x14ac:dyDescent="0.2">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row>
    <row r="965" spans="3:82" ht="15.75" customHeight="1" x14ac:dyDescent="0.2">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row>
    <row r="966" spans="3:82" ht="15.75" customHeight="1" x14ac:dyDescent="0.2">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row>
    <row r="967" spans="3:82" ht="15.75" customHeight="1" x14ac:dyDescent="0.2">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row>
    <row r="968" spans="3:82" ht="15.75" customHeight="1" x14ac:dyDescent="0.2">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row>
    <row r="969" spans="3:82" ht="15.75" customHeight="1" x14ac:dyDescent="0.2">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row>
    <row r="970" spans="3:82" ht="15.75" customHeight="1" x14ac:dyDescent="0.2">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row>
    <row r="971" spans="3:82" ht="15.75" customHeight="1" x14ac:dyDescent="0.2">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row>
    <row r="972" spans="3:82" ht="15.75" customHeight="1" x14ac:dyDescent="0.2">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row>
    <row r="973" spans="3:82" ht="15.75" customHeight="1" x14ac:dyDescent="0.2">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row>
    <row r="974" spans="3:82" ht="15.75" customHeight="1" x14ac:dyDescent="0.2">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row>
    <row r="975" spans="3:82" ht="15.75" customHeight="1" x14ac:dyDescent="0.2">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row>
    <row r="976" spans="3:82" ht="15.75" customHeight="1" x14ac:dyDescent="0.2">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row>
    <row r="977" spans="3:82" ht="15.75" customHeight="1" x14ac:dyDescent="0.2">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row>
    <row r="978" spans="3:82" ht="15.75" customHeight="1" x14ac:dyDescent="0.2">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row>
    <row r="979" spans="3:82" ht="15.75" customHeight="1" x14ac:dyDescent="0.2">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row>
    <row r="980" spans="3:82" ht="15.75" customHeight="1" x14ac:dyDescent="0.2">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row>
    <row r="981" spans="3:82" ht="15.75" customHeight="1" x14ac:dyDescent="0.2">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row>
    <row r="982" spans="3:82" ht="15.75" customHeight="1" x14ac:dyDescent="0.2">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row>
    <row r="983" spans="3:82" ht="15.75" customHeight="1" x14ac:dyDescent="0.2">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row>
    <row r="984" spans="3:82" ht="15.75" customHeight="1" x14ac:dyDescent="0.2">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row>
    <row r="985" spans="3:82" ht="15.75" customHeight="1" x14ac:dyDescent="0.2">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row>
    <row r="986" spans="3:82" ht="15.75" customHeight="1" x14ac:dyDescent="0.2">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row>
    <row r="987" spans="3:82" ht="15.75" customHeight="1" x14ac:dyDescent="0.2">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row>
    <row r="988" spans="3:82" ht="15.75" customHeight="1" x14ac:dyDescent="0.2">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row>
    <row r="989" spans="3:82" ht="15.75" customHeight="1" x14ac:dyDescent="0.2">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row>
    <row r="990" spans="3:82" ht="15.75" customHeight="1" x14ac:dyDescent="0.2">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row>
    <row r="991" spans="3:82" ht="15.75" customHeight="1" x14ac:dyDescent="0.2">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row>
    <row r="992" spans="3:82" ht="15.75" customHeight="1" x14ac:dyDescent="0.2">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row>
    <row r="993" spans="3:82" ht="15.75" customHeight="1" x14ac:dyDescent="0.2">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row>
    <row r="994" spans="3:82" ht="15.75" customHeight="1" x14ac:dyDescent="0.2">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row>
    <row r="995" spans="3:82" ht="15.75" customHeight="1" x14ac:dyDescent="0.2">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row>
    <row r="996" spans="3:82" ht="15.75" customHeight="1" x14ac:dyDescent="0.2">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row>
    <row r="997" spans="3:82" ht="15.75" customHeight="1" x14ac:dyDescent="0.2">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row>
    <row r="998" spans="3:82" ht="15.75" customHeight="1" x14ac:dyDescent="0.2">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row>
    <row r="999" spans="3:82" ht="15.75" customHeight="1" x14ac:dyDescent="0.2">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row>
    <row r="1000" spans="3:82" ht="15.75" customHeight="1" x14ac:dyDescent="0.2">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row>
    <row r="1001" spans="3:82" ht="15.75" customHeight="1" x14ac:dyDescent="0.2">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c r="BF1001" s="17"/>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row>
    <row r="1002" spans="3:82" ht="15.75" customHeight="1" x14ac:dyDescent="0.2">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c r="BF1002" s="17"/>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row>
    <row r="1003" spans="3:82" ht="15.75" customHeight="1" x14ac:dyDescent="0.2">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c r="BF1003" s="17"/>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row>
    <row r="1004" spans="3:82" ht="15.75" customHeight="1" x14ac:dyDescent="0.2">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c r="BF1004" s="17"/>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row>
    <row r="1005" spans="3:82" ht="15.75" customHeight="1" x14ac:dyDescent="0.2">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c r="BF1005" s="17"/>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row>
    <row r="1006" spans="3:82" ht="15.75" customHeight="1" x14ac:dyDescent="0.2">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c r="BF1006" s="17"/>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row>
    <row r="1007" spans="3:82" ht="15.75" customHeight="1" x14ac:dyDescent="0.2">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c r="BF1007" s="17"/>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row>
    <row r="1008" spans="3:82" ht="15.75" customHeight="1" x14ac:dyDescent="0.2">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c r="BA1008" s="17"/>
      <c r="BB1008" s="17"/>
      <c r="BC1008" s="17"/>
      <c r="BD1008" s="17"/>
      <c r="BE1008" s="17"/>
      <c r="BF1008" s="17"/>
      <c r="BG1008" s="17"/>
      <c r="BH1008" s="17"/>
      <c r="BI1008" s="17"/>
      <c r="BJ1008" s="17"/>
      <c r="BK1008" s="17"/>
      <c r="BL1008" s="17"/>
      <c r="BM1008" s="17"/>
      <c r="BN1008" s="17"/>
      <c r="BO1008" s="17"/>
      <c r="BP1008" s="17"/>
      <c r="BQ1008" s="17"/>
      <c r="BR1008" s="17"/>
      <c r="BS1008" s="17"/>
      <c r="BT1008" s="17"/>
      <c r="BU1008" s="17"/>
      <c r="BV1008" s="17"/>
      <c r="BW1008" s="17"/>
      <c r="BX1008" s="17"/>
      <c r="BY1008" s="17"/>
      <c r="BZ1008" s="17"/>
      <c r="CA1008" s="17"/>
      <c r="CB1008" s="17"/>
      <c r="CC1008" s="17"/>
      <c r="CD1008" s="17"/>
    </row>
    <row r="1009" spans="3:82" ht="15.75" customHeight="1" x14ac:dyDescent="0.2">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c r="BF1009" s="17"/>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row>
    <row r="1010" spans="3:82" ht="15.75" customHeight="1" x14ac:dyDescent="0.2">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c r="BF1010" s="17"/>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row>
    <row r="1011" spans="3:82" ht="15.75" customHeight="1" x14ac:dyDescent="0.2">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c r="BF1011" s="17"/>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row>
    <row r="1012" spans="3:82" ht="15.75" customHeight="1" x14ac:dyDescent="0.2">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c r="BF1012" s="17"/>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row>
    <row r="1013" spans="3:82" ht="15.75" customHeight="1" x14ac:dyDescent="0.2">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c r="BF1013" s="17"/>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row>
    <row r="1014" spans="3:82" ht="15.75" customHeight="1" x14ac:dyDescent="0.2">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c r="BF1014" s="17"/>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row>
    <row r="1015" spans="3:82" ht="15.75" customHeight="1" x14ac:dyDescent="0.2">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c r="BF1015" s="17"/>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row>
    <row r="1016" spans="3:82" ht="15.75" customHeight="1" x14ac:dyDescent="0.2">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c r="BF1016" s="17"/>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row>
    <row r="1017" spans="3:82" ht="15.75" customHeight="1" x14ac:dyDescent="0.2">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c r="BF1017" s="17"/>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row>
    <row r="1018" spans="3:82" ht="15.75" customHeight="1" x14ac:dyDescent="0.2">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c r="BF1018" s="17"/>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row>
    <row r="1019" spans="3:82" ht="15.75" customHeight="1" x14ac:dyDescent="0.2">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c r="BF1019" s="17"/>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row>
    <row r="1020" spans="3:82" ht="15.75" customHeight="1" x14ac:dyDescent="0.2">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c r="BF1020" s="17"/>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row>
    <row r="1021" spans="3:82" ht="15.75" customHeight="1" x14ac:dyDescent="0.2">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c r="BF1021" s="17"/>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row>
    <row r="1022" spans="3:82" ht="15.75" customHeight="1" x14ac:dyDescent="0.2">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row>
    <row r="1023" spans="3:82" ht="15.75" customHeight="1" x14ac:dyDescent="0.2">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c r="BF1023" s="17"/>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row>
    <row r="1024" spans="3:82" ht="15.75" customHeight="1" x14ac:dyDescent="0.2">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c r="BF1024" s="17"/>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row>
    <row r="1025" spans="3:82" ht="15.75" customHeight="1" x14ac:dyDescent="0.2">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c r="BF1025" s="17"/>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row>
    <row r="1026" spans="3:82" ht="15.75" customHeight="1" x14ac:dyDescent="0.2">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c r="BF1026" s="17"/>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row>
    <row r="1027" spans="3:82" ht="15.75" customHeight="1" x14ac:dyDescent="0.2">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c r="BF1027" s="17"/>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row>
    <row r="1028" spans="3:82" ht="15.75" customHeight="1" x14ac:dyDescent="0.2">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c r="BF1028" s="17"/>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row>
    <row r="1029" spans="3:82" ht="15.75" customHeight="1" x14ac:dyDescent="0.2">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c r="BF1029" s="17"/>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row>
    <row r="1030" spans="3:82" ht="15.75" customHeight="1" x14ac:dyDescent="0.2">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c r="BF1030" s="17"/>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row>
    <row r="1031" spans="3:82" ht="15.75" customHeight="1" x14ac:dyDescent="0.2">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c r="BF1031" s="17"/>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row>
    <row r="1032" spans="3:82" ht="15.75" customHeight="1" x14ac:dyDescent="0.2">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c r="BF1032" s="17"/>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row>
    <row r="1033" spans="3:82" ht="15.75" customHeight="1" x14ac:dyDescent="0.2">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c r="BF1033" s="17"/>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row>
    <row r="1034" spans="3:82" ht="15.75" customHeight="1" x14ac:dyDescent="0.2">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c r="BF1034" s="17"/>
      <c r="BG1034" s="17"/>
      <c r="BH1034" s="17"/>
      <c r="BI1034" s="17"/>
      <c r="BJ1034" s="17"/>
      <c r="BK1034" s="17"/>
      <c r="BL1034" s="17"/>
      <c r="BM1034" s="17"/>
      <c r="BN1034" s="17"/>
      <c r="BO1034" s="17"/>
      <c r="BP1034" s="17"/>
      <c r="BQ1034" s="17"/>
      <c r="BR1034" s="17"/>
      <c r="BS1034" s="17"/>
      <c r="BT1034" s="17"/>
      <c r="BU1034" s="17"/>
      <c r="BV1034" s="17"/>
      <c r="BW1034" s="17"/>
      <c r="BX1034" s="17"/>
      <c r="BY1034" s="17"/>
      <c r="BZ1034" s="17"/>
      <c r="CA1034" s="17"/>
      <c r="CB1034" s="17"/>
      <c r="CC1034" s="17"/>
      <c r="CD1034" s="17"/>
    </row>
    <row r="1035" spans="3:82" ht="15.75" customHeight="1" x14ac:dyDescent="0.2">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c r="BF1035" s="17"/>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row>
    <row r="1036" spans="3:82" ht="15.75" customHeight="1" x14ac:dyDescent="0.2">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c r="BF1036" s="17"/>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row>
    <row r="1037" spans="3:82" ht="15.75" customHeight="1" x14ac:dyDescent="0.2">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c r="BD1037" s="17"/>
      <c r="BE1037" s="17"/>
      <c r="BF1037" s="17"/>
      <c r="BG1037" s="17"/>
      <c r="BH1037" s="17"/>
      <c r="BI1037" s="17"/>
      <c r="BJ1037" s="17"/>
      <c r="BK1037" s="17"/>
      <c r="BL1037" s="17"/>
      <c r="BM1037" s="17"/>
      <c r="BN1037" s="17"/>
      <c r="BO1037" s="17"/>
      <c r="BP1037" s="17"/>
      <c r="BQ1037" s="17"/>
      <c r="BR1037" s="17"/>
      <c r="BS1037" s="17"/>
      <c r="BT1037" s="17"/>
      <c r="BU1037" s="17"/>
      <c r="BV1037" s="17"/>
      <c r="BW1037" s="17"/>
      <c r="BX1037" s="17"/>
      <c r="BY1037" s="17"/>
      <c r="BZ1037" s="17"/>
      <c r="CA1037" s="17"/>
      <c r="CB1037" s="17"/>
      <c r="CC1037" s="17"/>
      <c r="CD1037" s="17"/>
    </row>
    <row r="1038" spans="3:82" ht="15.75" customHeight="1" x14ac:dyDescent="0.2">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c r="BF1038" s="17"/>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row>
    <row r="1039" spans="3:82" ht="15.75" customHeight="1" x14ac:dyDescent="0.2">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c r="BF1039" s="17"/>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row>
    <row r="1040" spans="3:82" ht="15.75" customHeight="1" x14ac:dyDescent="0.2">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c r="BF1040" s="17"/>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row>
    <row r="1041" spans="3:82" ht="15.75" customHeight="1" x14ac:dyDescent="0.2">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c r="BF1041" s="17"/>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row>
    <row r="1042" spans="3:82" ht="15.75" customHeight="1" x14ac:dyDescent="0.2">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c r="BF1042" s="17"/>
      <c r="BG1042" s="17"/>
      <c r="BH1042" s="17"/>
      <c r="BI1042" s="17"/>
      <c r="BJ1042" s="17"/>
      <c r="BK1042" s="17"/>
      <c r="BL1042" s="17"/>
      <c r="BM1042" s="17"/>
      <c r="BN1042" s="17"/>
      <c r="BO1042" s="17"/>
      <c r="BP1042" s="17"/>
      <c r="BQ1042" s="17"/>
      <c r="BR1042" s="17"/>
      <c r="BS1042" s="17"/>
      <c r="BT1042" s="17"/>
      <c r="BU1042" s="17"/>
      <c r="BV1042" s="17"/>
      <c r="BW1042" s="17"/>
      <c r="BX1042" s="17"/>
      <c r="BY1042" s="17"/>
      <c r="BZ1042" s="17"/>
      <c r="CA1042" s="17"/>
      <c r="CB1042" s="17"/>
      <c r="CC1042" s="17"/>
      <c r="CD1042" s="17"/>
    </row>
    <row r="1043" spans="3:82" ht="15.75" customHeight="1" x14ac:dyDescent="0.2">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c r="BF1043" s="17"/>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row>
    <row r="1044" spans="3:82" ht="15.75" customHeight="1" x14ac:dyDescent="0.2">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c r="BF1044" s="17"/>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row>
    <row r="1045" spans="3:82" ht="15.75" customHeight="1" x14ac:dyDescent="0.2">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c r="BF1045" s="17"/>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row>
    <row r="1046" spans="3:82" ht="15.75" customHeight="1" x14ac:dyDescent="0.2">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c r="BF1046" s="17"/>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row>
    <row r="1047" spans="3:82" ht="15.75" customHeight="1" x14ac:dyDescent="0.2">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c r="BF1047" s="17"/>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row>
  </sheetData>
  <phoneticPr fontId="9" type="noConversion"/>
  <hyperlinks>
    <hyperlink ref="F31" r:id="rId1" xr:uid="{00000000-0004-0000-0100-000000000000}"/>
    <hyperlink ref="F94" r:id="rId2" xr:uid="{00000000-0004-0000-0100-000001000000}"/>
    <hyperlink ref="F104" r:id="rId3" display="Poland's law on related to acquisiton by foreigners of real estate under Act on the Acquistition of real estate by foreigners of 24 March 1920" xr:uid="{00000000-0004-0000-0100-000002000000}"/>
  </hyperlinks>
  <pageMargins left="0.7" right="0.7" top="0.75" bottom="0.75" header="0" footer="0"/>
  <pageSetup orientation="landscape"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1101"/>
  <sheetViews>
    <sheetView workbookViewId="0">
      <pane ySplit="1" topLeftCell="A2" activePane="bottomLeft" state="frozen"/>
      <selection pane="bottomLeft" activeCell="F12" sqref="F12"/>
    </sheetView>
  </sheetViews>
  <sheetFormatPr baseColWidth="10" defaultColWidth="11.1640625" defaultRowHeight="15" customHeight="1" x14ac:dyDescent="0.2"/>
  <cols>
    <col min="1" max="3" width="14.5" customWidth="1"/>
    <col min="4" max="4" width="16.5" customWidth="1"/>
    <col min="5" max="5" width="14.5" customWidth="1"/>
    <col min="6" max="6" width="16.6640625" customWidth="1"/>
    <col min="7" max="7" width="14.5" customWidth="1"/>
    <col min="8" max="8" width="19.1640625" customWidth="1"/>
    <col min="9" max="9" width="74.1640625" customWidth="1"/>
    <col min="10" max="66" width="14.5" customWidth="1"/>
  </cols>
  <sheetData>
    <row r="1" spans="1:66" ht="15.75" customHeight="1" x14ac:dyDescent="0.2">
      <c r="A1" s="74" t="s">
        <v>3</v>
      </c>
      <c r="B1" s="74" t="s">
        <v>9</v>
      </c>
      <c r="C1" s="74" t="s">
        <v>411</v>
      </c>
      <c r="D1" s="74" t="s">
        <v>412</v>
      </c>
      <c r="E1" s="74" t="s">
        <v>413</v>
      </c>
      <c r="F1" s="74" t="s">
        <v>414</v>
      </c>
      <c r="G1" s="74" t="s">
        <v>415</v>
      </c>
      <c r="H1" s="74" t="s">
        <v>416</v>
      </c>
      <c r="I1" s="74" t="s">
        <v>417</v>
      </c>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row>
    <row r="2" spans="1:66" ht="15.75" customHeight="1" x14ac:dyDescent="0.2">
      <c r="A2" s="74" t="s">
        <v>50</v>
      </c>
      <c r="B2" s="74">
        <v>1975</v>
      </c>
      <c r="C2" s="74">
        <v>1</v>
      </c>
      <c r="D2" s="74"/>
      <c r="E2" s="74"/>
      <c r="F2" s="74">
        <v>1975</v>
      </c>
      <c r="G2" s="74"/>
      <c r="H2" s="74" t="s">
        <v>418</v>
      </c>
      <c r="I2" s="74" t="s">
        <v>419</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row>
    <row r="3" spans="1:66" ht="15.75" customHeight="1" x14ac:dyDescent="0.2">
      <c r="A3" s="74" t="s">
        <v>50</v>
      </c>
      <c r="B3" s="74">
        <v>2010</v>
      </c>
      <c r="C3" s="74"/>
      <c r="D3" s="74">
        <v>1</v>
      </c>
      <c r="E3" s="74"/>
      <c r="F3" s="74">
        <v>2010</v>
      </c>
      <c r="G3" s="74"/>
      <c r="H3" s="74" t="s">
        <v>420</v>
      </c>
      <c r="I3" s="75" t="s">
        <v>235</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row>
    <row r="4" spans="1:66" ht="15.75" customHeight="1" x14ac:dyDescent="0.2">
      <c r="A4" s="74" t="s">
        <v>50</v>
      </c>
      <c r="B4" s="74">
        <v>2015</v>
      </c>
      <c r="C4" s="74"/>
      <c r="D4" s="74">
        <v>1</v>
      </c>
      <c r="E4" s="74"/>
      <c r="F4" s="74">
        <v>2015</v>
      </c>
      <c r="G4" s="74"/>
      <c r="H4" s="74" t="s">
        <v>421</v>
      </c>
      <c r="I4" s="74" t="s">
        <v>236</v>
      </c>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row>
    <row r="5" spans="1:66" ht="15.75" customHeight="1" x14ac:dyDescent="0.2">
      <c r="A5" s="74" t="s">
        <v>50</v>
      </c>
      <c r="B5" s="74">
        <v>2015</v>
      </c>
      <c r="C5" s="74"/>
      <c r="D5" s="74">
        <v>1</v>
      </c>
      <c r="E5" s="74"/>
      <c r="F5" s="74">
        <v>2015</v>
      </c>
      <c r="G5" s="74"/>
      <c r="H5" s="74" t="s">
        <v>422</v>
      </c>
      <c r="I5" s="76" t="s">
        <v>238</v>
      </c>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c r="BM5" s="68"/>
      <c r="BN5" s="68"/>
    </row>
    <row r="6" spans="1:66" ht="15.75" customHeight="1" x14ac:dyDescent="0.2">
      <c r="A6" s="74" t="s">
        <v>50</v>
      </c>
      <c r="B6" s="74">
        <v>2017</v>
      </c>
      <c r="C6" s="74"/>
      <c r="D6" s="74">
        <v>1</v>
      </c>
      <c r="E6" s="74"/>
      <c r="F6" s="74">
        <v>2017</v>
      </c>
      <c r="G6" s="74"/>
      <c r="H6" s="74" t="s">
        <v>423</v>
      </c>
      <c r="I6" s="74" t="s">
        <v>424</v>
      </c>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row>
    <row r="7" spans="1:66" ht="15.75" customHeight="1" x14ac:dyDescent="0.2">
      <c r="A7" s="74" t="s">
        <v>50</v>
      </c>
      <c r="B7" s="74">
        <v>2017</v>
      </c>
      <c r="C7" s="74"/>
      <c r="D7" s="74">
        <v>1</v>
      </c>
      <c r="E7" s="74"/>
      <c r="F7" s="74">
        <v>2017</v>
      </c>
      <c r="G7" s="74"/>
      <c r="H7" s="74" t="s">
        <v>425</v>
      </c>
      <c r="I7" s="74" t="s">
        <v>426</v>
      </c>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8"/>
      <c r="BK7" s="68"/>
      <c r="BL7" s="68"/>
      <c r="BM7" s="68"/>
      <c r="BN7" s="68"/>
    </row>
    <row r="8" spans="1:66" ht="15.75" customHeight="1" x14ac:dyDescent="0.2">
      <c r="A8" s="74" t="s">
        <v>50</v>
      </c>
      <c r="B8" s="74">
        <v>2017</v>
      </c>
      <c r="C8" s="74">
        <v>1</v>
      </c>
      <c r="D8" s="74"/>
      <c r="E8" s="74"/>
      <c r="F8" s="74">
        <v>2017</v>
      </c>
      <c r="G8" s="74"/>
      <c r="H8" s="74" t="s">
        <v>427</v>
      </c>
      <c r="I8" s="74" t="s">
        <v>239</v>
      </c>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c r="BN8" s="68"/>
    </row>
    <row r="9" spans="1:66" ht="15.75" customHeight="1" x14ac:dyDescent="0.2">
      <c r="A9" s="74" t="s">
        <v>50</v>
      </c>
      <c r="B9" s="74">
        <v>2018</v>
      </c>
      <c r="C9" s="74">
        <v>1</v>
      </c>
      <c r="D9" s="74"/>
      <c r="E9" s="74"/>
      <c r="F9" s="74">
        <v>2018</v>
      </c>
      <c r="G9" s="74"/>
      <c r="H9" s="74" t="s">
        <v>428</v>
      </c>
      <c r="I9" s="74" t="s">
        <v>240</v>
      </c>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row>
    <row r="10" spans="1:66" ht="15.75" customHeight="1" x14ac:dyDescent="0.2">
      <c r="A10" s="74" t="s">
        <v>50</v>
      </c>
      <c r="B10" s="74">
        <v>2019</v>
      </c>
      <c r="C10" s="74"/>
      <c r="D10" s="74">
        <v>1</v>
      </c>
      <c r="E10" s="74"/>
      <c r="F10" s="74">
        <v>2019</v>
      </c>
      <c r="G10" s="74"/>
      <c r="H10" s="74" t="s">
        <v>429</v>
      </c>
      <c r="I10" s="74" t="s">
        <v>430</v>
      </c>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row>
    <row r="11" spans="1:66" ht="15.75" customHeight="1" x14ac:dyDescent="0.2">
      <c r="A11" s="74" t="s">
        <v>50</v>
      </c>
      <c r="B11" s="74">
        <v>2020</v>
      </c>
      <c r="C11" s="74"/>
      <c r="D11" s="74"/>
      <c r="E11" s="74"/>
      <c r="F11" s="74">
        <v>2020</v>
      </c>
      <c r="G11" s="74"/>
      <c r="H11" s="74" t="s">
        <v>423</v>
      </c>
      <c r="I11" s="74" t="s">
        <v>431</v>
      </c>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row>
    <row r="12" spans="1:66" ht="15.75" customHeight="1" x14ac:dyDescent="0.2">
      <c r="A12" s="74" t="s">
        <v>50</v>
      </c>
      <c r="B12" s="74">
        <v>2020</v>
      </c>
      <c r="C12" s="74"/>
      <c r="D12" s="74">
        <v>1</v>
      </c>
      <c r="E12" s="74"/>
      <c r="F12" s="74">
        <v>2020</v>
      </c>
      <c r="G12" s="74"/>
      <c r="H12" s="74" t="s">
        <v>432</v>
      </c>
      <c r="I12" s="77" t="s">
        <v>433</v>
      </c>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row>
    <row r="13" spans="1:66" ht="15.75" customHeight="1" x14ac:dyDescent="0.2">
      <c r="A13" s="74" t="s">
        <v>50</v>
      </c>
      <c r="B13" s="74">
        <v>2021</v>
      </c>
      <c r="C13" s="74"/>
      <c r="D13" s="74">
        <v>1</v>
      </c>
      <c r="E13" s="74"/>
      <c r="F13" s="74">
        <v>2021</v>
      </c>
      <c r="G13" s="74"/>
      <c r="H13" s="74" t="s">
        <v>434</v>
      </c>
      <c r="I13" s="78" t="s">
        <v>243</v>
      </c>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row>
    <row r="14" spans="1:66" ht="15.75" customHeight="1" x14ac:dyDescent="0.2">
      <c r="A14" s="74" t="s">
        <v>50</v>
      </c>
      <c r="B14" s="74">
        <v>2021</v>
      </c>
      <c r="C14" s="74">
        <v>1</v>
      </c>
      <c r="D14" s="74"/>
      <c r="E14" s="74"/>
      <c r="F14" s="74">
        <v>2021</v>
      </c>
      <c r="G14" s="74"/>
      <c r="H14" s="74" t="s">
        <v>435</v>
      </c>
      <c r="I14" s="78" t="s">
        <v>242</v>
      </c>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row>
    <row r="15" spans="1:66" ht="15.75" customHeight="1" x14ac:dyDescent="0.2">
      <c r="A15" s="74" t="s">
        <v>50</v>
      </c>
      <c r="B15" s="74">
        <v>2022</v>
      </c>
      <c r="C15" s="74"/>
      <c r="D15" s="74">
        <v>1</v>
      </c>
      <c r="E15" s="74"/>
      <c r="F15" s="74">
        <v>2022</v>
      </c>
      <c r="G15" s="74"/>
      <c r="H15" s="74" t="s">
        <v>436</v>
      </c>
      <c r="I15" s="79" t="s">
        <v>437</v>
      </c>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row>
    <row r="16" spans="1:66" ht="15.75" customHeight="1" x14ac:dyDescent="0.2">
      <c r="A16" s="74" t="s">
        <v>50</v>
      </c>
      <c r="B16" s="74">
        <v>2022</v>
      </c>
      <c r="C16" s="74"/>
      <c r="D16" s="74">
        <v>1</v>
      </c>
      <c r="E16" s="74"/>
      <c r="F16" s="74">
        <v>2022</v>
      </c>
      <c r="G16" s="74"/>
      <c r="H16" s="74" t="s">
        <v>438</v>
      </c>
      <c r="I16" s="78" t="s">
        <v>439</v>
      </c>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row>
    <row r="17" spans="1:66" ht="15.75" customHeight="1" x14ac:dyDescent="0.2">
      <c r="A17" s="74" t="s">
        <v>50</v>
      </c>
      <c r="B17" s="74">
        <v>2022</v>
      </c>
      <c r="C17" s="74"/>
      <c r="D17" s="74">
        <v>1</v>
      </c>
      <c r="E17" s="74"/>
      <c r="F17" s="74">
        <v>2022</v>
      </c>
      <c r="G17" s="74"/>
      <c r="H17" s="74" t="s">
        <v>440</v>
      </c>
      <c r="I17" s="78" t="s">
        <v>245</v>
      </c>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row>
    <row r="18" spans="1:66" ht="15.75" customHeight="1" x14ac:dyDescent="0.2">
      <c r="A18" s="74" t="s">
        <v>62</v>
      </c>
      <c r="B18" s="74">
        <v>2011</v>
      </c>
      <c r="C18" s="74">
        <v>1</v>
      </c>
      <c r="D18" s="74"/>
      <c r="E18" s="74"/>
      <c r="F18" s="74">
        <v>2011</v>
      </c>
      <c r="G18" s="74">
        <v>1</v>
      </c>
      <c r="H18" s="74" t="s">
        <v>418</v>
      </c>
      <c r="I18" s="74" t="s">
        <v>246</v>
      </c>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row>
    <row r="19" spans="1:66" ht="15.75" customHeight="1" x14ac:dyDescent="0.2">
      <c r="A19" s="74" t="s">
        <v>62</v>
      </c>
      <c r="B19" s="74">
        <v>2013</v>
      </c>
      <c r="C19" s="74"/>
      <c r="D19" s="74">
        <v>1</v>
      </c>
      <c r="E19" s="74"/>
      <c r="F19" s="74">
        <v>2013</v>
      </c>
      <c r="G19" s="74">
        <v>1</v>
      </c>
      <c r="H19" s="74" t="s">
        <v>441</v>
      </c>
      <c r="I19" s="75" t="s">
        <v>248</v>
      </c>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68"/>
    </row>
    <row r="20" spans="1:66" ht="15.75" customHeight="1" x14ac:dyDescent="0.2">
      <c r="A20" s="74" t="s">
        <v>62</v>
      </c>
      <c r="B20" s="74">
        <v>2020</v>
      </c>
      <c r="C20" s="74">
        <v>1</v>
      </c>
      <c r="D20" s="74"/>
      <c r="E20" s="74"/>
      <c r="F20" s="74">
        <v>2020</v>
      </c>
      <c r="G20" s="74"/>
      <c r="H20" s="74" t="s">
        <v>442</v>
      </c>
      <c r="I20" s="80" t="s">
        <v>443</v>
      </c>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row>
    <row r="21" spans="1:66" s="33" customFormat="1" ht="15.75" customHeight="1" x14ac:dyDescent="0.2">
      <c r="A21" s="81" t="s">
        <v>69</v>
      </c>
      <c r="B21" s="81">
        <v>2022</v>
      </c>
      <c r="C21" s="81">
        <v>1</v>
      </c>
      <c r="D21" s="81"/>
      <c r="E21" s="81"/>
      <c r="F21" s="81">
        <v>2023</v>
      </c>
      <c r="G21" s="81"/>
      <c r="H21" s="81" t="s">
        <v>444</v>
      </c>
      <c r="I21" s="81" t="s">
        <v>252</v>
      </c>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row>
    <row r="22" spans="1:66" ht="15.75" customHeight="1" x14ac:dyDescent="0.2">
      <c r="A22" s="74" t="s">
        <v>85</v>
      </c>
      <c r="B22" s="74">
        <v>1985</v>
      </c>
      <c r="C22" s="74">
        <v>1</v>
      </c>
      <c r="D22" s="74"/>
      <c r="E22" s="74"/>
      <c r="F22" s="74">
        <v>1985</v>
      </c>
      <c r="G22" s="74"/>
      <c r="H22" s="74" t="s">
        <v>445</v>
      </c>
      <c r="I22" s="74" t="s">
        <v>446</v>
      </c>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row>
    <row r="23" spans="1:66" ht="15.75" customHeight="1" x14ac:dyDescent="0.2">
      <c r="A23" s="74" t="s">
        <v>85</v>
      </c>
      <c r="B23" s="74">
        <v>1991</v>
      </c>
      <c r="C23" s="74">
        <v>2</v>
      </c>
      <c r="D23" s="83"/>
      <c r="E23" s="74"/>
      <c r="F23" s="74">
        <v>1991</v>
      </c>
      <c r="G23" s="74"/>
      <c r="H23" s="74" t="s">
        <v>447</v>
      </c>
      <c r="I23" s="76" t="s">
        <v>256</v>
      </c>
      <c r="J23" s="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row>
    <row r="24" spans="1:66" ht="15.75" customHeight="1" x14ac:dyDescent="0.2">
      <c r="A24" s="74" t="s">
        <v>85</v>
      </c>
      <c r="B24" s="74">
        <v>1993</v>
      </c>
      <c r="C24" s="74">
        <v>1</v>
      </c>
      <c r="D24" s="83"/>
      <c r="E24" s="74"/>
      <c r="F24" s="74">
        <v>1993</v>
      </c>
      <c r="G24" s="74"/>
      <c r="H24" s="74" t="s">
        <v>448</v>
      </c>
      <c r="I24" s="74" t="s">
        <v>258</v>
      </c>
      <c r="J24" s="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row>
    <row r="25" spans="1:66" ht="15.75" customHeight="1" x14ac:dyDescent="0.2">
      <c r="A25" s="74" t="s">
        <v>85</v>
      </c>
      <c r="B25" s="74">
        <v>1996</v>
      </c>
      <c r="C25" s="74">
        <v>1</v>
      </c>
      <c r="D25" s="83"/>
      <c r="E25" s="74"/>
      <c r="F25" s="74">
        <v>1996</v>
      </c>
      <c r="G25" s="74"/>
      <c r="H25" s="74" t="s">
        <v>449</v>
      </c>
      <c r="I25" s="74" t="s">
        <v>260</v>
      </c>
      <c r="J25" s="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row>
    <row r="26" spans="1:66" ht="15.75" customHeight="1" x14ac:dyDescent="0.2">
      <c r="A26" s="74" t="s">
        <v>85</v>
      </c>
      <c r="B26" s="74">
        <v>2009</v>
      </c>
      <c r="C26" s="74"/>
      <c r="D26" s="83">
        <v>1</v>
      </c>
      <c r="E26" s="74"/>
      <c r="F26" s="74">
        <v>2009</v>
      </c>
      <c r="G26" s="74"/>
      <c r="H26" s="74" t="s">
        <v>418</v>
      </c>
      <c r="I26" s="74" t="s">
        <v>263</v>
      </c>
      <c r="J26" s="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row>
    <row r="27" spans="1:66" ht="15.75" customHeight="1" x14ac:dyDescent="0.2">
      <c r="A27" s="74" t="s">
        <v>450</v>
      </c>
      <c r="B27" s="74">
        <v>2015</v>
      </c>
      <c r="C27" s="74"/>
      <c r="D27" s="74">
        <v>1</v>
      </c>
      <c r="E27" s="74"/>
      <c r="F27" s="74">
        <v>2015</v>
      </c>
      <c r="G27" s="74"/>
      <c r="H27" s="74" t="s">
        <v>441</v>
      </c>
      <c r="I27" s="80" t="s">
        <v>451</v>
      </c>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68"/>
      <c r="BK27" s="68"/>
      <c r="BL27" s="68"/>
      <c r="BM27" s="68"/>
      <c r="BN27" s="68"/>
    </row>
    <row r="28" spans="1:66" ht="15.75" customHeight="1" x14ac:dyDescent="0.2">
      <c r="A28" s="74" t="s">
        <v>450</v>
      </c>
      <c r="B28" s="74">
        <v>2020</v>
      </c>
      <c r="C28" s="74"/>
      <c r="D28" s="74">
        <v>1</v>
      </c>
      <c r="E28" s="74"/>
      <c r="F28" s="74">
        <v>2020</v>
      </c>
      <c r="G28" s="74"/>
      <c r="H28" s="74" t="s">
        <v>452</v>
      </c>
      <c r="I28" s="74" t="s">
        <v>264</v>
      </c>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row>
    <row r="29" spans="1:66" ht="15.75" customHeight="1" x14ac:dyDescent="0.2">
      <c r="A29" s="74" t="s">
        <v>85</v>
      </c>
      <c r="B29" s="74">
        <v>2020</v>
      </c>
      <c r="C29" s="74">
        <v>1</v>
      </c>
      <c r="D29" s="74"/>
      <c r="E29" s="74"/>
      <c r="F29" s="74">
        <v>2020</v>
      </c>
      <c r="G29" s="74"/>
      <c r="H29" s="74" t="s">
        <v>453</v>
      </c>
      <c r="I29" s="74" t="s">
        <v>265</v>
      </c>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row>
    <row r="30" spans="1:66" ht="15.75" customHeight="1" x14ac:dyDescent="0.2">
      <c r="A30" s="74" t="s">
        <v>85</v>
      </c>
      <c r="B30" s="74">
        <v>2021</v>
      </c>
      <c r="C30" s="74">
        <v>1</v>
      </c>
      <c r="D30" s="74">
        <v>1</v>
      </c>
      <c r="E30" s="74"/>
      <c r="F30" s="74">
        <v>2021</v>
      </c>
      <c r="G30" s="74"/>
      <c r="H30" s="74" t="s">
        <v>454</v>
      </c>
      <c r="I30" s="74" t="s">
        <v>266</v>
      </c>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68"/>
      <c r="BK30" s="68"/>
      <c r="BL30" s="68"/>
      <c r="BM30" s="68"/>
      <c r="BN30" s="68"/>
    </row>
    <row r="31" spans="1:66" ht="15.75" customHeight="1" x14ac:dyDescent="0.2">
      <c r="A31" s="74" t="s">
        <v>450</v>
      </c>
      <c r="B31" s="74">
        <v>2022</v>
      </c>
      <c r="C31" s="74"/>
      <c r="D31" s="74">
        <v>1</v>
      </c>
      <c r="E31" s="74"/>
      <c r="F31" s="74">
        <v>2022</v>
      </c>
      <c r="G31" s="74"/>
      <c r="H31" s="74" t="s">
        <v>455</v>
      </c>
      <c r="I31" s="84" t="s">
        <v>264</v>
      </c>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row>
    <row r="32" spans="1:66" s="33" customFormat="1" ht="15.75" customHeight="1" x14ac:dyDescent="0.2">
      <c r="A32" s="81" t="s">
        <v>450</v>
      </c>
      <c r="B32" s="81">
        <v>2022</v>
      </c>
      <c r="C32" s="81">
        <v>1</v>
      </c>
      <c r="D32" s="81"/>
      <c r="E32" s="81"/>
      <c r="F32" s="81">
        <v>2023</v>
      </c>
      <c r="G32" s="81"/>
      <c r="H32" s="81" t="s">
        <v>456</v>
      </c>
      <c r="I32" s="85" t="s">
        <v>267</v>
      </c>
      <c r="J32" s="82"/>
      <c r="K32" s="82"/>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row>
    <row r="33" spans="1:66" ht="15.75" customHeight="1" x14ac:dyDescent="0.2">
      <c r="A33" s="74" t="s">
        <v>100</v>
      </c>
      <c r="B33" s="74">
        <v>2021</v>
      </c>
      <c r="C33" s="74">
        <v>1</v>
      </c>
      <c r="D33" s="74"/>
      <c r="E33" s="74"/>
      <c r="F33" s="74">
        <v>2021</v>
      </c>
      <c r="G33" s="74"/>
      <c r="H33" s="74" t="s">
        <v>418</v>
      </c>
      <c r="I33" s="86" t="s">
        <v>457</v>
      </c>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row>
    <row r="34" spans="1:66" ht="15.75" customHeight="1" x14ac:dyDescent="0.2">
      <c r="A34" s="74" t="s">
        <v>103</v>
      </c>
      <c r="B34" s="74">
        <v>1937</v>
      </c>
      <c r="C34" s="74">
        <v>1</v>
      </c>
      <c r="D34" s="74"/>
      <c r="E34" s="74"/>
      <c r="F34" s="74">
        <v>1937</v>
      </c>
      <c r="G34" s="74"/>
      <c r="H34" s="74" t="s">
        <v>458</v>
      </c>
      <c r="I34" s="74" t="s">
        <v>270</v>
      </c>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row>
    <row r="35" spans="1:66" ht="15.75" customHeight="1" x14ac:dyDescent="0.2">
      <c r="A35" s="74" t="s">
        <v>103</v>
      </c>
      <c r="B35" s="74">
        <v>1990</v>
      </c>
      <c r="C35" s="74">
        <v>1</v>
      </c>
      <c r="D35" s="74"/>
      <c r="E35" s="74"/>
      <c r="F35" s="74">
        <v>1990</v>
      </c>
      <c r="G35" s="74"/>
      <c r="H35" s="74" t="s">
        <v>459</v>
      </c>
      <c r="I35" s="75" t="s">
        <v>460</v>
      </c>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row>
    <row r="36" spans="1:66" ht="15.75" customHeight="1" x14ac:dyDescent="0.2">
      <c r="A36" s="74" t="s">
        <v>103</v>
      </c>
      <c r="B36" s="74">
        <v>2012</v>
      </c>
      <c r="C36" s="74">
        <v>1</v>
      </c>
      <c r="D36" s="74"/>
      <c r="E36" s="74"/>
      <c r="F36" s="74">
        <v>2012</v>
      </c>
      <c r="G36" s="74"/>
      <c r="H36" s="74" t="s">
        <v>461</v>
      </c>
      <c r="I36" s="86" t="s">
        <v>462</v>
      </c>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row>
    <row r="37" spans="1:66" ht="15.75" customHeight="1" x14ac:dyDescent="0.2">
      <c r="A37" s="74" t="s">
        <v>103</v>
      </c>
      <c r="B37" s="74">
        <v>2021</v>
      </c>
      <c r="C37" s="74">
        <v>1</v>
      </c>
      <c r="D37" s="74"/>
      <c r="E37" s="74"/>
      <c r="F37" s="74">
        <v>2021</v>
      </c>
      <c r="G37" s="74"/>
      <c r="H37" s="74" t="s">
        <v>463</v>
      </c>
      <c r="I37" s="87" t="s">
        <v>464</v>
      </c>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row>
    <row r="38" spans="1:66" s="33" customFormat="1" ht="15.75" customHeight="1" x14ac:dyDescent="0.2">
      <c r="A38" s="81" t="s">
        <v>103</v>
      </c>
      <c r="B38" s="81">
        <v>2023</v>
      </c>
      <c r="C38" s="81"/>
      <c r="D38" s="81">
        <v>1</v>
      </c>
      <c r="E38" s="81"/>
      <c r="F38" s="81">
        <v>2023</v>
      </c>
      <c r="G38" s="81"/>
      <c r="H38" s="81" t="s">
        <v>465</v>
      </c>
      <c r="I38" s="88" t="s">
        <v>464</v>
      </c>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row>
    <row r="39" spans="1:66" ht="15.75" customHeight="1" x14ac:dyDescent="0.2">
      <c r="A39" s="74" t="s">
        <v>107</v>
      </c>
      <c r="B39" s="74">
        <v>2012</v>
      </c>
      <c r="C39" s="74">
        <v>1</v>
      </c>
      <c r="D39" s="74"/>
      <c r="E39" s="74"/>
      <c r="F39" s="74">
        <v>2012</v>
      </c>
      <c r="G39" s="74"/>
      <c r="H39" s="74" t="s">
        <v>466</v>
      </c>
      <c r="I39" s="69" t="s">
        <v>276</v>
      </c>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row>
    <row r="40" spans="1:66" ht="15.75" customHeight="1" x14ac:dyDescent="0.2">
      <c r="A40" s="74" t="s">
        <v>107</v>
      </c>
      <c r="B40" s="74">
        <v>2022</v>
      </c>
      <c r="C40" s="74">
        <v>1</v>
      </c>
      <c r="D40" s="74"/>
      <c r="E40" s="74"/>
      <c r="F40" s="81">
        <v>2023</v>
      </c>
      <c r="G40" s="74"/>
      <c r="H40" s="74"/>
      <c r="I40" s="3" t="s">
        <v>277</v>
      </c>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row>
    <row r="41" spans="1:66" ht="15.75" customHeight="1" x14ac:dyDescent="0.2">
      <c r="A41" s="74" t="s">
        <v>111</v>
      </c>
      <c r="B41" s="74">
        <v>1939</v>
      </c>
      <c r="C41" s="74">
        <v>1</v>
      </c>
      <c r="D41" s="74"/>
      <c r="E41" s="74"/>
      <c r="F41" s="74">
        <v>1939</v>
      </c>
      <c r="G41" s="74"/>
      <c r="H41" s="74" t="s">
        <v>467</v>
      </c>
      <c r="I41" s="78" t="s">
        <v>279</v>
      </c>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row>
    <row r="42" spans="1:66" ht="15.75" customHeight="1" x14ac:dyDescent="0.2">
      <c r="A42" s="74" t="s">
        <v>111</v>
      </c>
      <c r="B42" s="74">
        <v>1939</v>
      </c>
      <c r="C42" s="74">
        <v>1</v>
      </c>
      <c r="D42" s="74"/>
      <c r="E42" s="74"/>
      <c r="F42" s="74">
        <v>1939</v>
      </c>
      <c r="G42" s="74"/>
      <c r="H42" s="74" t="s">
        <v>468</v>
      </c>
      <c r="I42" s="78" t="s">
        <v>281</v>
      </c>
      <c r="J42" s="68"/>
      <c r="K42" s="68"/>
      <c r="L42" s="68"/>
      <c r="M42" s="68"/>
      <c r="N42" s="68"/>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row>
    <row r="43" spans="1:66" ht="15.75" customHeight="1" x14ac:dyDescent="0.2">
      <c r="A43" s="74" t="s">
        <v>111</v>
      </c>
      <c r="B43" s="74">
        <v>1942</v>
      </c>
      <c r="C43" s="74">
        <v>1</v>
      </c>
      <c r="D43" s="74"/>
      <c r="E43" s="74"/>
      <c r="F43" s="74">
        <v>1942</v>
      </c>
      <c r="G43" s="74"/>
      <c r="H43" s="74" t="s">
        <v>468</v>
      </c>
      <c r="I43" s="78" t="s">
        <v>283</v>
      </c>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row>
    <row r="44" spans="1:66" ht="15.75" customHeight="1" x14ac:dyDescent="0.2">
      <c r="A44" s="74" t="s">
        <v>111</v>
      </c>
      <c r="B44" s="74">
        <v>1993</v>
      </c>
      <c r="C44" s="74">
        <v>1</v>
      </c>
      <c r="D44" s="74">
        <v>1</v>
      </c>
      <c r="E44" s="74"/>
      <c r="F44" s="74">
        <v>1992</v>
      </c>
      <c r="G44" s="74">
        <v>1</v>
      </c>
      <c r="H44" s="74" t="s">
        <v>469</v>
      </c>
      <c r="I44" s="80" t="s">
        <v>470</v>
      </c>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row>
    <row r="45" spans="1:66" ht="15.75" customHeight="1" x14ac:dyDescent="0.2">
      <c r="A45" s="74" t="s">
        <v>471</v>
      </c>
      <c r="B45" s="74">
        <v>2012</v>
      </c>
      <c r="C45" s="74">
        <v>1</v>
      </c>
      <c r="D45" s="74"/>
      <c r="E45" s="74"/>
      <c r="F45" s="74">
        <v>2012</v>
      </c>
      <c r="G45" s="74"/>
      <c r="H45" s="74" t="s">
        <v>472</v>
      </c>
      <c r="I45" s="80" t="s">
        <v>287</v>
      </c>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row>
    <row r="46" spans="1:66" ht="15.75" customHeight="1" x14ac:dyDescent="0.2">
      <c r="A46" s="74" t="s">
        <v>111</v>
      </c>
      <c r="B46" s="74">
        <v>2019</v>
      </c>
      <c r="C46" s="74">
        <v>1</v>
      </c>
      <c r="D46" s="74"/>
      <c r="E46" s="74"/>
      <c r="F46" s="74">
        <v>2020</v>
      </c>
      <c r="G46" s="74"/>
      <c r="H46" s="74" t="s">
        <v>473</v>
      </c>
      <c r="I46" s="80" t="s">
        <v>289</v>
      </c>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row>
    <row r="47" spans="1:66" ht="15.75" customHeight="1" x14ac:dyDescent="0.2">
      <c r="A47" s="74" t="s">
        <v>111</v>
      </c>
      <c r="B47" s="74">
        <v>2020</v>
      </c>
      <c r="C47" s="74"/>
      <c r="D47" s="74">
        <v>1</v>
      </c>
      <c r="E47" s="74"/>
      <c r="F47" s="74">
        <v>2020</v>
      </c>
      <c r="G47" s="74"/>
      <c r="H47" s="74" t="s">
        <v>474</v>
      </c>
      <c r="I47" s="78" t="s">
        <v>290</v>
      </c>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68"/>
      <c r="BK47" s="68"/>
      <c r="BL47" s="68"/>
      <c r="BM47" s="68"/>
      <c r="BN47" s="68"/>
    </row>
    <row r="48" spans="1:66" ht="15.75" customHeight="1" x14ac:dyDescent="0.2">
      <c r="A48" s="74" t="s">
        <v>115</v>
      </c>
      <c r="B48" s="74">
        <v>2004</v>
      </c>
      <c r="C48" s="74"/>
      <c r="D48" s="74">
        <v>1</v>
      </c>
      <c r="E48" s="74"/>
      <c r="F48" s="74">
        <v>2005</v>
      </c>
      <c r="G48" s="74"/>
      <c r="H48" s="74" t="s">
        <v>475</v>
      </c>
      <c r="I48" s="74" t="s">
        <v>294</v>
      </c>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68"/>
      <c r="BK48" s="68"/>
      <c r="BL48" s="68"/>
      <c r="BM48" s="68"/>
      <c r="BN48" s="68"/>
    </row>
    <row r="49" spans="1:66" ht="15.75" customHeight="1" x14ac:dyDescent="0.2">
      <c r="A49" s="74" t="s">
        <v>115</v>
      </c>
      <c r="B49" s="74">
        <v>2012</v>
      </c>
      <c r="C49" s="74"/>
      <c r="D49" s="74">
        <v>1</v>
      </c>
      <c r="E49" s="74"/>
      <c r="F49" s="74">
        <v>2012</v>
      </c>
      <c r="G49" s="74"/>
      <c r="H49" s="74" t="s">
        <v>476</v>
      </c>
      <c r="I49" s="3" t="s">
        <v>477</v>
      </c>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8"/>
      <c r="BH49" s="68"/>
      <c r="BI49" s="68"/>
      <c r="BJ49" s="68"/>
      <c r="BK49" s="68"/>
      <c r="BL49" s="68"/>
      <c r="BM49" s="68"/>
      <c r="BN49" s="68"/>
    </row>
    <row r="50" spans="1:66" ht="15.75" customHeight="1" x14ac:dyDescent="0.2">
      <c r="A50" s="74" t="s">
        <v>115</v>
      </c>
      <c r="B50" s="74">
        <v>2014</v>
      </c>
      <c r="C50" s="74"/>
      <c r="D50" s="74">
        <v>1</v>
      </c>
      <c r="E50" s="74"/>
      <c r="F50" s="74">
        <v>2014</v>
      </c>
      <c r="G50" s="74"/>
      <c r="H50" s="74" t="s">
        <v>475</v>
      </c>
      <c r="I50" s="74" t="s">
        <v>294</v>
      </c>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68"/>
      <c r="BK50" s="68"/>
      <c r="BL50" s="68"/>
      <c r="BM50" s="68"/>
      <c r="BN50" s="68"/>
    </row>
    <row r="51" spans="1:66" ht="15.75" customHeight="1" x14ac:dyDescent="0.2">
      <c r="A51" s="74" t="s">
        <v>115</v>
      </c>
      <c r="B51" s="74">
        <v>2019</v>
      </c>
      <c r="C51" s="74"/>
      <c r="D51" s="74">
        <v>1</v>
      </c>
      <c r="E51" s="74"/>
      <c r="F51" s="74">
        <v>2019</v>
      </c>
      <c r="G51" s="74"/>
      <c r="H51" s="74" t="s">
        <v>475</v>
      </c>
      <c r="I51" s="74" t="s">
        <v>294</v>
      </c>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row>
    <row r="52" spans="1:66" ht="15.75" customHeight="1" x14ac:dyDescent="0.2">
      <c r="A52" s="74" t="s">
        <v>115</v>
      </c>
      <c r="B52" s="74">
        <v>2020</v>
      </c>
      <c r="C52" s="74"/>
      <c r="D52" s="74">
        <v>1</v>
      </c>
      <c r="E52" s="74"/>
      <c r="F52" s="74">
        <v>2020</v>
      </c>
      <c r="G52" s="74"/>
      <c r="H52" s="74" t="s">
        <v>478</v>
      </c>
      <c r="I52" s="3" t="s">
        <v>296</v>
      </c>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row>
    <row r="53" spans="1:66" ht="15.75" customHeight="1" x14ac:dyDescent="0.2">
      <c r="A53" s="74" t="s">
        <v>115</v>
      </c>
      <c r="B53" s="74">
        <v>2020</v>
      </c>
      <c r="C53" s="74">
        <v>1</v>
      </c>
      <c r="D53" s="74"/>
      <c r="E53" s="74"/>
      <c r="F53" s="74">
        <v>2020</v>
      </c>
      <c r="G53" s="74"/>
      <c r="H53" s="74" t="s">
        <v>479</v>
      </c>
      <c r="I53" s="3" t="s">
        <v>297</v>
      </c>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row>
    <row r="54" spans="1:66" ht="15.75" customHeight="1" x14ac:dyDescent="0.2">
      <c r="A54" s="74" t="s">
        <v>115</v>
      </c>
      <c r="B54" s="74">
        <v>2021</v>
      </c>
      <c r="C54" s="74">
        <v>1</v>
      </c>
      <c r="D54" s="74"/>
      <c r="E54" s="74"/>
      <c r="F54" s="74">
        <v>2022</v>
      </c>
      <c r="G54" s="74"/>
      <c r="H54" s="74" t="s">
        <v>480</v>
      </c>
      <c r="I54" s="78" t="s">
        <v>298</v>
      </c>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row>
    <row r="55" spans="1:66" ht="15.75" customHeight="1" x14ac:dyDescent="0.2">
      <c r="A55" s="74" t="s">
        <v>115</v>
      </c>
      <c r="B55" s="74">
        <v>2022</v>
      </c>
      <c r="C55" s="74"/>
      <c r="D55" s="74"/>
      <c r="E55" s="74"/>
      <c r="F55" s="74">
        <v>2022</v>
      </c>
      <c r="G55" s="74"/>
      <c r="H55" s="74" t="s">
        <v>481</v>
      </c>
      <c r="I55" s="78" t="s">
        <v>299</v>
      </c>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row>
    <row r="56" spans="1:66" ht="15.75" customHeight="1" x14ac:dyDescent="0.2">
      <c r="A56" s="74" t="s">
        <v>115</v>
      </c>
      <c r="B56" s="74">
        <v>2022</v>
      </c>
      <c r="C56" s="74"/>
      <c r="D56" s="74"/>
      <c r="E56" s="74"/>
      <c r="F56" s="74">
        <v>2022</v>
      </c>
      <c r="G56" s="74"/>
      <c r="H56" s="74" t="s">
        <v>482</v>
      </c>
      <c r="I56" s="78" t="s">
        <v>300</v>
      </c>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row>
    <row r="57" spans="1:66" ht="15.75" customHeight="1" x14ac:dyDescent="0.2">
      <c r="A57" s="74" t="s">
        <v>115</v>
      </c>
      <c r="B57" s="74">
        <v>2022</v>
      </c>
      <c r="C57" s="74"/>
      <c r="D57" s="74">
        <v>1</v>
      </c>
      <c r="E57" s="74"/>
      <c r="F57" s="81">
        <v>2023</v>
      </c>
      <c r="G57" s="74"/>
      <c r="H57" s="74" t="s">
        <v>482</v>
      </c>
      <c r="I57" s="78" t="s">
        <v>300</v>
      </c>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row>
    <row r="58" spans="1:66" ht="15.75" customHeight="1" x14ac:dyDescent="0.2">
      <c r="A58" s="81" t="s">
        <v>115</v>
      </c>
      <c r="B58" s="81">
        <v>2023</v>
      </c>
      <c r="C58" s="81"/>
      <c r="D58" s="81">
        <v>1</v>
      </c>
      <c r="E58" s="81"/>
      <c r="F58" s="74">
        <v>2024</v>
      </c>
      <c r="G58" s="81"/>
      <c r="H58" s="81" t="s">
        <v>483</v>
      </c>
      <c r="I58" s="89" t="s">
        <v>302</v>
      </c>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row>
    <row r="59" spans="1:66" ht="15.75" customHeight="1" x14ac:dyDescent="0.2">
      <c r="A59" s="81" t="s">
        <v>115</v>
      </c>
      <c r="B59" s="81">
        <v>2023</v>
      </c>
      <c r="C59" s="81"/>
      <c r="D59" s="81">
        <v>1</v>
      </c>
      <c r="E59" s="81"/>
      <c r="F59" s="74">
        <v>2024</v>
      </c>
      <c r="G59" s="81"/>
      <c r="H59" s="81" t="s">
        <v>484</v>
      </c>
      <c r="I59" s="89" t="s">
        <v>485</v>
      </c>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row>
    <row r="60" spans="1:66" ht="15.75" customHeight="1" x14ac:dyDescent="0.2">
      <c r="A60" s="74" t="s">
        <v>122</v>
      </c>
      <c r="B60" s="74">
        <v>2004</v>
      </c>
      <c r="C60" s="74">
        <v>1</v>
      </c>
      <c r="D60" s="74"/>
      <c r="E60" s="74"/>
      <c r="F60" s="74">
        <v>2004</v>
      </c>
      <c r="G60" s="74"/>
      <c r="H60" s="74" t="s">
        <v>486</v>
      </c>
      <c r="I60" s="78" t="s">
        <v>304</v>
      </c>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row>
    <row r="61" spans="1:66" ht="15.75" customHeight="1" x14ac:dyDescent="0.2">
      <c r="A61" s="74" t="s">
        <v>122</v>
      </c>
      <c r="B61" s="74">
        <v>2007</v>
      </c>
      <c r="C61" s="74">
        <v>1</v>
      </c>
      <c r="D61" s="74"/>
      <c r="E61" s="74"/>
      <c r="F61" s="74">
        <v>2007</v>
      </c>
      <c r="G61" s="74"/>
      <c r="H61" s="74" t="s">
        <v>487</v>
      </c>
      <c r="I61" s="78" t="s">
        <v>305</v>
      </c>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row>
    <row r="62" spans="1:66" ht="15.75" customHeight="1" x14ac:dyDescent="0.2">
      <c r="A62" s="74" t="s">
        <v>122</v>
      </c>
      <c r="B62" s="74">
        <v>2009</v>
      </c>
      <c r="C62" s="74">
        <v>1</v>
      </c>
      <c r="D62" s="74"/>
      <c r="E62" s="74"/>
      <c r="F62" s="74">
        <v>2009</v>
      </c>
      <c r="G62" s="74"/>
      <c r="H62" s="74" t="s">
        <v>488</v>
      </c>
      <c r="I62" s="74" t="s">
        <v>304</v>
      </c>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row>
    <row r="63" spans="1:66" ht="15.75" customHeight="1" x14ac:dyDescent="0.2">
      <c r="A63" s="74" t="s">
        <v>122</v>
      </c>
      <c r="B63" s="74">
        <v>2013</v>
      </c>
      <c r="C63" s="74">
        <v>1</v>
      </c>
      <c r="D63" s="74" t="s">
        <v>489</v>
      </c>
      <c r="E63" s="74"/>
      <c r="F63" s="74">
        <v>2013</v>
      </c>
      <c r="G63" s="74"/>
      <c r="H63" s="74" t="s">
        <v>490</v>
      </c>
      <c r="I63" s="74" t="s">
        <v>491</v>
      </c>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c r="BL63" s="68"/>
      <c r="BM63" s="68"/>
      <c r="BN63" s="68"/>
    </row>
    <row r="64" spans="1:66" ht="15.75" customHeight="1" x14ac:dyDescent="0.2">
      <c r="A64" s="74" t="s">
        <v>122</v>
      </c>
      <c r="B64" s="74">
        <v>2017</v>
      </c>
      <c r="C64" s="74"/>
      <c r="D64" s="74">
        <v>1</v>
      </c>
      <c r="E64" s="74"/>
      <c r="F64" s="74">
        <v>2017</v>
      </c>
      <c r="G64" s="74"/>
      <c r="H64" s="74" t="s">
        <v>492</v>
      </c>
      <c r="I64" s="74" t="s">
        <v>493</v>
      </c>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row>
    <row r="65" spans="1:66" ht="15.75" customHeight="1" x14ac:dyDescent="0.2">
      <c r="A65" s="74" t="s">
        <v>122</v>
      </c>
      <c r="B65" s="74">
        <v>2018</v>
      </c>
      <c r="C65" s="74"/>
      <c r="D65" s="74">
        <v>1</v>
      </c>
      <c r="E65" s="74"/>
      <c r="F65" s="74">
        <v>2018</v>
      </c>
      <c r="G65" s="74"/>
      <c r="H65" s="74" t="s">
        <v>492</v>
      </c>
      <c r="I65" s="74" t="s">
        <v>493</v>
      </c>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row>
    <row r="66" spans="1:66" ht="15.75" customHeight="1" x14ac:dyDescent="0.2">
      <c r="A66" s="74" t="s">
        <v>122</v>
      </c>
      <c r="B66" s="74">
        <v>2020</v>
      </c>
      <c r="C66" s="74" t="s">
        <v>489</v>
      </c>
      <c r="D66" s="74">
        <v>1</v>
      </c>
      <c r="E66" s="74"/>
      <c r="F66" s="74">
        <v>2020</v>
      </c>
      <c r="G66" s="74"/>
      <c r="H66" s="74" t="s">
        <v>492</v>
      </c>
      <c r="I66" s="74" t="s">
        <v>309</v>
      </c>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row>
    <row r="67" spans="1:66" ht="15.75" customHeight="1" x14ac:dyDescent="0.2">
      <c r="A67" s="74" t="s">
        <v>126</v>
      </c>
      <c r="B67" s="74">
        <v>1990</v>
      </c>
      <c r="C67" s="74">
        <v>1</v>
      </c>
      <c r="D67" s="74"/>
      <c r="E67" s="74"/>
      <c r="F67" s="74">
        <v>1990</v>
      </c>
      <c r="G67" s="74"/>
      <c r="H67" s="74" t="s">
        <v>494</v>
      </c>
      <c r="I67" s="74" t="s">
        <v>495</v>
      </c>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row>
    <row r="68" spans="1:66" ht="15.75" customHeight="1" x14ac:dyDescent="0.2">
      <c r="A68" s="74" t="s">
        <v>126</v>
      </c>
      <c r="B68" s="74">
        <v>2011</v>
      </c>
      <c r="C68" s="74">
        <v>1</v>
      </c>
      <c r="D68" s="74"/>
      <c r="E68" s="74"/>
      <c r="F68" s="74">
        <v>2011</v>
      </c>
      <c r="G68" s="74"/>
      <c r="H68" s="74" t="s">
        <v>496</v>
      </c>
      <c r="I68" s="74" t="s">
        <v>497</v>
      </c>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row>
    <row r="69" spans="1:66" ht="15.75" customHeight="1" x14ac:dyDescent="0.2">
      <c r="A69" s="74" t="s">
        <v>126</v>
      </c>
      <c r="B69" s="74">
        <v>2020</v>
      </c>
      <c r="C69" s="74">
        <v>1</v>
      </c>
      <c r="D69" s="74"/>
      <c r="E69" s="74"/>
      <c r="F69" s="74">
        <v>2021</v>
      </c>
      <c r="G69" s="74"/>
      <c r="H69" s="74" t="s">
        <v>498</v>
      </c>
      <c r="I69" s="74" t="s">
        <v>499</v>
      </c>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row>
    <row r="70" spans="1:66" ht="15.75" customHeight="1" x14ac:dyDescent="0.2">
      <c r="A70" s="74" t="s">
        <v>500</v>
      </c>
      <c r="B70" s="74">
        <v>2018</v>
      </c>
      <c r="C70" s="74">
        <v>1</v>
      </c>
      <c r="D70" s="74">
        <v>1</v>
      </c>
      <c r="E70" s="74"/>
      <c r="F70" s="74">
        <v>2018</v>
      </c>
      <c r="G70" s="74"/>
      <c r="H70" s="74" t="s">
        <v>418</v>
      </c>
      <c r="I70" s="74" t="s">
        <v>501</v>
      </c>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row>
    <row r="71" spans="1:66" ht="15.75" customHeight="1" x14ac:dyDescent="0.2">
      <c r="A71" s="74" t="s">
        <v>500</v>
      </c>
      <c r="B71" s="74">
        <v>2020</v>
      </c>
      <c r="C71" s="74"/>
      <c r="D71" s="74">
        <v>1</v>
      </c>
      <c r="E71" s="74"/>
      <c r="F71" s="74">
        <v>2020</v>
      </c>
      <c r="G71" s="74"/>
      <c r="H71" s="74" t="s">
        <v>502</v>
      </c>
      <c r="I71" s="74" t="s">
        <v>503</v>
      </c>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row>
    <row r="72" spans="1:66" ht="15.75" customHeight="1" x14ac:dyDescent="0.2">
      <c r="A72" s="74" t="s">
        <v>500</v>
      </c>
      <c r="B72" s="74">
        <v>2022</v>
      </c>
      <c r="C72" s="74">
        <v>1</v>
      </c>
      <c r="D72" s="74"/>
      <c r="E72" s="74"/>
      <c r="F72" s="74">
        <v>2022</v>
      </c>
      <c r="G72" s="74"/>
      <c r="H72" s="74" t="s">
        <v>504</v>
      </c>
      <c r="I72" s="69" t="s">
        <v>315</v>
      </c>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row>
    <row r="73" spans="1:66" s="33" customFormat="1" ht="15.75" customHeight="1" x14ac:dyDescent="0.2">
      <c r="A73" s="81" t="s">
        <v>500</v>
      </c>
      <c r="B73" s="81">
        <v>2023</v>
      </c>
      <c r="C73" s="81"/>
      <c r="D73" s="81">
        <v>1</v>
      </c>
      <c r="E73" s="81"/>
      <c r="F73" s="81">
        <v>2024</v>
      </c>
      <c r="G73" s="81"/>
      <c r="H73" s="81" t="s">
        <v>505</v>
      </c>
      <c r="I73" s="70" t="s">
        <v>506</v>
      </c>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2"/>
      <c r="BD73" s="82"/>
      <c r="BE73" s="82"/>
      <c r="BF73" s="82"/>
      <c r="BG73" s="82"/>
      <c r="BH73" s="82"/>
      <c r="BI73" s="82"/>
      <c r="BJ73" s="82"/>
      <c r="BK73" s="82"/>
      <c r="BL73" s="82"/>
      <c r="BM73" s="82"/>
      <c r="BN73" s="82"/>
    </row>
    <row r="74" spans="1:66" ht="15.75" customHeight="1" x14ac:dyDescent="0.2">
      <c r="A74" s="81" t="s">
        <v>132</v>
      </c>
      <c r="B74" s="81">
        <v>2023</v>
      </c>
      <c r="C74" s="81">
        <v>1</v>
      </c>
      <c r="D74" s="81"/>
      <c r="E74" s="81"/>
      <c r="F74" s="81">
        <v>2024</v>
      </c>
      <c r="G74" s="81"/>
      <c r="H74" s="81" t="s">
        <v>507</v>
      </c>
      <c r="I74" s="90" t="s">
        <v>317</v>
      </c>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row>
    <row r="75" spans="1:66" ht="15.75" customHeight="1" x14ac:dyDescent="0.2">
      <c r="A75" s="74" t="s">
        <v>136</v>
      </c>
      <c r="B75" s="74">
        <v>2019</v>
      </c>
      <c r="C75" s="74">
        <v>1</v>
      </c>
      <c r="D75" s="74"/>
      <c r="E75" s="74">
        <v>1</v>
      </c>
      <c r="F75" s="74">
        <v>2020</v>
      </c>
      <c r="G75" s="74"/>
      <c r="H75" s="74" t="s">
        <v>418</v>
      </c>
      <c r="I75" s="91" t="s">
        <v>508</v>
      </c>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68"/>
      <c r="BK75" s="68"/>
      <c r="BL75" s="68"/>
      <c r="BM75" s="68"/>
      <c r="BN75" s="68"/>
    </row>
    <row r="76" spans="1:66" ht="15.75" customHeight="1" x14ac:dyDescent="0.2">
      <c r="A76" s="74" t="s">
        <v>136</v>
      </c>
      <c r="B76" s="74">
        <v>2022</v>
      </c>
      <c r="C76" s="74">
        <v>1</v>
      </c>
      <c r="D76" s="74"/>
      <c r="E76" s="74"/>
      <c r="F76" s="74">
        <v>2022</v>
      </c>
      <c r="G76" s="74"/>
      <c r="H76" s="74" t="s">
        <v>509</v>
      </c>
      <c r="I76" s="91" t="s">
        <v>319</v>
      </c>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row>
    <row r="77" spans="1:66" ht="15.75" customHeight="1" x14ac:dyDescent="0.2">
      <c r="A77" s="74" t="s">
        <v>140</v>
      </c>
      <c r="B77" s="74">
        <v>2012</v>
      </c>
      <c r="C77" s="74">
        <v>1</v>
      </c>
      <c r="D77" s="74"/>
      <c r="E77" s="74"/>
      <c r="F77" s="74">
        <v>2012</v>
      </c>
      <c r="G77" s="74"/>
      <c r="H77" s="74" t="s">
        <v>418</v>
      </c>
      <c r="I77" s="74" t="s">
        <v>510</v>
      </c>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row>
    <row r="78" spans="1:66" ht="15.75" customHeight="1" x14ac:dyDescent="0.2">
      <c r="A78" s="74" t="s">
        <v>140</v>
      </c>
      <c r="B78" s="74">
        <v>2014</v>
      </c>
      <c r="C78" s="74"/>
      <c r="D78" s="74"/>
      <c r="E78" s="74">
        <v>1</v>
      </c>
      <c r="F78" s="74">
        <v>2014</v>
      </c>
      <c r="G78" s="74"/>
      <c r="H78" s="74" t="s">
        <v>511</v>
      </c>
      <c r="I78" s="74" t="s">
        <v>512</v>
      </c>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row>
    <row r="79" spans="1:66" ht="15.75" customHeight="1" x14ac:dyDescent="0.2">
      <c r="A79" s="74" t="s">
        <v>140</v>
      </c>
      <c r="B79" s="74">
        <v>2014</v>
      </c>
      <c r="C79" s="74"/>
      <c r="D79" s="74"/>
      <c r="E79" s="74">
        <v>1</v>
      </c>
      <c r="F79" s="74">
        <v>2014</v>
      </c>
      <c r="G79" s="74"/>
      <c r="H79" s="74" t="s">
        <v>513</v>
      </c>
      <c r="I79" s="74" t="s">
        <v>514</v>
      </c>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68"/>
      <c r="BK79" s="68"/>
      <c r="BL79" s="68"/>
      <c r="BM79" s="68"/>
      <c r="BN79" s="68"/>
    </row>
    <row r="80" spans="1:66" ht="15.75" customHeight="1" x14ac:dyDescent="0.2">
      <c r="A80" s="74" t="s">
        <v>140</v>
      </c>
      <c r="B80" s="74">
        <v>2014</v>
      </c>
      <c r="C80" s="74"/>
      <c r="D80" s="74"/>
      <c r="E80" s="74">
        <v>1</v>
      </c>
      <c r="F80" s="74">
        <v>2014</v>
      </c>
      <c r="G80" s="74"/>
      <c r="H80" s="74" t="s">
        <v>515</v>
      </c>
      <c r="I80" s="74" t="s">
        <v>516</v>
      </c>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row>
    <row r="81" spans="1:66" ht="15.75" customHeight="1" x14ac:dyDescent="0.2">
      <c r="A81" s="74" t="s">
        <v>140</v>
      </c>
      <c r="B81" s="74">
        <v>2014</v>
      </c>
      <c r="C81" s="74"/>
      <c r="D81" s="74"/>
      <c r="E81" s="74">
        <v>1</v>
      </c>
      <c r="F81" s="74">
        <v>2014</v>
      </c>
      <c r="G81" s="74"/>
      <c r="H81" s="74" t="s">
        <v>517</v>
      </c>
      <c r="I81" s="74" t="s">
        <v>518</v>
      </c>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c r="BG81" s="68"/>
      <c r="BH81" s="68"/>
      <c r="BI81" s="68"/>
      <c r="BJ81" s="68"/>
      <c r="BK81" s="68"/>
      <c r="BL81" s="68"/>
      <c r="BM81" s="68"/>
      <c r="BN81" s="68"/>
    </row>
    <row r="82" spans="1:66" ht="15.75" customHeight="1" x14ac:dyDescent="0.2">
      <c r="A82" s="74" t="s">
        <v>140</v>
      </c>
      <c r="B82" s="74">
        <v>2015</v>
      </c>
      <c r="C82" s="74"/>
      <c r="D82" s="74"/>
      <c r="E82" s="74">
        <v>1</v>
      </c>
      <c r="F82" s="74">
        <v>2015</v>
      </c>
      <c r="G82" s="74"/>
      <c r="H82" s="74" t="s">
        <v>519</v>
      </c>
      <c r="I82" s="74" t="s">
        <v>520</v>
      </c>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row>
    <row r="83" spans="1:66" ht="15.75" customHeight="1" x14ac:dyDescent="0.2">
      <c r="A83" s="74" t="s">
        <v>521</v>
      </c>
      <c r="B83" s="74">
        <v>2017</v>
      </c>
      <c r="C83" s="74"/>
      <c r="D83" s="74">
        <v>1</v>
      </c>
      <c r="E83" s="74"/>
      <c r="F83" s="74">
        <v>2017</v>
      </c>
      <c r="G83" s="74"/>
      <c r="H83" s="74" t="s">
        <v>522</v>
      </c>
      <c r="I83" s="74" t="s">
        <v>523</v>
      </c>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row>
    <row r="84" spans="1:66" ht="15.75" customHeight="1" x14ac:dyDescent="0.2">
      <c r="A84" s="74" t="s">
        <v>140</v>
      </c>
      <c r="B84" s="74">
        <v>2019</v>
      </c>
      <c r="C84" s="74"/>
      <c r="D84" s="74">
        <v>1</v>
      </c>
      <c r="E84" s="74"/>
      <c r="F84" s="74">
        <v>2019</v>
      </c>
      <c r="G84" s="74"/>
      <c r="H84" s="74" t="s">
        <v>524</v>
      </c>
      <c r="I84" s="74" t="s">
        <v>323</v>
      </c>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row>
    <row r="85" spans="1:66" ht="15.75" customHeight="1" x14ac:dyDescent="0.2">
      <c r="A85" s="74" t="s">
        <v>140</v>
      </c>
      <c r="B85" s="74">
        <v>2019</v>
      </c>
      <c r="C85" s="74"/>
      <c r="D85" s="74">
        <v>1</v>
      </c>
      <c r="E85" s="74"/>
      <c r="F85" s="74">
        <v>2019</v>
      </c>
      <c r="G85" s="74">
        <v>1</v>
      </c>
      <c r="H85" s="74" t="s">
        <v>525</v>
      </c>
      <c r="I85" s="74" t="s">
        <v>526</v>
      </c>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c r="BN85" s="68"/>
    </row>
    <row r="86" spans="1:66" ht="15.75" customHeight="1" x14ac:dyDescent="0.2">
      <c r="A86" s="74" t="s">
        <v>140</v>
      </c>
      <c r="B86" s="74">
        <v>2019</v>
      </c>
      <c r="C86" s="74"/>
      <c r="D86" s="74">
        <v>1</v>
      </c>
      <c r="E86" s="74"/>
      <c r="F86" s="74">
        <v>2019</v>
      </c>
      <c r="G86" s="74"/>
      <c r="H86" s="74" t="s">
        <v>525</v>
      </c>
      <c r="I86" s="74" t="s">
        <v>527</v>
      </c>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row>
    <row r="87" spans="1:66" ht="15.75" customHeight="1" x14ac:dyDescent="0.2">
      <c r="A87" s="74" t="s">
        <v>140</v>
      </c>
      <c r="B87" s="74">
        <v>2020</v>
      </c>
      <c r="C87" s="74">
        <v>1</v>
      </c>
      <c r="D87" s="74"/>
      <c r="E87" s="74"/>
      <c r="F87" s="74">
        <v>2020</v>
      </c>
      <c r="G87" s="74"/>
      <c r="H87" s="74" t="s">
        <v>528</v>
      </c>
      <c r="I87" s="74" t="s">
        <v>529</v>
      </c>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row>
    <row r="88" spans="1:66" ht="15.75" customHeight="1" x14ac:dyDescent="0.2">
      <c r="A88" s="74" t="s">
        <v>140</v>
      </c>
      <c r="B88" s="74">
        <v>2021</v>
      </c>
      <c r="C88" s="74">
        <v>1</v>
      </c>
      <c r="D88" s="74"/>
      <c r="E88" s="74"/>
      <c r="F88" s="74">
        <v>2021</v>
      </c>
      <c r="G88" s="74"/>
      <c r="H88" s="74" t="s">
        <v>530</v>
      </c>
      <c r="I88" s="74" t="s">
        <v>531</v>
      </c>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row>
    <row r="89" spans="1:66" ht="15.75" customHeight="1" x14ac:dyDescent="0.2">
      <c r="A89" s="74" t="s">
        <v>140</v>
      </c>
      <c r="B89" s="74">
        <v>2021</v>
      </c>
      <c r="C89" s="74">
        <v>1</v>
      </c>
      <c r="D89" s="74"/>
      <c r="E89" s="74"/>
      <c r="F89" s="74">
        <v>2022</v>
      </c>
      <c r="G89" s="74"/>
      <c r="H89" s="74" t="s">
        <v>532</v>
      </c>
      <c r="I89" s="74" t="s">
        <v>326</v>
      </c>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row>
    <row r="90" spans="1:66" ht="15.75" customHeight="1" x14ac:dyDescent="0.2">
      <c r="A90" s="74" t="s">
        <v>140</v>
      </c>
      <c r="B90" s="74">
        <v>2022</v>
      </c>
      <c r="C90" s="74"/>
      <c r="D90" s="74">
        <v>1</v>
      </c>
      <c r="E90" s="74"/>
      <c r="F90" s="74">
        <v>2022</v>
      </c>
      <c r="G90" s="74"/>
      <c r="H90" s="74" t="s">
        <v>533</v>
      </c>
      <c r="I90" s="74" t="s">
        <v>327</v>
      </c>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row>
    <row r="91" spans="1:66" ht="15.75" customHeight="1" x14ac:dyDescent="0.2">
      <c r="A91" s="74" t="s">
        <v>140</v>
      </c>
      <c r="B91" s="74">
        <v>2022</v>
      </c>
      <c r="C91" s="74">
        <v>1</v>
      </c>
      <c r="D91" s="74"/>
      <c r="E91" s="74"/>
      <c r="F91" s="74">
        <v>2022</v>
      </c>
      <c r="G91" s="74"/>
      <c r="H91" s="74" t="s">
        <v>534</v>
      </c>
      <c r="I91" s="74" t="s">
        <v>328</v>
      </c>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row>
    <row r="92" spans="1:66" ht="15.75" customHeight="1" x14ac:dyDescent="0.2">
      <c r="A92" s="74" t="s">
        <v>148</v>
      </c>
      <c r="B92" s="74">
        <v>1950</v>
      </c>
      <c r="C92" s="74"/>
      <c r="D92" s="74"/>
      <c r="E92" s="74"/>
      <c r="F92" s="74">
        <v>1950</v>
      </c>
      <c r="G92" s="74"/>
      <c r="H92" s="74" t="s">
        <v>535</v>
      </c>
      <c r="I92" s="74" t="s">
        <v>536</v>
      </c>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row>
    <row r="93" spans="1:66" ht="15.75" customHeight="1" x14ac:dyDescent="0.2">
      <c r="A93" s="74" t="s">
        <v>148</v>
      </c>
      <c r="B93" s="74">
        <v>1960</v>
      </c>
      <c r="C93" s="74">
        <v>1</v>
      </c>
      <c r="D93" s="74"/>
      <c r="E93" s="74"/>
      <c r="F93" s="74">
        <v>1960</v>
      </c>
      <c r="G93" s="74"/>
      <c r="H93" s="74"/>
      <c r="I93" s="74" t="s">
        <v>537</v>
      </c>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row>
    <row r="94" spans="1:66" ht="15.75" customHeight="1" x14ac:dyDescent="0.2">
      <c r="A94" s="74" t="s">
        <v>148</v>
      </c>
      <c r="B94" s="74">
        <v>1980</v>
      </c>
      <c r="C94" s="74">
        <v>2</v>
      </c>
      <c r="D94" s="74"/>
      <c r="E94" s="74"/>
      <c r="F94" s="74">
        <v>1980</v>
      </c>
      <c r="G94" s="74"/>
      <c r="H94" s="74"/>
      <c r="I94" s="74" t="s">
        <v>538</v>
      </c>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68"/>
      <c r="BK94" s="68"/>
      <c r="BL94" s="68"/>
      <c r="BM94" s="68"/>
      <c r="BN94" s="68"/>
    </row>
    <row r="95" spans="1:66" ht="15.75" customHeight="1" x14ac:dyDescent="0.2">
      <c r="A95" s="74" t="s">
        <v>148</v>
      </c>
      <c r="B95" s="74">
        <v>1992</v>
      </c>
      <c r="C95" s="74"/>
      <c r="D95" s="74">
        <v>1</v>
      </c>
      <c r="E95" s="74"/>
      <c r="F95" s="74">
        <v>1992</v>
      </c>
      <c r="G95" s="74"/>
      <c r="H95" s="74"/>
      <c r="I95" s="74" t="s">
        <v>539</v>
      </c>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c r="BA95" s="68"/>
      <c r="BB95" s="68"/>
      <c r="BC95" s="68"/>
      <c r="BD95" s="68"/>
      <c r="BE95" s="68"/>
      <c r="BF95" s="68"/>
      <c r="BG95" s="68"/>
      <c r="BH95" s="68"/>
      <c r="BI95" s="68"/>
      <c r="BJ95" s="68"/>
      <c r="BK95" s="68"/>
      <c r="BL95" s="68"/>
      <c r="BM95" s="68"/>
      <c r="BN95" s="68"/>
    </row>
    <row r="96" spans="1:66" ht="15.75" customHeight="1" x14ac:dyDescent="0.2">
      <c r="A96" s="74" t="s">
        <v>148</v>
      </c>
      <c r="B96" s="74">
        <v>2007</v>
      </c>
      <c r="C96" s="74"/>
      <c r="D96" s="74">
        <v>1</v>
      </c>
      <c r="E96" s="74"/>
      <c r="F96" s="74">
        <v>2007</v>
      </c>
      <c r="G96" s="74"/>
      <c r="H96" s="74"/>
      <c r="I96" s="74" t="s">
        <v>539</v>
      </c>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row>
    <row r="97" spans="1:66" ht="15.75" customHeight="1" x14ac:dyDescent="0.2">
      <c r="A97" s="74" t="s">
        <v>148</v>
      </c>
      <c r="B97" s="74">
        <v>2009</v>
      </c>
      <c r="C97" s="74"/>
      <c r="D97" s="74">
        <v>1</v>
      </c>
      <c r="E97" s="74"/>
      <c r="F97" s="74">
        <v>2009</v>
      </c>
      <c r="G97" s="74"/>
      <c r="H97" s="74"/>
      <c r="I97" s="74" t="s">
        <v>539</v>
      </c>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row>
    <row r="98" spans="1:66" ht="15.75" customHeight="1" x14ac:dyDescent="0.2">
      <c r="A98" s="74" t="s">
        <v>148</v>
      </c>
      <c r="B98" s="74">
        <v>2014</v>
      </c>
      <c r="C98" s="74"/>
      <c r="D98" s="74">
        <v>1</v>
      </c>
      <c r="E98" s="74"/>
      <c r="F98" s="74">
        <v>2014</v>
      </c>
      <c r="G98" s="74"/>
      <c r="H98" s="74" t="s">
        <v>540</v>
      </c>
      <c r="I98" s="74" t="s">
        <v>539</v>
      </c>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row>
    <row r="99" spans="1:66" ht="15.75" customHeight="1" x14ac:dyDescent="0.2">
      <c r="A99" s="74" t="s">
        <v>148</v>
      </c>
      <c r="B99" s="74">
        <v>2017</v>
      </c>
      <c r="C99" s="74"/>
      <c r="D99" s="74">
        <v>1</v>
      </c>
      <c r="E99" s="74"/>
      <c r="F99" s="74">
        <v>2017</v>
      </c>
      <c r="G99" s="74"/>
      <c r="H99" s="74"/>
      <c r="I99" s="74" t="s">
        <v>541</v>
      </c>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row>
    <row r="100" spans="1:66" ht="15.75" customHeight="1" x14ac:dyDescent="0.2">
      <c r="A100" s="74" t="s">
        <v>148</v>
      </c>
      <c r="B100" s="74">
        <v>2019</v>
      </c>
      <c r="C100" s="74"/>
      <c r="D100" s="74">
        <v>1</v>
      </c>
      <c r="E100" s="74"/>
      <c r="F100" s="74">
        <v>2020</v>
      </c>
      <c r="G100" s="74"/>
      <c r="H100" s="74"/>
      <c r="I100" s="74" t="s">
        <v>333</v>
      </c>
      <c r="J100" s="8"/>
      <c r="K100" s="8"/>
      <c r="L100" s="8"/>
      <c r="M100" s="8"/>
      <c r="N100" s="8"/>
      <c r="O100" s="8"/>
      <c r="P100" s="8"/>
      <c r="Q100" s="8"/>
      <c r="R100" s="8"/>
      <c r="S100" s="8"/>
      <c r="T100" s="8"/>
      <c r="U100" s="8"/>
      <c r="V100" s="8"/>
      <c r="W100" s="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N100" s="68"/>
    </row>
    <row r="101" spans="1:66" ht="20.25" customHeight="1" x14ac:dyDescent="0.2">
      <c r="A101" s="74" t="s">
        <v>148</v>
      </c>
      <c r="B101" s="74">
        <v>2021</v>
      </c>
      <c r="C101" s="74"/>
      <c r="D101" s="74">
        <v>1</v>
      </c>
      <c r="E101" s="74"/>
      <c r="F101" s="74">
        <v>2021</v>
      </c>
      <c r="G101" s="74"/>
      <c r="H101" s="74" t="s">
        <v>542</v>
      </c>
      <c r="I101" s="74" t="s">
        <v>334</v>
      </c>
      <c r="J101" s="8"/>
      <c r="K101" s="8"/>
      <c r="L101" s="8"/>
      <c r="M101" s="8"/>
      <c r="N101" s="8"/>
      <c r="O101" s="8"/>
      <c r="P101" s="8"/>
      <c r="Q101" s="8"/>
      <c r="R101" s="8"/>
      <c r="S101" s="8"/>
      <c r="T101" s="8"/>
      <c r="U101" s="8"/>
      <c r="V101" s="8"/>
      <c r="W101" s="8"/>
      <c r="X101" s="92"/>
      <c r="Y101" s="92"/>
      <c r="Z101" s="92"/>
      <c r="AA101" s="92"/>
      <c r="AB101" s="92"/>
      <c r="AC101" s="92"/>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row>
    <row r="102" spans="1:66" ht="20.25" customHeight="1" x14ac:dyDescent="0.2">
      <c r="A102" s="74" t="s">
        <v>148</v>
      </c>
      <c r="B102" s="74">
        <v>2022</v>
      </c>
      <c r="C102" s="74">
        <v>1</v>
      </c>
      <c r="D102" s="74"/>
      <c r="E102" s="74"/>
      <c r="F102" s="74">
        <v>2022</v>
      </c>
      <c r="G102" s="74"/>
      <c r="H102" s="74" t="s">
        <v>543</v>
      </c>
      <c r="I102" s="74" t="s">
        <v>335</v>
      </c>
      <c r="J102" s="8"/>
      <c r="K102" s="8"/>
      <c r="L102" s="8"/>
      <c r="M102" s="8"/>
      <c r="N102" s="8"/>
      <c r="O102" s="8"/>
      <c r="P102" s="8"/>
      <c r="Q102" s="8"/>
      <c r="R102" s="8"/>
      <c r="S102" s="8"/>
      <c r="T102" s="8"/>
      <c r="U102" s="8"/>
      <c r="V102" s="8"/>
      <c r="W102" s="8"/>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row>
    <row r="103" spans="1:66" ht="15.75" customHeight="1" x14ac:dyDescent="0.2">
      <c r="A103" s="74" t="s">
        <v>152</v>
      </c>
      <c r="B103" s="74">
        <v>2017</v>
      </c>
      <c r="C103" s="74"/>
      <c r="D103" s="74">
        <v>1</v>
      </c>
      <c r="E103" s="74"/>
      <c r="F103" s="74">
        <v>2017</v>
      </c>
      <c r="G103" s="74"/>
      <c r="H103" s="74" t="s">
        <v>544</v>
      </c>
      <c r="I103" s="74" t="s">
        <v>337</v>
      </c>
      <c r="J103" s="8"/>
      <c r="K103" s="8"/>
      <c r="L103" s="8"/>
      <c r="M103" s="8"/>
      <c r="N103" s="8"/>
      <c r="O103" s="8"/>
      <c r="P103" s="8"/>
      <c r="Q103" s="8"/>
      <c r="R103" s="8"/>
      <c r="S103" s="8"/>
      <c r="T103" s="8"/>
      <c r="U103" s="8"/>
      <c r="V103" s="8"/>
      <c r="W103" s="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row>
    <row r="104" spans="1:66" ht="15.75" customHeight="1" x14ac:dyDescent="0.2">
      <c r="A104" s="74" t="s">
        <v>154</v>
      </c>
      <c r="B104" s="74">
        <v>1999</v>
      </c>
      <c r="C104" s="74">
        <v>1</v>
      </c>
      <c r="D104" s="74"/>
      <c r="E104" s="74"/>
      <c r="F104" s="74">
        <v>1999</v>
      </c>
      <c r="G104" s="74"/>
      <c r="H104" s="74" t="s">
        <v>545</v>
      </c>
      <c r="I104" s="74" t="s">
        <v>546</v>
      </c>
      <c r="J104" s="8"/>
      <c r="K104" s="8"/>
      <c r="L104" s="8"/>
      <c r="M104" s="8"/>
      <c r="N104" s="8"/>
      <c r="O104" s="8"/>
      <c r="P104" s="8"/>
      <c r="Q104" s="8"/>
      <c r="R104" s="8"/>
      <c r="S104" s="8"/>
      <c r="T104" s="8"/>
      <c r="U104" s="8"/>
      <c r="V104" s="8"/>
      <c r="W104" s="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row>
    <row r="105" spans="1:66" ht="15.75" customHeight="1" x14ac:dyDescent="0.2">
      <c r="A105" s="74" t="s">
        <v>154</v>
      </c>
      <c r="B105" s="74">
        <v>2002</v>
      </c>
      <c r="C105" s="74">
        <v>1</v>
      </c>
      <c r="D105" s="74"/>
      <c r="E105" s="74"/>
      <c r="F105" s="74">
        <v>2002</v>
      </c>
      <c r="G105" s="74"/>
      <c r="H105" s="74" t="s">
        <v>547</v>
      </c>
      <c r="I105" s="74" t="s">
        <v>340</v>
      </c>
      <c r="J105" s="8"/>
      <c r="K105" s="8"/>
      <c r="L105" s="8"/>
      <c r="M105" s="8"/>
      <c r="N105" s="8"/>
      <c r="O105" s="8"/>
      <c r="P105" s="8"/>
      <c r="Q105" s="8"/>
      <c r="R105" s="8"/>
      <c r="S105" s="8"/>
      <c r="T105" s="8"/>
      <c r="U105" s="8"/>
      <c r="V105" s="8"/>
      <c r="W105" s="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row>
    <row r="106" spans="1:66" ht="15.75" customHeight="1" x14ac:dyDescent="0.2">
      <c r="A106" s="74" t="s">
        <v>154</v>
      </c>
      <c r="B106" s="83" t="s">
        <v>291</v>
      </c>
      <c r="C106" s="74"/>
      <c r="D106" s="74">
        <v>1</v>
      </c>
      <c r="E106" s="74"/>
      <c r="F106" s="74">
        <v>2004</v>
      </c>
      <c r="G106" s="74"/>
      <c r="H106" s="74" t="s">
        <v>547</v>
      </c>
      <c r="I106" s="74" t="s">
        <v>548</v>
      </c>
      <c r="J106" s="68"/>
      <c r="K106" s="68"/>
      <c r="L106" s="68"/>
      <c r="M106" s="94"/>
      <c r="N106" s="94"/>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row>
    <row r="107" spans="1:66" ht="15.75" customHeight="1" x14ac:dyDescent="0.2">
      <c r="A107" s="74" t="s">
        <v>154</v>
      </c>
      <c r="B107" s="74">
        <v>2009</v>
      </c>
      <c r="C107" s="74">
        <v>1</v>
      </c>
      <c r="D107" s="74"/>
      <c r="E107" s="74"/>
      <c r="F107" s="74">
        <v>2009</v>
      </c>
      <c r="G107" s="74"/>
      <c r="H107" s="74" t="s">
        <v>549</v>
      </c>
      <c r="I107" s="74" t="s">
        <v>548</v>
      </c>
      <c r="J107" s="8"/>
      <c r="K107" s="8"/>
      <c r="L107" s="8"/>
      <c r="M107" s="8"/>
      <c r="N107" s="8"/>
      <c r="O107" s="8"/>
      <c r="P107" s="8"/>
      <c r="Q107" s="8"/>
      <c r="R107" s="8"/>
      <c r="S107" s="8"/>
      <c r="T107" s="8"/>
      <c r="U107" s="8"/>
      <c r="V107" s="8"/>
      <c r="W107" s="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row>
    <row r="108" spans="1:66" ht="15.75" customHeight="1" x14ac:dyDescent="0.2">
      <c r="A108" s="74" t="s">
        <v>154</v>
      </c>
      <c r="B108" s="74">
        <v>2014</v>
      </c>
      <c r="C108" s="74"/>
      <c r="D108" s="74">
        <v>1</v>
      </c>
      <c r="E108" s="74"/>
      <c r="F108" s="74">
        <v>2014</v>
      </c>
      <c r="G108" s="74"/>
      <c r="H108" s="74" t="s">
        <v>550</v>
      </c>
      <c r="I108" s="74" t="s">
        <v>339</v>
      </c>
      <c r="J108" s="8"/>
      <c r="K108" s="8"/>
      <c r="L108" s="8"/>
      <c r="M108" s="8"/>
      <c r="N108" s="8"/>
      <c r="O108" s="8"/>
      <c r="P108" s="8"/>
      <c r="Q108" s="8"/>
      <c r="R108" s="8"/>
      <c r="S108" s="8"/>
      <c r="T108" s="8"/>
      <c r="U108" s="8"/>
      <c r="V108" s="8"/>
      <c r="W108" s="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row>
    <row r="109" spans="1:66" ht="15.75" customHeight="1" x14ac:dyDescent="0.2">
      <c r="A109" s="74" t="s">
        <v>154</v>
      </c>
      <c r="B109" s="74">
        <v>2018</v>
      </c>
      <c r="C109" s="74"/>
      <c r="D109" s="74">
        <v>1</v>
      </c>
      <c r="E109" s="74"/>
      <c r="F109" s="74">
        <v>2018</v>
      </c>
      <c r="G109" s="74"/>
      <c r="H109" s="74"/>
      <c r="I109" s="74" t="s">
        <v>551</v>
      </c>
      <c r="J109" s="8"/>
      <c r="K109" s="8"/>
      <c r="L109" s="8"/>
      <c r="M109" s="8"/>
      <c r="N109" s="8"/>
      <c r="O109" s="8"/>
      <c r="P109" s="8"/>
      <c r="Q109" s="8"/>
      <c r="R109" s="8"/>
      <c r="S109" s="8"/>
      <c r="T109" s="8"/>
      <c r="U109" s="8"/>
      <c r="V109" s="8"/>
      <c r="W109" s="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row>
    <row r="110" spans="1:66" s="33" customFormat="1" ht="15.75" customHeight="1" x14ac:dyDescent="0.2">
      <c r="A110" s="70" t="s">
        <v>156</v>
      </c>
      <c r="B110" s="70">
        <v>2023</v>
      </c>
      <c r="C110" s="70">
        <v>1</v>
      </c>
      <c r="D110" s="70"/>
      <c r="E110" s="70"/>
      <c r="F110" s="70">
        <v>2023</v>
      </c>
      <c r="G110" s="70"/>
      <c r="H110" s="70" t="s">
        <v>552</v>
      </c>
      <c r="I110" s="70" t="s">
        <v>553</v>
      </c>
      <c r="J110" s="49"/>
      <c r="K110" s="49"/>
      <c r="L110" s="49"/>
      <c r="M110" s="49"/>
      <c r="N110" s="49"/>
      <c r="O110" s="49"/>
      <c r="P110" s="49"/>
      <c r="Q110" s="49"/>
      <c r="R110" s="49"/>
      <c r="S110" s="49"/>
      <c r="T110" s="49"/>
      <c r="U110" s="49"/>
      <c r="V110" s="49"/>
      <c r="W110" s="49"/>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5"/>
      <c r="AT110" s="95"/>
      <c r="AU110" s="95"/>
      <c r="AV110" s="95"/>
      <c r="AW110" s="95"/>
      <c r="AX110" s="95"/>
      <c r="AY110" s="95"/>
      <c r="AZ110" s="95"/>
      <c r="BA110" s="95"/>
      <c r="BB110" s="95"/>
      <c r="BC110" s="95"/>
      <c r="BD110" s="95"/>
      <c r="BE110" s="95"/>
      <c r="BF110" s="95"/>
      <c r="BG110" s="95"/>
      <c r="BH110" s="95"/>
      <c r="BI110" s="95"/>
      <c r="BJ110" s="95"/>
      <c r="BK110" s="95"/>
      <c r="BL110" s="95"/>
      <c r="BM110" s="95"/>
      <c r="BN110" s="95"/>
    </row>
    <row r="111" spans="1:66" ht="15.75" customHeight="1" x14ac:dyDescent="0.2">
      <c r="A111" s="74" t="s">
        <v>158</v>
      </c>
      <c r="B111" s="74">
        <v>1993</v>
      </c>
      <c r="C111" s="74">
        <v>1</v>
      </c>
      <c r="D111" s="74"/>
      <c r="E111" s="74"/>
      <c r="F111" s="74">
        <v>1993</v>
      </c>
      <c r="G111" s="74"/>
      <c r="H111" s="74"/>
      <c r="I111" s="74" t="s">
        <v>342</v>
      </c>
      <c r="J111" s="8"/>
      <c r="K111" s="8"/>
      <c r="L111" s="8"/>
      <c r="M111" s="8"/>
      <c r="N111" s="8"/>
      <c r="O111" s="8"/>
      <c r="P111" s="8"/>
      <c r="Q111" s="8"/>
      <c r="R111" s="8"/>
      <c r="S111" s="8"/>
      <c r="T111" s="8"/>
      <c r="U111" s="8"/>
      <c r="V111" s="8"/>
      <c r="W111" s="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row>
    <row r="112" spans="1:66" ht="15.75" customHeight="1" x14ac:dyDescent="0.2">
      <c r="A112" s="74" t="s">
        <v>158</v>
      </c>
      <c r="B112" s="74">
        <v>1993</v>
      </c>
      <c r="C112" s="74"/>
      <c r="D112" s="74">
        <v>1</v>
      </c>
      <c r="E112" s="74"/>
      <c r="F112" s="74">
        <v>1994</v>
      </c>
      <c r="G112" s="74"/>
      <c r="H112" s="74"/>
      <c r="I112" s="74" t="s">
        <v>554</v>
      </c>
      <c r="J112" s="8"/>
      <c r="K112" s="8"/>
      <c r="L112" s="8"/>
      <c r="M112" s="8"/>
      <c r="N112" s="8"/>
      <c r="O112" s="8"/>
      <c r="P112" s="8"/>
      <c r="Q112" s="8"/>
      <c r="R112" s="8"/>
      <c r="S112" s="8"/>
      <c r="T112" s="8"/>
      <c r="U112" s="8"/>
      <c r="V112" s="8"/>
      <c r="W112" s="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row>
    <row r="113" spans="1:66" ht="15.75" customHeight="1" x14ac:dyDescent="0.2">
      <c r="A113" s="74" t="s">
        <v>158</v>
      </c>
      <c r="B113" s="74">
        <v>1995</v>
      </c>
      <c r="C113" s="74"/>
      <c r="D113" s="74">
        <v>1</v>
      </c>
      <c r="E113" s="74"/>
      <c r="F113" s="74">
        <v>1995</v>
      </c>
      <c r="G113" s="74"/>
      <c r="H113" s="74"/>
      <c r="I113" s="74" t="s">
        <v>554</v>
      </c>
      <c r="J113" s="8"/>
      <c r="K113" s="8"/>
      <c r="L113" s="8"/>
      <c r="M113" s="8"/>
      <c r="N113" s="8"/>
      <c r="O113" s="8"/>
      <c r="P113" s="8"/>
      <c r="Q113" s="8"/>
      <c r="R113" s="8"/>
      <c r="S113" s="8"/>
      <c r="T113" s="8"/>
      <c r="U113" s="8"/>
      <c r="V113" s="8"/>
      <c r="W113" s="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row>
    <row r="114" spans="1:66" ht="15.75" customHeight="1" x14ac:dyDescent="0.2">
      <c r="A114" s="74" t="s">
        <v>158</v>
      </c>
      <c r="B114" s="74">
        <v>1995</v>
      </c>
      <c r="C114" s="74"/>
      <c r="D114" s="74">
        <v>1</v>
      </c>
      <c r="E114" s="74"/>
      <c r="F114" s="74">
        <v>1995</v>
      </c>
      <c r="G114" s="74"/>
      <c r="H114" s="74"/>
      <c r="I114" s="74" t="s">
        <v>554</v>
      </c>
      <c r="J114" s="8"/>
      <c r="K114" s="8"/>
      <c r="L114" s="8"/>
      <c r="M114" s="8"/>
      <c r="N114" s="8"/>
      <c r="O114" s="8"/>
      <c r="P114" s="8"/>
      <c r="Q114" s="8"/>
      <c r="R114" s="8"/>
      <c r="S114" s="8"/>
      <c r="T114" s="8"/>
      <c r="U114" s="8"/>
      <c r="V114" s="8"/>
      <c r="W114" s="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row>
    <row r="115" spans="1:66" ht="15.75" customHeight="1" x14ac:dyDescent="0.2">
      <c r="A115" s="74" t="s">
        <v>158</v>
      </c>
      <c r="B115" s="74">
        <v>1996</v>
      </c>
      <c r="C115" s="74"/>
      <c r="D115" s="74">
        <v>1</v>
      </c>
      <c r="E115" s="74"/>
      <c r="F115" s="74">
        <v>1996</v>
      </c>
      <c r="G115" s="74"/>
      <c r="H115" s="74"/>
      <c r="I115" s="74" t="s">
        <v>554</v>
      </c>
      <c r="J115" s="8"/>
      <c r="K115" s="8"/>
      <c r="L115" s="8"/>
      <c r="M115" s="8"/>
      <c r="N115" s="8"/>
      <c r="O115" s="8"/>
      <c r="P115" s="8"/>
      <c r="Q115" s="8"/>
      <c r="R115" s="8"/>
      <c r="S115" s="8"/>
      <c r="T115" s="8"/>
      <c r="U115" s="8"/>
      <c r="V115" s="8"/>
      <c r="W115" s="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row>
    <row r="116" spans="1:66" ht="15.75" customHeight="1" x14ac:dyDescent="0.2">
      <c r="A116" s="74" t="s">
        <v>158</v>
      </c>
      <c r="B116" s="74">
        <v>1998</v>
      </c>
      <c r="C116" s="74"/>
      <c r="D116" s="74">
        <v>1</v>
      </c>
      <c r="E116" s="74"/>
      <c r="F116" s="74">
        <v>1998</v>
      </c>
      <c r="G116" s="74"/>
      <c r="H116" s="74"/>
      <c r="I116" s="74" t="s">
        <v>554</v>
      </c>
      <c r="J116" s="8"/>
      <c r="K116" s="8"/>
      <c r="L116" s="8"/>
      <c r="M116" s="8"/>
      <c r="N116" s="8"/>
      <c r="O116" s="8"/>
      <c r="P116" s="8"/>
      <c r="Q116" s="8"/>
      <c r="R116" s="8"/>
      <c r="S116" s="8"/>
      <c r="T116" s="8"/>
      <c r="U116" s="8"/>
      <c r="V116" s="8"/>
      <c r="W116" s="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row>
    <row r="117" spans="1:66" ht="15.75" customHeight="1" x14ac:dyDescent="0.2">
      <c r="A117" s="74" t="s">
        <v>158</v>
      </c>
      <c r="B117" s="74">
        <v>1999</v>
      </c>
      <c r="C117" s="74"/>
      <c r="D117" s="74">
        <v>1</v>
      </c>
      <c r="E117" s="74"/>
      <c r="F117" s="74">
        <v>1999</v>
      </c>
      <c r="G117" s="74"/>
      <c r="H117" s="74"/>
      <c r="I117" s="74" t="s">
        <v>554</v>
      </c>
      <c r="J117" s="8"/>
      <c r="K117" s="8"/>
      <c r="L117" s="8"/>
      <c r="M117" s="8"/>
      <c r="N117" s="8"/>
      <c r="O117" s="8"/>
      <c r="P117" s="8"/>
      <c r="Q117" s="8"/>
      <c r="R117" s="8"/>
      <c r="S117" s="8"/>
      <c r="T117" s="8"/>
      <c r="U117" s="8"/>
      <c r="V117" s="8"/>
      <c r="W117" s="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row>
    <row r="118" spans="1:66" ht="15.75" customHeight="1" x14ac:dyDescent="0.2">
      <c r="A118" s="74" t="s">
        <v>158</v>
      </c>
      <c r="B118" s="74">
        <v>2000</v>
      </c>
      <c r="C118" s="74"/>
      <c r="D118" s="74">
        <v>1</v>
      </c>
      <c r="E118" s="74"/>
      <c r="F118" s="74">
        <v>2000</v>
      </c>
      <c r="G118" s="74"/>
      <c r="H118" s="74"/>
      <c r="I118" s="74" t="s">
        <v>554</v>
      </c>
      <c r="J118" s="8"/>
      <c r="K118" s="8"/>
      <c r="L118" s="8"/>
      <c r="M118" s="8"/>
      <c r="N118" s="8"/>
      <c r="O118" s="8"/>
      <c r="P118" s="8"/>
      <c r="Q118" s="8"/>
      <c r="R118" s="8"/>
      <c r="S118" s="8"/>
      <c r="T118" s="8"/>
      <c r="U118" s="8"/>
      <c r="V118" s="8"/>
      <c r="W118" s="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row>
    <row r="119" spans="1:66" ht="15.75" customHeight="1" x14ac:dyDescent="0.2">
      <c r="A119" s="74" t="s">
        <v>555</v>
      </c>
      <c r="B119" s="74">
        <v>2001</v>
      </c>
      <c r="C119" s="74"/>
      <c r="D119" s="74">
        <v>1</v>
      </c>
      <c r="E119" s="74"/>
      <c r="F119" s="74">
        <v>2001</v>
      </c>
      <c r="G119" s="74"/>
      <c r="H119" s="74"/>
      <c r="I119" s="74" t="s">
        <v>554</v>
      </c>
      <c r="J119" s="8"/>
      <c r="K119" s="8"/>
      <c r="L119" s="8"/>
      <c r="M119" s="8"/>
      <c r="N119" s="8"/>
      <c r="O119" s="8"/>
      <c r="P119" s="8"/>
      <c r="Q119" s="8"/>
      <c r="R119" s="8"/>
      <c r="S119" s="8"/>
      <c r="T119" s="8"/>
      <c r="U119" s="8"/>
      <c r="V119" s="8"/>
      <c r="W119" s="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row>
    <row r="120" spans="1:66" ht="15.75" customHeight="1" x14ac:dyDescent="0.2">
      <c r="A120" s="74" t="s">
        <v>556</v>
      </c>
      <c r="B120" s="74">
        <v>2006</v>
      </c>
      <c r="C120" s="74"/>
      <c r="D120" s="74">
        <v>1</v>
      </c>
      <c r="E120" s="74"/>
      <c r="F120" s="74">
        <v>2006</v>
      </c>
      <c r="G120" s="74"/>
      <c r="H120" s="74"/>
      <c r="I120" s="74" t="s">
        <v>554</v>
      </c>
      <c r="J120" s="8"/>
      <c r="K120" s="8"/>
      <c r="L120" s="8"/>
      <c r="M120" s="8"/>
      <c r="N120" s="8"/>
      <c r="O120" s="8"/>
      <c r="P120" s="8"/>
      <c r="Q120" s="8"/>
      <c r="R120" s="8"/>
      <c r="S120" s="8"/>
      <c r="T120" s="8"/>
      <c r="U120" s="8"/>
      <c r="V120" s="8"/>
      <c r="W120" s="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row>
    <row r="121" spans="1:66" ht="15.75" customHeight="1" x14ac:dyDescent="0.2">
      <c r="A121" s="74" t="s">
        <v>556</v>
      </c>
      <c r="B121" s="74">
        <v>2008</v>
      </c>
      <c r="C121" s="74"/>
      <c r="D121" s="74">
        <v>1</v>
      </c>
      <c r="E121" s="74"/>
      <c r="F121" s="74">
        <v>2008</v>
      </c>
      <c r="G121" s="74"/>
      <c r="H121" s="74"/>
      <c r="I121" s="74" t="s">
        <v>554</v>
      </c>
      <c r="J121" s="8"/>
      <c r="K121" s="8"/>
      <c r="L121" s="8"/>
      <c r="M121" s="8"/>
      <c r="N121" s="8"/>
      <c r="O121" s="8"/>
      <c r="P121" s="8"/>
      <c r="Q121" s="8"/>
      <c r="R121" s="8"/>
      <c r="S121" s="8"/>
      <c r="T121" s="8"/>
      <c r="U121" s="8"/>
      <c r="V121" s="8"/>
      <c r="W121" s="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row>
    <row r="122" spans="1:66" ht="15.75" customHeight="1" x14ac:dyDescent="0.2">
      <c r="A122" s="74" t="s">
        <v>555</v>
      </c>
      <c r="B122" s="74">
        <v>2011</v>
      </c>
      <c r="C122" s="74"/>
      <c r="D122" s="74">
        <v>1</v>
      </c>
      <c r="E122" s="74"/>
      <c r="F122" s="74">
        <v>2011</v>
      </c>
      <c r="G122" s="74"/>
      <c r="H122" s="74"/>
      <c r="I122" s="74" t="s">
        <v>554</v>
      </c>
      <c r="J122" s="8"/>
      <c r="K122" s="8"/>
      <c r="L122" s="8"/>
      <c r="M122" s="8"/>
      <c r="N122" s="8"/>
      <c r="O122" s="8"/>
      <c r="P122" s="8"/>
      <c r="Q122" s="8"/>
      <c r="R122" s="8"/>
      <c r="S122" s="8"/>
      <c r="T122" s="8"/>
      <c r="U122" s="8"/>
      <c r="V122" s="8"/>
      <c r="W122" s="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row>
    <row r="123" spans="1:66" ht="15.75" customHeight="1" x14ac:dyDescent="0.2">
      <c r="A123" s="74" t="s">
        <v>555</v>
      </c>
      <c r="B123" s="74">
        <v>2011</v>
      </c>
      <c r="C123" s="74"/>
      <c r="D123" s="74">
        <v>1</v>
      </c>
      <c r="E123" s="74"/>
      <c r="F123" s="74">
        <v>2011</v>
      </c>
      <c r="G123" s="74"/>
      <c r="H123" s="74"/>
      <c r="I123" s="74" t="s">
        <v>554</v>
      </c>
      <c r="J123" s="8"/>
      <c r="K123" s="8"/>
      <c r="L123" s="8"/>
      <c r="M123" s="8"/>
      <c r="N123" s="8"/>
      <c r="O123" s="8"/>
      <c r="P123" s="8"/>
      <c r="Q123" s="8"/>
      <c r="R123" s="8"/>
      <c r="S123" s="8"/>
      <c r="T123" s="8"/>
      <c r="U123" s="8"/>
      <c r="V123" s="8"/>
      <c r="W123" s="8"/>
      <c r="X123" s="68"/>
      <c r="Y123" s="68"/>
      <c r="Z123" s="68"/>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c r="BA123" s="68"/>
      <c r="BB123" s="68"/>
      <c r="BC123" s="68"/>
      <c r="BD123" s="68"/>
      <c r="BE123" s="68"/>
      <c r="BF123" s="68"/>
      <c r="BG123" s="68"/>
      <c r="BH123" s="68"/>
      <c r="BI123" s="68"/>
      <c r="BJ123" s="68"/>
      <c r="BK123" s="68"/>
      <c r="BL123" s="68"/>
      <c r="BM123" s="68"/>
      <c r="BN123" s="68"/>
    </row>
    <row r="124" spans="1:66" ht="15.75" customHeight="1" x14ac:dyDescent="0.2">
      <c r="A124" s="74" t="s">
        <v>555</v>
      </c>
      <c r="B124" s="74">
        <v>2012</v>
      </c>
      <c r="C124" s="74"/>
      <c r="D124" s="74">
        <v>1</v>
      </c>
      <c r="E124" s="74"/>
      <c r="F124" s="74">
        <v>2012</v>
      </c>
      <c r="G124" s="74"/>
      <c r="H124" s="74"/>
      <c r="I124" s="74" t="s">
        <v>554</v>
      </c>
      <c r="J124" s="8"/>
      <c r="K124" s="8"/>
      <c r="L124" s="8"/>
      <c r="M124" s="8"/>
      <c r="N124" s="8"/>
      <c r="O124" s="8"/>
      <c r="P124" s="8"/>
      <c r="Q124" s="8"/>
      <c r="R124" s="8"/>
      <c r="S124" s="8"/>
      <c r="T124" s="8"/>
      <c r="U124" s="8"/>
      <c r="V124" s="8"/>
      <c r="W124" s="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row>
    <row r="125" spans="1:66" ht="15.75" customHeight="1" x14ac:dyDescent="0.2">
      <c r="A125" s="74" t="s">
        <v>555</v>
      </c>
      <c r="B125" s="74">
        <v>2014</v>
      </c>
      <c r="C125" s="74"/>
      <c r="D125" s="74">
        <v>1</v>
      </c>
      <c r="E125" s="74"/>
      <c r="F125" s="74">
        <v>2014</v>
      </c>
      <c r="G125" s="74"/>
      <c r="H125" s="74"/>
      <c r="I125" s="74" t="s">
        <v>554</v>
      </c>
      <c r="J125" s="8"/>
      <c r="K125" s="8"/>
      <c r="L125" s="8"/>
      <c r="M125" s="8"/>
      <c r="N125" s="8"/>
      <c r="O125" s="8"/>
      <c r="P125" s="8"/>
      <c r="Q125" s="8"/>
      <c r="R125" s="8"/>
      <c r="S125" s="8"/>
      <c r="T125" s="8"/>
      <c r="U125" s="8"/>
      <c r="V125" s="8"/>
      <c r="W125" s="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row>
    <row r="126" spans="1:66" ht="15.75" customHeight="1" x14ac:dyDescent="0.2">
      <c r="A126" s="74" t="s">
        <v>555</v>
      </c>
      <c r="B126" s="74">
        <v>2014</v>
      </c>
      <c r="C126" s="74"/>
      <c r="D126" s="74">
        <v>1</v>
      </c>
      <c r="E126" s="74"/>
      <c r="F126" s="74">
        <v>2014</v>
      </c>
      <c r="G126" s="74"/>
      <c r="H126" s="74"/>
      <c r="I126" s="74" t="s">
        <v>554</v>
      </c>
      <c r="J126" s="8"/>
      <c r="K126" s="8"/>
      <c r="L126" s="8"/>
      <c r="M126" s="8"/>
      <c r="N126" s="8"/>
      <c r="O126" s="8"/>
      <c r="P126" s="8"/>
      <c r="Q126" s="8"/>
      <c r="R126" s="8"/>
      <c r="S126" s="8"/>
      <c r="T126" s="8"/>
      <c r="U126" s="8"/>
      <c r="V126" s="8"/>
      <c r="W126" s="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row>
    <row r="127" spans="1:66" ht="15.75" customHeight="1" x14ac:dyDescent="0.2">
      <c r="A127" s="74" t="s">
        <v>555</v>
      </c>
      <c r="B127" s="74">
        <v>2014</v>
      </c>
      <c r="C127" s="74"/>
      <c r="D127" s="74">
        <v>1</v>
      </c>
      <c r="E127" s="74"/>
      <c r="F127" s="74">
        <v>2014</v>
      </c>
      <c r="G127" s="74"/>
      <c r="H127" s="74"/>
      <c r="I127" s="74" t="s">
        <v>554</v>
      </c>
      <c r="J127" s="8"/>
      <c r="K127" s="8"/>
      <c r="L127" s="8"/>
      <c r="M127" s="8"/>
      <c r="N127" s="8"/>
      <c r="O127" s="8"/>
      <c r="P127" s="8"/>
      <c r="Q127" s="8"/>
      <c r="R127" s="8"/>
      <c r="S127" s="8"/>
      <c r="T127" s="8"/>
      <c r="U127" s="8"/>
      <c r="V127" s="8"/>
      <c r="W127" s="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row>
    <row r="128" spans="1:66" ht="15.75" customHeight="1" x14ac:dyDescent="0.2">
      <c r="A128" s="74" t="s">
        <v>161</v>
      </c>
      <c r="B128" s="74">
        <v>1998</v>
      </c>
      <c r="C128" s="74">
        <v>1</v>
      </c>
      <c r="D128" s="74"/>
      <c r="E128" s="74"/>
      <c r="F128" s="74">
        <v>1998</v>
      </c>
      <c r="G128" s="74"/>
      <c r="H128" s="74"/>
      <c r="I128" s="74" t="s">
        <v>557</v>
      </c>
      <c r="J128" s="8"/>
      <c r="K128" s="8"/>
      <c r="L128" s="8"/>
      <c r="M128" s="8"/>
      <c r="N128" s="8"/>
      <c r="O128" s="8"/>
      <c r="P128" s="8"/>
      <c r="Q128" s="8"/>
      <c r="R128" s="8"/>
      <c r="S128" s="8"/>
      <c r="T128" s="8"/>
      <c r="U128" s="8"/>
      <c r="V128" s="8"/>
      <c r="W128" s="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c r="BF128" s="68"/>
      <c r="BG128" s="68"/>
      <c r="BH128" s="68"/>
      <c r="BI128" s="68"/>
      <c r="BJ128" s="68"/>
      <c r="BK128" s="68"/>
      <c r="BL128" s="68"/>
      <c r="BM128" s="68"/>
      <c r="BN128" s="68"/>
    </row>
    <row r="129" spans="1:66" ht="15.75" customHeight="1" x14ac:dyDescent="0.2">
      <c r="A129" s="74" t="s">
        <v>161</v>
      </c>
      <c r="B129" s="74">
        <v>2000</v>
      </c>
      <c r="C129" s="74">
        <v>1</v>
      </c>
      <c r="D129" s="74"/>
      <c r="E129" s="74"/>
      <c r="F129" s="74">
        <v>2000</v>
      </c>
      <c r="G129" s="74"/>
      <c r="H129" s="74"/>
      <c r="I129" s="74" t="s">
        <v>346</v>
      </c>
      <c r="J129" s="8"/>
      <c r="K129" s="8"/>
      <c r="L129" s="8"/>
      <c r="M129" s="8"/>
      <c r="N129" s="8"/>
      <c r="O129" s="8"/>
      <c r="P129" s="8"/>
      <c r="Q129" s="8"/>
      <c r="R129" s="8"/>
      <c r="S129" s="8"/>
      <c r="T129" s="8"/>
      <c r="U129" s="8"/>
      <c r="V129" s="8"/>
      <c r="W129" s="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row>
    <row r="130" spans="1:66" ht="15.75" customHeight="1" x14ac:dyDescent="0.2">
      <c r="A130" s="74" t="s">
        <v>161</v>
      </c>
      <c r="B130" s="74">
        <v>2003</v>
      </c>
      <c r="C130" s="74"/>
      <c r="D130" s="74">
        <v>2</v>
      </c>
      <c r="E130" s="74"/>
      <c r="F130" s="74">
        <v>2003</v>
      </c>
      <c r="G130" s="74"/>
      <c r="H130" s="74"/>
      <c r="I130" s="74" t="s">
        <v>558</v>
      </c>
      <c r="J130" s="8"/>
      <c r="K130" s="8"/>
      <c r="L130" s="8"/>
      <c r="M130" s="8"/>
      <c r="N130" s="8"/>
      <c r="O130" s="8"/>
      <c r="P130" s="8"/>
      <c r="Q130" s="8"/>
      <c r="R130" s="8"/>
      <c r="S130" s="8"/>
      <c r="T130" s="8"/>
      <c r="U130" s="8"/>
      <c r="V130" s="8"/>
      <c r="W130" s="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N130" s="68"/>
    </row>
    <row r="131" spans="1:66" ht="15.75" customHeight="1" x14ac:dyDescent="0.2">
      <c r="A131" s="74" t="s">
        <v>161</v>
      </c>
      <c r="B131" s="74">
        <v>2004</v>
      </c>
      <c r="C131" s="74"/>
      <c r="D131" s="74">
        <v>2</v>
      </c>
      <c r="E131" s="74"/>
      <c r="F131" s="74">
        <v>2004</v>
      </c>
      <c r="G131" s="74"/>
      <c r="H131" s="74"/>
      <c r="I131" s="74" t="s">
        <v>558</v>
      </c>
      <c r="J131" s="8"/>
      <c r="K131" s="8"/>
      <c r="L131" s="8"/>
      <c r="M131" s="8"/>
      <c r="N131" s="8"/>
      <c r="O131" s="8"/>
      <c r="P131" s="8"/>
      <c r="Q131" s="8"/>
      <c r="R131" s="8"/>
      <c r="S131" s="8"/>
      <c r="T131" s="8"/>
      <c r="U131" s="8"/>
      <c r="V131" s="8"/>
      <c r="W131" s="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row>
    <row r="132" spans="1:66" ht="15.75" customHeight="1" x14ac:dyDescent="0.2">
      <c r="A132" s="74" t="s">
        <v>161</v>
      </c>
      <c r="B132" s="74">
        <v>2005</v>
      </c>
      <c r="C132" s="74"/>
      <c r="D132" s="74">
        <v>1</v>
      </c>
      <c r="E132" s="74"/>
      <c r="F132" s="74">
        <v>2005</v>
      </c>
      <c r="G132" s="74"/>
      <c r="H132" s="74"/>
      <c r="I132" s="74" t="s">
        <v>559</v>
      </c>
      <c r="J132" s="8"/>
      <c r="K132" s="8"/>
      <c r="L132" s="8"/>
      <c r="M132" s="8"/>
      <c r="N132" s="8"/>
      <c r="O132" s="8"/>
      <c r="P132" s="8"/>
      <c r="Q132" s="8"/>
      <c r="R132" s="8"/>
      <c r="S132" s="8"/>
      <c r="T132" s="8"/>
      <c r="U132" s="8"/>
      <c r="V132" s="8"/>
      <c r="W132" s="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row>
    <row r="133" spans="1:66" ht="15.75" customHeight="1" x14ac:dyDescent="0.2">
      <c r="A133" s="74" t="s">
        <v>161</v>
      </c>
      <c r="B133" s="74">
        <v>2006</v>
      </c>
      <c r="C133" s="74"/>
      <c r="D133" s="74">
        <v>2</v>
      </c>
      <c r="E133" s="74"/>
      <c r="F133" s="74">
        <v>2006</v>
      </c>
      <c r="G133" s="74"/>
      <c r="H133" s="74"/>
      <c r="I133" s="74" t="s">
        <v>558</v>
      </c>
      <c r="J133" s="8"/>
      <c r="K133" s="8"/>
      <c r="L133" s="8"/>
      <c r="M133" s="8"/>
      <c r="N133" s="8"/>
      <c r="O133" s="8"/>
      <c r="P133" s="8"/>
      <c r="Q133" s="8"/>
      <c r="R133" s="8"/>
      <c r="S133" s="8"/>
      <c r="T133" s="8"/>
      <c r="U133" s="8"/>
      <c r="V133" s="8"/>
      <c r="W133" s="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row>
    <row r="134" spans="1:66" ht="15.75" customHeight="1" x14ac:dyDescent="0.2">
      <c r="A134" s="74" t="s">
        <v>161</v>
      </c>
      <c r="B134" s="74">
        <v>2007</v>
      </c>
      <c r="C134" s="74"/>
      <c r="D134" s="74">
        <v>1</v>
      </c>
      <c r="E134" s="74"/>
      <c r="F134" s="74">
        <v>2007</v>
      </c>
      <c r="G134" s="74"/>
      <c r="H134" s="74"/>
      <c r="I134" s="74" t="s">
        <v>559</v>
      </c>
      <c r="J134" s="8"/>
      <c r="K134" s="8"/>
      <c r="L134" s="8"/>
      <c r="M134" s="8"/>
      <c r="N134" s="8"/>
      <c r="O134" s="8"/>
      <c r="P134" s="8"/>
      <c r="Q134" s="8"/>
      <c r="R134" s="8"/>
      <c r="S134" s="8"/>
      <c r="T134" s="8"/>
      <c r="U134" s="8"/>
      <c r="V134" s="8"/>
      <c r="W134" s="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c r="BF134" s="68"/>
      <c r="BG134" s="68"/>
      <c r="BH134" s="68"/>
      <c r="BI134" s="68"/>
      <c r="BJ134" s="68"/>
      <c r="BK134" s="68"/>
      <c r="BL134" s="68"/>
      <c r="BM134" s="68"/>
      <c r="BN134" s="68"/>
    </row>
    <row r="135" spans="1:66" ht="15.75" customHeight="1" x14ac:dyDescent="0.2">
      <c r="A135" s="74" t="s">
        <v>161</v>
      </c>
      <c r="B135" s="74">
        <v>2008</v>
      </c>
      <c r="C135" s="74"/>
      <c r="D135" s="74">
        <v>2</v>
      </c>
      <c r="E135" s="74"/>
      <c r="F135" s="74">
        <v>2008</v>
      </c>
      <c r="G135" s="74"/>
      <c r="H135" s="74"/>
      <c r="I135" s="74" t="s">
        <v>558</v>
      </c>
      <c r="J135" s="8"/>
      <c r="K135" s="8"/>
      <c r="L135" s="8"/>
      <c r="M135" s="8"/>
      <c r="N135" s="8"/>
      <c r="O135" s="8"/>
      <c r="P135" s="8"/>
      <c r="Q135" s="8"/>
      <c r="R135" s="8"/>
      <c r="S135" s="8"/>
      <c r="T135" s="8"/>
      <c r="U135" s="8"/>
      <c r="V135" s="8"/>
      <c r="W135" s="8"/>
      <c r="X135" s="68"/>
      <c r="Y135" s="68"/>
      <c r="Z135" s="68"/>
      <c r="AA135" s="68"/>
      <c r="AB135" s="68"/>
      <c r="AC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A135" s="68"/>
      <c r="BB135" s="68"/>
      <c r="BC135" s="68"/>
      <c r="BD135" s="68"/>
      <c r="BE135" s="68"/>
      <c r="BF135" s="68"/>
      <c r="BG135" s="68"/>
      <c r="BH135" s="68"/>
      <c r="BI135" s="68"/>
      <c r="BJ135" s="68"/>
      <c r="BK135" s="68"/>
      <c r="BL135" s="68"/>
      <c r="BM135" s="68"/>
      <c r="BN135" s="68"/>
    </row>
    <row r="136" spans="1:66" ht="15.75" customHeight="1" x14ac:dyDescent="0.2">
      <c r="A136" s="74" t="s">
        <v>161</v>
      </c>
      <c r="B136" s="74">
        <v>2009</v>
      </c>
      <c r="C136" s="74"/>
      <c r="D136" s="74">
        <v>2</v>
      </c>
      <c r="E136" s="74"/>
      <c r="F136" s="74">
        <v>2009</v>
      </c>
      <c r="G136" s="74"/>
      <c r="H136" s="74"/>
      <c r="I136" s="74" t="s">
        <v>558</v>
      </c>
      <c r="J136" s="8"/>
      <c r="K136" s="8"/>
      <c r="L136" s="8"/>
      <c r="M136" s="8"/>
      <c r="N136" s="8"/>
      <c r="O136" s="8"/>
      <c r="P136" s="8"/>
      <c r="Q136" s="8"/>
      <c r="R136" s="8"/>
      <c r="S136" s="8"/>
      <c r="T136" s="8"/>
      <c r="U136" s="8"/>
      <c r="V136" s="8"/>
      <c r="W136" s="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row>
    <row r="137" spans="1:66" ht="15.75" customHeight="1" x14ac:dyDescent="0.2">
      <c r="A137" s="74" t="s">
        <v>161</v>
      </c>
      <c r="B137" s="74">
        <v>2010</v>
      </c>
      <c r="C137" s="74"/>
      <c r="D137" s="74">
        <v>2</v>
      </c>
      <c r="E137" s="74"/>
      <c r="F137" s="74">
        <v>2010</v>
      </c>
      <c r="G137" s="74"/>
      <c r="H137" s="74"/>
      <c r="I137" s="74" t="s">
        <v>558</v>
      </c>
      <c r="J137" s="8"/>
      <c r="K137" s="8"/>
      <c r="L137" s="8"/>
      <c r="M137" s="8"/>
      <c r="N137" s="8"/>
      <c r="O137" s="8"/>
      <c r="P137" s="8"/>
      <c r="Q137" s="8"/>
      <c r="R137" s="8"/>
      <c r="S137" s="8"/>
      <c r="T137" s="8"/>
      <c r="U137" s="8"/>
      <c r="V137" s="8"/>
      <c r="W137" s="8"/>
      <c r="X137" s="68"/>
      <c r="Y137" s="68"/>
      <c r="Z137" s="68"/>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N137" s="68"/>
    </row>
    <row r="138" spans="1:66" ht="15.75" customHeight="1" x14ac:dyDescent="0.2">
      <c r="A138" s="74" t="s">
        <v>161</v>
      </c>
      <c r="B138" s="74">
        <v>2011</v>
      </c>
      <c r="C138" s="74"/>
      <c r="D138" s="74">
        <v>2</v>
      </c>
      <c r="E138" s="74"/>
      <c r="F138" s="74">
        <v>2011</v>
      </c>
      <c r="G138" s="74"/>
      <c r="H138" s="74"/>
      <c r="I138" s="74" t="s">
        <v>558</v>
      </c>
      <c r="J138" s="8"/>
      <c r="K138" s="8"/>
      <c r="L138" s="8"/>
      <c r="M138" s="8"/>
      <c r="N138" s="8"/>
      <c r="O138" s="8"/>
      <c r="P138" s="8"/>
      <c r="Q138" s="8"/>
      <c r="R138" s="8"/>
      <c r="S138" s="8"/>
      <c r="T138" s="8"/>
      <c r="U138" s="8"/>
      <c r="V138" s="8"/>
      <c r="W138" s="8"/>
      <c r="X138" s="68"/>
      <c r="Y138" s="68"/>
      <c r="Z138" s="68"/>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c r="BA138" s="68"/>
      <c r="BB138" s="68"/>
      <c r="BC138" s="68"/>
      <c r="BD138" s="68"/>
      <c r="BE138" s="68"/>
      <c r="BF138" s="68"/>
      <c r="BG138" s="68"/>
      <c r="BH138" s="68"/>
      <c r="BI138" s="68"/>
      <c r="BJ138" s="68"/>
      <c r="BK138" s="68"/>
      <c r="BL138" s="68"/>
      <c r="BM138" s="68"/>
      <c r="BN138" s="68"/>
    </row>
    <row r="139" spans="1:66" ht="15.75" customHeight="1" x14ac:dyDescent="0.2">
      <c r="A139" s="74" t="s">
        <v>161</v>
      </c>
      <c r="B139" s="74">
        <v>2012</v>
      </c>
      <c r="C139" s="74"/>
      <c r="D139" s="74">
        <v>1</v>
      </c>
      <c r="E139" s="74"/>
      <c r="F139" s="74">
        <v>2012</v>
      </c>
      <c r="G139" s="74"/>
      <c r="H139" s="74"/>
      <c r="I139" s="74" t="s">
        <v>559</v>
      </c>
      <c r="J139" s="8"/>
      <c r="K139" s="8"/>
      <c r="L139" s="8"/>
      <c r="M139" s="8"/>
      <c r="N139" s="8"/>
      <c r="O139" s="8"/>
      <c r="P139" s="8"/>
      <c r="Q139" s="8"/>
      <c r="R139" s="8"/>
      <c r="S139" s="8"/>
      <c r="T139" s="8"/>
      <c r="U139" s="8"/>
      <c r="V139" s="8"/>
      <c r="W139" s="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row>
    <row r="140" spans="1:66" ht="15.75" customHeight="1" x14ac:dyDescent="0.2">
      <c r="A140" s="74" t="s">
        <v>161</v>
      </c>
      <c r="B140" s="74">
        <v>2013</v>
      </c>
      <c r="C140" s="74"/>
      <c r="D140" s="74">
        <v>2</v>
      </c>
      <c r="E140" s="74"/>
      <c r="F140" s="74">
        <v>2013</v>
      </c>
      <c r="G140" s="74"/>
      <c r="H140" s="74"/>
      <c r="I140" s="74" t="s">
        <v>558</v>
      </c>
      <c r="J140" s="8"/>
      <c r="K140" s="8"/>
      <c r="L140" s="8"/>
      <c r="M140" s="8"/>
      <c r="N140" s="8"/>
      <c r="O140" s="8"/>
      <c r="P140" s="8"/>
      <c r="Q140" s="8"/>
      <c r="R140" s="8"/>
      <c r="S140" s="8"/>
      <c r="T140" s="8"/>
      <c r="U140" s="8"/>
      <c r="V140" s="8"/>
      <c r="W140" s="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row>
    <row r="141" spans="1:66" ht="15.75" customHeight="1" x14ac:dyDescent="0.2">
      <c r="A141" s="74" t="s">
        <v>161</v>
      </c>
      <c r="B141" s="74">
        <v>2014</v>
      </c>
      <c r="C141" s="74"/>
      <c r="D141" s="74">
        <v>1</v>
      </c>
      <c r="E141" s="74"/>
      <c r="F141" s="74">
        <v>2014</v>
      </c>
      <c r="G141" s="74"/>
      <c r="H141" s="74"/>
      <c r="I141" s="74" t="s">
        <v>559</v>
      </c>
      <c r="J141" s="8"/>
      <c r="K141" s="8"/>
      <c r="L141" s="8"/>
      <c r="M141" s="8"/>
      <c r="N141" s="8"/>
      <c r="O141" s="8"/>
      <c r="P141" s="8"/>
      <c r="Q141" s="8"/>
      <c r="R141" s="8"/>
      <c r="S141" s="8"/>
      <c r="T141" s="8"/>
      <c r="U141" s="8"/>
      <c r="V141" s="8"/>
      <c r="W141" s="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row>
    <row r="142" spans="1:66" ht="15.75" customHeight="1" x14ac:dyDescent="0.2">
      <c r="A142" s="74" t="s">
        <v>161</v>
      </c>
      <c r="B142" s="74">
        <v>2015</v>
      </c>
      <c r="C142" s="74"/>
      <c r="D142" s="74">
        <v>2</v>
      </c>
      <c r="E142" s="74"/>
      <c r="F142" s="74">
        <v>2015</v>
      </c>
      <c r="G142" s="74"/>
      <c r="H142" s="74"/>
      <c r="I142" s="74" t="s">
        <v>558</v>
      </c>
      <c r="J142" s="8"/>
      <c r="K142" s="8"/>
      <c r="L142" s="8"/>
      <c r="M142" s="8"/>
      <c r="N142" s="8"/>
      <c r="O142" s="8"/>
      <c r="P142" s="8"/>
      <c r="Q142" s="8"/>
      <c r="R142" s="8"/>
      <c r="S142" s="8"/>
      <c r="T142" s="8"/>
      <c r="U142" s="8"/>
      <c r="V142" s="8"/>
      <c r="W142" s="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row>
    <row r="143" spans="1:66" ht="15.75" customHeight="1" x14ac:dyDescent="0.2">
      <c r="A143" s="74" t="s">
        <v>161</v>
      </c>
      <c r="B143" s="74">
        <v>2018</v>
      </c>
      <c r="C143" s="74"/>
      <c r="D143" s="74">
        <v>2</v>
      </c>
      <c r="E143" s="74"/>
      <c r="F143" s="74">
        <v>2018</v>
      </c>
      <c r="G143" s="74"/>
      <c r="H143" s="74"/>
      <c r="I143" s="74" t="s">
        <v>558</v>
      </c>
      <c r="J143" s="8"/>
      <c r="K143" s="8"/>
      <c r="L143" s="8"/>
      <c r="M143" s="8"/>
      <c r="N143" s="8"/>
      <c r="O143" s="8"/>
      <c r="P143" s="8"/>
      <c r="Q143" s="8"/>
      <c r="R143" s="8"/>
      <c r="S143" s="8"/>
      <c r="T143" s="8"/>
      <c r="U143" s="8"/>
      <c r="V143" s="8"/>
      <c r="W143" s="8"/>
      <c r="X143" s="68"/>
      <c r="Y143" s="68"/>
      <c r="Z143" s="68"/>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N143" s="68"/>
    </row>
    <row r="144" spans="1:66" ht="15.75" customHeight="1" x14ac:dyDescent="0.2">
      <c r="A144" s="74" t="s">
        <v>161</v>
      </c>
      <c r="B144" s="74">
        <v>2020</v>
      </c>
      <c r="C144" s="74">
        <v>3</v>
      </c>
      <c r="D144" s="74">
        <v>2</v>
      </c>
      <c r="E144" s="74"/>
      <c r="F144" s="74">
        <v>2020</v>
      </c>
      <c r="G144" s="74"/>
      <c r="H144" s="74" t="s">
        <v>560</v>
      </c>
      <c r="I144" s="74" t="s">
        <v>561</v>
      </c>
      <c r="J144" s="8"/>
      <c r="K144" s="8"/>
      <c r="L144" s="8"/>
      <c r="M144" s="8"/>
      <c r="N144" s="8"/>
      <c r="O144" s="8"/>
      <c r="P144" s="8"/>
      <c r="Q144" s="8"/>
      <c r="R144" s="8"/>
      <c r="S144" s="8"/>
      <c r="T144" s="8"/>
      <c r="U144" s="8"/>
      <c r="V144" s="8"/>
      <c r="W144" s="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row>
    <row r="145" spans="1:66" ht="15.75" customHeight="1" x14ac:dyDescent="0.2">
      <c r="A145" s="74" t="s">
        <v>161</v>
      </c>
      <c r="B145" s="74">
        <v>2021</v>
      </c>
      <c r="C145" s="74"/>
      <c r="D145" s="74">
        <v>1</v>
      </c>
      <c r="E145" s="74"/>
      <c r="F145" s="74">
        <v>2021</v>
      </c>
      <c r="G145" s="74"/>
      <c r="H145" s="74"/>
      <c r="I145" s="74" t="s">
        <v>558</v>
      </c>
      <c r="J145" s="8"/>
      <c r="K145" s="8"/>
      <c r="L145" s="8"/>
      <c r="M145" s="8"/>
      <c r="N145" s="8"/>
      <c r="O145" s="8"/>
      <c r="P145" s="8"/>
      <c r="Q145" s="8"/>
      <c r="R145" s="8"/>
      <c r="S145" s="8"/>
      <c r="T145" s="8"/>
      <c r="U145" s="8"/>
      <c r="V145" s="8"/>
      <c r="W145" s="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row>
    <row r="146" spans="1:66" ht="15.75" customHeight="1" x14ac:dyDescent="0.2">
      <c r="A146" s="74" t="s">
        <v>161</v>
      </c>
      <c r="B146" s="74">
        <v>2022</v>
      </c>
      <c r="C146" s="74">
        <v>1</v>
      </c>
      <c r="D146" s="74">
        <v>1</v>
      </c>
      <c r="E146" s="74"/>
      <c r="F146" s="83">
        <v>2022</v>
      </c>
      <c r="G146" s="74"/>
      <c r="H146" s="74" t="s">
        <v>562</v>
      </c>
      <c r="I146" s="74" t="s">
        <v>563</v>
      </c>
      <c r="J146" s="68"/>
      <c r="K146" s="68"/>
      <c r="L146" s="68"/>
      <c r="M146" s="68"/>
      <c r="N146" s="68"/>
      <c r="O146" s="68"/>
      <c r="P146" s="68"/>
      <c r="Q146" s="68"/>
      <c r="R146" s="68"/>
      <c r="S146" s="68"/>
      <c r="T146" s="68"/>
      <c r="U146" s="68"/>
      <c r="V146" s="68"/>
      <c r="W146" s="68"/>
      <c r="X146" s="68"/>
      <c r="Y146" s="68"/>
      <c r="Z146" s="68"/>
      <c r="AA146" s="8"/>
      <c r="AB146" s="8"/>
      <c r="AC146" s="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row>
    <row r="147" spans="1:66" ht="15.75" customHeight="1" x14ac:dyDescent="0.2">
      <c r="A147" s="96" t="s">
        <v>161</v>
      </c>
      <c r="B147" s="96">
        <v>2023</v>
      </c>
      <c r="C147" s="96">
        <v>1</v>
      </c>
      <c r="D147" s="96" t="s">
        <v>163</v>
      </c>
      <c r="E147" s="96" t="s">
        <v>163</v>
      </c>
      <c r="F147" s="96">
        <v>2023</v>
      </c>
      <c r="G147" s="96" t="s">
        <v>163</v>
      </c>
      <c r="H147" s="96" t="s">
        <v>562</v>
      </c>
      <c r="I147" s="38" t="s">
        <v>351</v>
      </c>
      <c r="J147" s="97" t="s">
        <v>163</v>
      </c>
      <c r="K147" s="97" t="s">
        <v>163</v>
      </c>
      <c r="L147" s="97" t="s">
        <v>163</v>
      </c>
      <c r="M147" s="97" t="s">
        <v>163</v>
      </c>
      <c r="N147" s="97" t="s">
        <v>163</v>
      </c>
      <c r="O147" s="97" t="s">
        <v>163</v>
      </c>
      <c r="P147" s="97" t="s">
        <v>163</v>
      </c>
      <c r="Q147" s="97" t="s">
        <v>163</v>
      </c>
      <c r="R147" s="97" t="s">
        <v>163</v>
      </c>
      <c r="S147" s="97" t="s">
        <v>163</v>
      </c>
      <c r="T147" s="97" t="s">
        <v>163</v>
      </c>
      <c r="U147" s="97" t="s">
        <v>163</v>
      </c>
      <c r="V147" s="97" t="s">
        <v>163</v>
      </c>
      <c r="W147" s="97" t="s">
        <v>163</v>
      </c>
      <c r="X147" s="97" t="s">
        <v>163</v>
      </c>
      <c r="Y147" s="97" t="s">
        <v>163</v>
      </c>
      <c r="Z147" s="97" t="s">
        <v>163</v>
      </c>
      <c r="AA147" s="38" t="s">
        <v>163</v>
      </c>
      <c r="AB147" s="38" t="s">
        <v>163</v>
      </c>
      <c r="AC147" s="38" t="s">
        <v>163</v>
      </c>
      <c r="AD147" s="97" t="s">
        <v>163</v>
      </c>
      <c r="AE147" s="97" t="s">
        <v>163</v>
      </c>
      <c r="AF147" s="97" t="s">
        <v>163</v>
      </c>
      <c r="AG147" s="97" t="s">
        <v>163</v>
      </c>
      <c r="AH147" s="97" t="s">
        <v>163</v>
      </c>
      <c r="AI147" s="97" t="s">
        <v>163</v>
      </c>
      <c r="AJ147" s="97" t="s">
        <v>163</v>
      </c>
      <c r="AK147" s="97" t="s">
        <v>163</v>
      </c>
      <c r="AL147" s="97" t="s">
        <v>163</v>
      </c>
      <c r="AM147" s="97" t="s">
        <v>163</v>
      </c>
      <c r="AN147" s="97" t="s">
        <v>163</v>
      </c>
      <c r="AO147" s="97" t="s">
        <v>163</v>
      </c>
      <c r="AP147" s="97" t="s">
        <v>163</v>
      </c>
      <c r="AQ147" s="97" t="s">
        <v>163</v>
      </c>
      <c r="AR147" s="97" t="s">
        <v>163</v>
      </c>
      <c r="AS147" s="97" t="s">
        <v>163</v>
      </c>
      <c r="AT147" s="97" t="s">
        <v>163</v>
      </c>
      <c r="AU147" s="97" t="s">
        <v>163</v>
      </c>
      <c r="AV147" s="97" t="s">
        <v>163</v>
      </c>
      <c r="AW147" s="97" t="s">
        <v>163</v>
      </c>
      <c r="AX147" s="97" t="s">
        <v>163</v>
      </c>
      <c r="AY147" s="97" t="s">
        <v>163</v>
      </c>
      <c r="AZ147" s="97" t="s">
        <v>163</v>
      </c>
      <c r="BA147" s="97" t="s">
        <v>163</v>
      </c>
      <c r="BB147" s="97" t="s">
        <v>163</v>
      </c>
      <c r="BC147" s="97" t="s">
        <v>163</v>
      </c>
      <c r="BD147" s="97" t="s">
        <v>163</v>
      </c>
      <c r="BE147" s="97" t="s">
        <v>163</v>
      </c>
      <c r="BF147" s="97" t="s">
        <v>163</v>
      </c>
      <c r="BG147" s="97" t="s">
        <v>163</v>
      </c>
      <c r="BH147" s="97" t="s">
        <v>163</v>
      </c>
      <c r="BI147" s="97" t="s">
        <v>163</v>
      </c>
      <c r="BJ147" s="97" t="s">
        <v>163</v>
      </c>
      <c r="BK147" s="97" t="s">
        <v>163</v>
      </c>
      <c r="BL147" s="97" t="s">
        <v>163</v>
      </c>
      <c r="BM147" s="97" t="s">
        <v>163</v>
      </c>
      <c r="BN147" s="97" t="s">
        <v>163</v>
      </c>
    </row>
    <row r="148" spans="1:66" ht="15.75" customHeight="1" x14ac:dyDescent="0.2">
      <c r="A148" s="74" t="s">
        <v>164</v>
      </c>
      <c r="B148" s="74">
        <v>1964</v>
      </c>
      <c r="C148" s="74">
        <v>1</v>
      </c>
      <c r="D148" s="74"/>
      <c r="E148" s="74"/>
      <c r="F148" s="83">
        <v>1964</v>
      </c>
      <c r="G148" s="74"/>
      <c r="H148" s="74"/>
      <c r="I148" s="74" t="s">
        <v>564</v>
      </c>
      <c r="J148" s="68"/>
      <c r="K148" s="68"/>
      <c r="L148" s="68"/>
      <c r="M148" s="68"/>
      <c r="N148" s="68"/>
      <c r="O148" s="68"/>
      <c r="P148" s="68"/>
      <c r="Q148" s="68"/>
      <c r="R148" s="68"/>
      <c r="S148" s="68"/>
      <c r="T148" s="68"/>
      <c r="U148" s="68"/>
      <c r="V148" s="68"/>
      <c r="W148" s="68"/>
      <c r="X148" s="68"/>
      <c r="Y148" s="68"/>
      <c r="Z148" s="68"/>
      <c r="AA148" s="8" t="s">
        <v>164</v>
      </c>
      <c r="AB148" s="8">
        <v>1964</v>
      </c>
      <c r="AC148" s="8">
        <v>1</v>
      </c>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row>
    <row r="149" spans="1:66" ht="15.75" customHeight="1" x14ac:dyDescent="0.2">
      <c r="A149" s="74" t="s">
        <v>164</v>
      </c>
      <c r="B149" s="74">
        <v>1973</v>
      </c>
      <c r="C149" s="74">
        <v>2</v>
      </c>
      <c r="D149" s="74"/>
      <c r="E149" s="74"/>
      <c r="F149" s="83">
        <v>1973</v>
      </c>
      <c r="G149" s="74"/>
      <c r="H149" s="74"/>
      <c r="I149" s="74" t="s">
        <v>565</v>
      </c>
      <c r="J149" s="68"/>
      <c r="K149" s="68"/>
      <c r="L149" s="68"/>
      <c r="M149" s="68"/>
      <c r="N149" s="68"/>
      <c r="O149" s="68"/>
      <c r="P149" s="68"/>
      <c r="Q149" s="68"/>
      <c r="R149" s="68"/>
      <c r="S149" s="68"/>
      <c r="T149" s="68"/>
      <c r="U149" s="68"/>
      <c r="V149" s="68"/>
      <c r="W149" s="68"/>
      <c r="X149" s="68"/>
      <c r="Y149" s="68"/>
      <c r="Z149" s="68"/>
      <c r="AA149" s="8" t="s">
        <v>164</v>
      </c>
      <c r="AB149" s="8">
        <v>1973</v>
      </c>
      <c r="AC149" s="8">
        <v>1</v>
      </c>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c r="BF149" s="68"/>
      <c r="BG149" s="68"/>
      <c r="BH149" s="68"/>
      <c r="BI149" s="68"/>
      <c r="BJ149" s="68"/>
      <c r="BK149" s="68"/>
      <c r="BL149" s="68"/>
      <c r="BM149" s="68"/>
      <c r="BN149" s="68"/>
    </row>
    <row r="150" spans="1:66" ht="15.75" customHeight="1" x14ac:dyDescent="0.2">
      <c r="A150" s="74" t="s">
        <v>164</v>
      </c>
      <c r="B150" s="74">
        <v>1995</v>
      </c>
      <c r="C150" s="74">
        <v>1</v>
      </c>
      <c r="D150" s="74"/>
      <c r="E150" s="74"/>
      <c r="F150" s="83">
        <v>1995</v>
      </c>
      <c r="G150" s="74"/>
      <c r="H150" s="74"/>
      <c r="I150" s="74" t="s">
        <v>566</v>
      </c>
      <c r="J150" s="68"/>
      <c r="K150" s="68"/>
      <c r="L150" s="68"/>
      <c r="M150" s="68"/>
      <c r="N150" s="68"/>
      <c r="O150" s="68"/>
      <c r="P150" s="68"/>
      <c r="Q150" s="68"/>
      <c r="R150" s="68"/>
      <c r="S150" s="68"/>
      <c r="T150" s="68"/>
      <c r="U150" s="68"/>
      <c r="V150" s="68"/>
      <c r="W150" s="68"/>
      <c r="X150" s="68"/>
      <c r="Y150" s="68"/>
      <c r="Z150" s="68"/>
      <c r="AA150" s="8" t="s">
        <v>164</v>
      </c>
      <c r="AB150" s="8">
        <v>1995</v>
      </c>
      <c r="AC150" s="8">
        <v>1</v>
      </c>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row>
    <row r="151" spans="1:66" ht="15.75" customHeight="1" x14ac:dyDescent="0.2">
      <c r="A151" s="74" t="s">
        <v>164</v>
      </c>
      <c r="B151" s="74">
        <v>2005</v>
      </c>
      <c r="C151" s="74">
        <v>2</v>
      </c>
      <c r="D151" s="74"/>
      <c r="E151" s="74"/>
      <c r="F151" s="83">
        <v>2006</v>
      </c>
      <c r="G151" s="74"/>
      <c r="H151" s="74"/>
      <c r="I151" s="74" t="s">
        <v>567</v>
      </c>
      <c r="J151" s="68"/>
      <c r="K151" s="68"/>
      <c r="L151" s="68"/>
      <c r="M151" s="68"/>
      <c r="N151" s="68"/>
      <c r="O151" s="68"/>
      <c r="P151" s="68"/>
      <c r="Q151" s="68"/>
      <c r="R151" s="68"/>
      <c r="S151" s="68"/>
      <c r="T151" s="68"/>
      <c r="U151" s="68"/>
      <c r="V151" s="68"/>
      <c r="W151" s="68"/>
      <c r="X151" s="68"/>
      <c r="Y151" s="68"/>
      <c r="Z151" s="68"/>
      <c r="AA151" s="8" t="s">
        <v>164</v>
      </c>
      <c r="AB151" s="8">
        <v>2005</v>
      </c>
      <c r="AC151" s="8">
        <v>2</v>
      </c>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row>
    <row r="152" spans="1:66" ht="15.75" customHeight="1" x14ac:dyDescent="0.2">
      <c r="A152" s="74" t="s">
        <v>164</v>
      </c>
      <c r="B152" s="74">
        <v>2010</v>
      </c>
      <c r="C152" s="74"/>
      <c r="D152" s="74">
        <v>1</v>
      </c>
      <c r="E152" s="74"/>
      <c r="F152" s="74">
        <v>2010</v>
      </c>
      <c r="G152" s="74"/>
      <c r="H152" s="74" t="s">
        <v>568</v>
      </c>
      <c r="I152" s="74" t="s">
        <v>569</v>
      </c>
      <c r="J152" s="68"/>
      <c r="K152" s="68"/>
      <c r="L152" s="68"/>
      <c r="M152" s="68"/>
      <c r="N152" s="68"/>
      <c r="O152" s="68"/>
      <c r="P152" s="68"/>
      <c r="Q152" s="68"/>
      <c r="R152" s="68"/>
      <c r="S152" s="68"/>
      <c r="T152" s="68"/>
      <c r="U152" s="68"/>
      <c r="V152" s="68"/>
      <c r="W152" s="68"/>
      <c r="X152" s="68"/>
      <c r="Y152" s="68"/>
      <c r="Z152" s="68"/>
      <c r="AA152" s="8"/>
      <c r="AB152" s="8"/>
      <c r="AC152" s="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row>
    <row r="153" spans="1:66" ht="15.75" customHeight="1" x14ac:dyDescent="0.2">
      <c r="A153" s="74" t="s">
        <v>164</v>
      </c>
      <c r="B153" s="74">
        <v>2012</v>
      </c>
      <c r="C153" s="74"/>
      <c r="D153" s="74">
        <v>1</v>
      </c>
      <c r="E153" s="74"/>
      <c r="F153" s="74">
        <v>2012</v>
      </c>
      <c r="G153" s="74"/>
      <c r="H153" s="74"/>
      <c r="I153" s="74" t="s">
        <v>357</v>
      </c>
      <c r="J153" s="68"/>
      <c r="K153" s="68"/>
      <c r="L153" s="68"/>
      <c r="M153" s="68"/>
      <c r="N153" s="68"/>
      <c r="O153" s="68"/>
      <c r="P153" s="68"/>
      <c r="Q153" s="68"/>
      <c r="R153" s="68"/>
      <c r="S153" s="68"/>
      <c r="T153" s="68"/>
      <c r="U153" s="68"/>
      <c r="V153" s="68"/>
      <c r="W153" s="68"/>
      <c r="X153" s="68"/>
      <c r="Y153" s="68"/>
      <c r="Z153" s="68"/>
      <c r="AA153" s="8"/>
      <c r="AB153" s="8"/>
      <c r="AC153" s="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row>
    <row r="154" spans="1:66" ht="15.75" customHeight="1" x14ac:dyDescent="0.2">
      <c r="A154" s="74" t="s">
        <v>164</v>
      </c>
      <c r="B154" s="74">
        <v>2013</v>
      </c>
      <c r="C154" s="74"/>
      <c r="D154" s="74">
        <v>1</v>
      </c>
      <c r="E154" s="74"/>
      <c r="F154" s="74">
        <v>2013</v>
      </c>
      <c r="G154" s="74"/>
      <c r="H154" s="74" t="s">
        <v>570</v>
      </c>
      <c r="I154" s="74" t="s">
        <v>571</v>
      </c>
      <c r="J154" s="68"/>
      <c r="K154" s="68"/>
      <c r="L154" s="68"/>
      <c r="M154" s="68"/>
      <c r="N154" s="68"/>
      <c r="O154" s="68"/>
      <c r="P154" s="68"/>
      <c r="Q154" s="68"/>
      <c r="R154" s="68"/>
      <c r="S154" s="68"/>
      <c r="T154" s="68"/>
      <c r="U154" s="68"/>
      <c r="V154" s="68"/>
      <c r="W154" s="68"/>
      <c r="X154" s="68"/>
      <c r="Y154" s="68"/>
      <c r="Z154" s="68"/>
      <c r="AA154" s="8"/>
      <c r="AB154" s="8"/>
      <c r="AC154" s="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row>
    <row r="155" spans="1:66" ht="15.75" customHeight="1" x14ac:dyDescent="0.2">
      <c r="A155" s="74" t="s">
        <v>164</v>
      </c>
      <c r="B155" s="74">
        <v>2014</v>
      </c>
      <c r="C155" s="74"/>
      <c r="D155" s="74">
        <v>2</v>
      </c>
      <c r="E155" s="74"/>
      <c r="F155" s="74">
        <v>2014</v>
      </c>
      <c r="G155" s="74"/>
      <c r="H155" s="98" t="s">
        <v>572</v>
      </c>
      <c r="I155" s="74" t="s">
        <v>573</v>
      </c>
      <c r="J155" s="68"/>
      <c r="K155" s="68"/>
      <c r="L155" s="68"/>
      <c r="M155" s="68"/>
      <c r="N155" s="68"/>
      <c r="O155" s="68"/>
      <c r="P155" s="68"/>
      <c r="Q155" s="68"/>
      <c r="R155" s="68"/>
      <c r="S155" s="68"/>
      <c r="T155" s="68"/>
      <c r="U155" s="68"/>
      <c r="V155" s="68"/>
      <c r="W155" s="68"/>
      <c r="X155" s="68"/>
      <c r="Y155" s="68"/>
      <c r="Z155" s="68"/>
      <c r="AA155" s="8"/>
      <c r="AB155" s="8"/>
      <c r="AC155" s="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row>
    <row r="156" spans="1:66" ht="15.75" customHeight="1" x14ac:dyDescent="0.2">
      <c r="A156" s="74" t="s">
        <v>164</v>
      </c>
      <c r="B156" s="74">
        <v>2017</v>
      </c>
      <c r="C156" s="74"/>
      <c r="D156" s="74">
        <v>1</v>
      </c>
      <c r="E156" s="74"/>
      <c r="F156" s="74">
        <v>2017</v>
      </c>
      <c r="G156" s="74"/>
      <c r="H156" s="74" t="s">
        <v>574</v>
      </c>
      <c r="I156" s="74" t="s">
        <v>575</v>
      </c>
      <c r="J156" s="68"/>
      <c r="K156" s="68"/>
      <c r="L156" s="68"/>
      <c r="M156" s="68"/>
      <c r="N156" s="68"/>
      <c r="O156" s="68"/>
      <c r="P156" s="68"/>
      <c r="Q156" s="68"/>
      <c r="R156" s="68"/>
      <c r="S156" s="68"/>
      <c r="T156" s="68"/>
      <c r="U156" s="68"/>
      <c r="V156" s="68"/>
      <c r="W156" s="68"/>
      <c r="X156" s="68"/>
      <c r="Y156" s="68"/>
      <c r="Z156" s="68"/>
      <c r="AA156" s="8"/>
      <c r="AB156" s="8"/>
      <c r="AC156" s="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row>
    <row r="157" spans="1:66" ht="15.75" customHeight="1" x14ac:dyDescent="0.2">
      <c r="A157" s="74" t="s">
        <v>164</v>
      </c>
      <c r="B157" s="74">
        <v>2018</v>
      </c>
      <c r="C157" s="74"/>
      <c r="D157" s="74">
        <v>3</v>
      </c>
      <c r="E157" s="74"/>
      <c r="F157" s="74">
        <v>2018</v>
      </c>
      <c r="G157" s="74"/>
      <c r="H157" s="74" t="s">
        <v>576</v>
      </c>
      <c r="I157" s="74" t="s">
        <v>577</v>
      </c>
      <c r="J157" s="68"/>
      <c r="K157" s="68"/>
      <c r="L157" s="68"/>
      <c r="M157" s="68"/>
      <c r="N157" s="68"/>
      <c r="O157" s="68"/>
      <c r="P157" s="68"/>
      <c r="Q157" s="68"/>
      <c r="R157" s="68"/>
      <c r="S157" s="68"/>
      <c r="T157" s="68"/>
      <c r="U157" s="68"/>
      <c r="V157" s="68"/>
      <c r="W157" s="68"/>
      <c r="X157" s="68"/>
      <c r="Y157" s="68"/>
      <c r="Z157" s="68"/>
      <c r="AA157" s="8" t="s">
        <v>164</v>
      </c>
      <c r="AB157" s="8">
        <v>2018</v>
      </c>
      <c r="AC157" s="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row>
    <row r="158" spans="1:66" ht="15.75" customHeight="1" x14ac:dyDescent="0.2">
      <c r="A158" s="74" t="s">
        <v>164</v>
      </c>
      <c r="B158" s="74">
        <v>2020</v>
      </c>
      <c r="C158" s="74">
        <v>1</v>
      </c>
      <c r="D158" s="74">
        <v>3</v>
      </c>
      <c r="E158" s="74"/>
      <c r="F158" s="74">
        <v>2020</v>
      </c>
      <c r="G158" s="74"/>
      <c r="H158" s="74"/>
      <c r="I158" s="74" t="s">
        <v>578</v>
      </c>
      <c r="J158" s="68"/>
      <c r="K158" s="68"/>
      <c r="L158" s="68"/>
      <c r="M158" s="68"/>
      <c r="N158" s="68"/>
      <c r="O158" s="68"/>
      <c r="P158" s="68"/>
      <c r="Q158" s="68"/>
      <c r="R158" s="68"/>
      <c r="S158" s="68"/>
      <c r="T158" s="68"/>
      <c r="U158" s="68"/>
      <c r="V158" s="68"/>
      <c r="W158" s="68"/>
      <c r="X158" s="68"/>
      <c r="Y158" s="68"/>
      <c r="Z158" s="68"/>
      <c r="AA158" s="8" t="s">
        <v>164</v>
      </c>
      <c r="AB158" s="8"/>
      <c r="AC158" s="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row>
    <row r="159" spans="1:66" ht="15.75" customHeight="1" x14ac:dyDescent="0.2">
      <c r="A159" s="74" t="s">
        <v>164</v>
      </c>
      <c r="B159" s="74">
        <v>2021</v>
      </c>
      <c r="C159" s="74"/>
      <c r="D159" s="74">
        <v>6</v>
      </c>
      <c r="E159" s="74"/>
      <c r="F159" s="74">
        <v>2021</v>
      </c>
      <c r="G159" s="74"/>
      <c r="H159" s="74"/>
      <c r="I159" s="74" t="s">
        <v>579</v>
      </c>
      <c r="J159" s="8"/>
      <c r="K159" s="8"/>
      <c r="L159" s="8"/>
      <c r="M159" s="8"/>
      <c r="N159" s="8"/>
      <c r="O159" s="8"/>
      <c r="P159" s="8"/>
      <c r="Q159" s="8"/>
      <c r="R159" s="8"/>
      <c r="S159" s="8"/>
      <c r="T159" s="8"/>
      <c r="U159" s="8"/>
      <c r="V159" s="8"/>
      <c r="W159" s="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row>
    <row r="160" spans="1:66" ht="15.75" customHeight="1" x14ac:dyDescent="0.2">
      <c r="A160" s="74" t="s">
        <v>164</v>
      </c>
      <c r="B160" s="74">
        <v>2022</v>
      </c>
      <c r="C160" s="74"/>
      <c r="D160" s="74">
        <v>1</v>
      </c>
      <c r="E160" s="74"/>
      <c r="F160" s="74">
        <v>2022</v>
      </c>
      <c r="G160" s="74"/>
      <c r="H160" s="74" t="s">
        <v>580</v>
      </c>
      <c r="I160" s="74" t="s">
        <v>361</v>
      </c>
      <c r="J160" s="8"/>
      <c r="K160" s="8"/>
      <c r="L160" s="8"/>
      <c r="M160" s="8"/>
      <c r="N160" s="8"/>
      <c r="O160" s="8"/>
      <c r="P160" s="8"/>
      <c r="Q160" s="8"/>
      <c r="R160" s="8"/>
      <c r="S160" s="8"/>
      <c r="T160" s="8"/>
      <c r="U160" s="8"/>
      <c r="V160" s="8"/>
      <c r="W160" s="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row>
    <row r="161" spans="1:66" ht="15.75" customHeight="1" x14ac:dyDescent="0.2">
      <c r="A161" s="74" t="s">
        <v>169</v>
      </c>
      <c r="B161" s="74">
        <v>2018</v>
      </c>
      <c r="C161" s="74">
        <v>1</v>
      </c>
      <c r="D161" s="74"/>
      <c r="E161" s="74"/>
      <c r="F161" s="74">
        <v>2019</v>
      </c>
      <c r="G161" s="74"/>
      <c r="H161" s="74" t="s">
        <v>469</v>
      </c>
      <c r="I161" s="74" t="s">
        <v>362</v>
      </c>
      <c r="J161" s="8"/>
      <c r="K161" s="8"/>
      <c r="L161" s="8"/>
      <c r="M161" s="8"/>
      <c r="N161" s="8"/>
      <c r="O161" s="8"/>
      <c r="P161" s="8"/>
      <c r="Q161" s="8"/>
      <c r="R161" s="8"/>
      <c r="S161" s="8"/>
      <c r="T161" s="8"/>
      <c r="U161" s="8"/>
      <c r="V161" s="8"/>
      <c r="W161" s="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row>
    <row r="162" spans="1:66" ht="15.75" customHeight="1" x14ac:dyDescent="0.2">
      <c r="A162" s="74" t="s">
        <v>171</v>
      </c>
      <c r="B162" s="74">
        <v>1920</v>
      </c>
      <c r="C162" s="74">
        <v>1</v>
      </c>
      <c r="D162" s="74"/>
      <c r="E162" s="74"/>
      <c r="F162" s="74">
        <v>1920</v>
      </c>
      <c r="G162" s="74"/>
      <c r="H162" s="74" t="s">
        <v>581</v>
      </c>
      <c r="I162" s="99" t="s">
        <v>582</v>
      </c>
      <c r="J162" s="8"/>
      <c r="K162" s="8"/>
      <c r="L162" s="8"/>
      <c r="M162" s="8"/>
      <c r="N162" s="8"/>
      <c r="O162" s="8"/>
      <c r="P162" s="8"/>
      <c r="Q162" s="8"/>
      <c r="R162" s="8"/>
      <c r="S162" s="8"/>
      <c r="T162" s="8"/>
      <c r="U162" s="8"/>
      <c r="V162" s="8"/>
      <c r="W162" s="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row>
    <row r="163" spans="1:66" ht="15.75" customHeight="1" x14ac:dyDescent="0.2">
      <c r="A163" s="74" t="s">
        <v>171</v>
      </c>
      <c r="B163" s="74">
        <v>2002</v>
      </c>
      <c r="C163" s="74">
        <v>1</v>
      </c>
      <c r="D163" s="74"/>
      <c r="E163" s="74"/>
      <c r="F163" s="74">
        <v>2002</v>
      </c>
      <c r="G163" s="74"/>
      <c r="H163" s="74" t="s">
        <v>583</v>
      </c>
      <c r="I163" s="74" t="s">
        <v>368</v>
      </c>
      <c r="J163" s="8"/>
      <c r="K163" s="8"/>
      <c r="L163" s="8"/>
      <c r="M163" s="8"/>
      <c r="N163" s="8"/>
      <c r="O163" s="8"/>
      <c r="P163" s="8"/>
      <c r="Q163" s="8"/>
      <c r="R163" s="8"/>
      <c r="S163" s="8"/>
      <c r="T163" s="8"/>
      <c r="U163" s="8"/>
      <c r="V163" s="8"/>
      <c r="W163" s="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row>
    <row r="164" spans="1:66" ht="15.75" customHeight="1" x14ac:dyDescent="0.2">
      <c r="A164" s="74" t="s">
        <v>171</v>
      </c>
      <c r="B164" s="74">
        <v>2015</v>
      </c>
      <c r="C164" s="74">
        <v>1</v>
      </c>
      <c r="D164" s="74"/>
      <c r="E164" s="74"/>
      <c r="F164" s="74">
        <v>2015</v>
      </c>
      <c r="G164" s="74"/>
      <c r="H164" s="100" t="s">
        <v>584</v>
      </c>
      <c r="I164" s="99" t="s">
        <v>585</v>
      </c>
      <c r="J164" s="8"/>
      <c r="K164" s="8"/>
      <c r="L164" s="8"/>
      <c r="M164" s="8"/>
      <c r="N164" s="8"/>
      <c r="O164" s="8"/>
      <c r="P164" s="8"/>
      <c r="Q164" s="8"/>
      <c r="R164" s="8"/>
      <c r="S164" s="8"/>
      <c r="T164" s="8"/>
      <c r="U164" s="8"/>
      <c r="V164" s="8"/>
      <c r="W164" s="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row>
    <row r="165" spans="1:66" ht="15.75" customHeight="1" x14ac:dyDescent="0.2">
      <c r="A165" s="74" t="s">
        <v>171</v>
      </c>
      <c r="B165" s="74">
        <v>2015</v>
      </c>
      <c r="C165" s="74"/>
      <c r="D165" s="74">
        <v>1</v>
      </c>
      <c r="E165" s="74"/>
      <c r="F165" s="74">
        <v>2015</v>
      </c>
      <c r="G165" s="74"/>
      <c r="H165" s="74"/>
      <c r="I165" s="74" t="s">
        <v>586</v>
      </c>
      <c r="J165" s="8"/>
      <c r="K165" s="8"/>
      <c r="L165" s="8"/>
      <c r="M165" s="8"/>
      <c r="N165" s="8"/>
      <c r="O165" s="8"/>
      <c r="P165" s="8"/>
      <c r="Q165" s="8"/>
      <c r="R165" s="8"/>
      <c r="S165" s="8"/>
      <c r="T165" s="8"/>
      <c r="U165" s="8"/>
      <c r="V165" s="8"/>
      <c r="W165" s="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row>
    <row r="166" spans="1:66" ht="15.75" customHeight="1" x14ac:dyDescent="0.2">
      <c r="A166" s="74" t="s">
        <v>171</v>
      </c>
      <c r="B166" s="74">
        <v>2016</v>
      </c>
      <c r="C166" s="74"/>
      <c r="D166" s="74">
        <v>1</v>
      </c>
      <c r="E166" s="74"/>
      <c r="F166" s="74">
        <v>2016</v>
      </c>
      <c r="G166" s="74"/>
      <c r="H166" s="74"/>
      <c r="I166" s="74" t="s">
        <v>586</v>
      </c>
      <c r="J166" s="8"/>
      <c r="K166" s="8"/>
      <c r="L166" s="8"/>
      <c r="M166" s="8"/>
      <c r="N166" s="8"/>
      <c r="O166" s="8"/>
      <c r="P166" s="8"/>
      <c r="Q166" s="8"/>
      <c r="R166" s="8"/>
      <c r="S166" s="8"/>
      <c r="T166" s="8"/>
      <c r="U166" s="8"/>
      <c r="V166" s="8"/>
      <c r="W166" s="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c r="BF166" s="68"/>
      <c r="BG166" s="68"/>
      <c r="BH166" s="68"/>
      <c r="BI166" s="68"/>
      <c r="BJ166" s="68"/>
      <c r="BK166" s="68"/>
      <c r="BL166" s="68"/>
      <c r="BM166" s="68"/>
      <c r="BN166" s="68"/>
    </row>
    <row r="167" spans="1:66" ht="15.75" customHeight="1" x14ac:dyDescent="0.2">
      <c r="A167" s="74" t="s">
        <v>171</v>
      </c>
      <c r="B167" s="74">
        <v>2016</v>
      </c>
      <c r="C167" s="74"/>
      <c r="D167" s="74">
        <v>1</v>
      </c>
      <c r="E167" s="74"/>
      <c r="F167" s="74">
        <v>2016</v>
      </c>
      <c r="G167" s="74"/>
      <c r="H167" s="74"/>
      <c r="I167" s="74" t="s">
        <v>586</v>
      </c>
      <c r="J167" s="8"/>
      <c r="K167" s="8"/>
      <c r="L167" s="8"/>
      <c r="M167" s="8"/>
      <c r="N167" s="8"/>
      <c r="O167" s="8"/>
      <c r="P167" s="8"/>
      <c r="Q167" s="8"/>
      <c r="R167" s="8"/>
      <c r="S167" s="8"/>
      <c r="T167" s="8"/>
      <c r="U167" s="8"/>
      <c r="V167" s="8"/>
      <c r="W167" s="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row>
    <row r="168" spans="1:66" ht="15.75" customHeight="1" x14ac:dyDescent="0.2">
      <c r="A168" s="74" t="s">
        <v>171</v>
      </c>
      <c r="B168" s="74">
        <v>2020</v>
      </c>
      <c r="C168" s="74"/>
      <c r="D168" s="74"/>
      <c r="E168" s="74">
        <v>1</v>
      </c>
      <c r="F168" s="74">
        <v>2020</v>
      </c>
      <c r="G168" s="74"/>
      <c r="H168" s="74" t="s">
        <v>587</v>
      </c>
      <c r="I168" s="99" t="s">
        <v>588</v>
      </c>
      <c r="J168" s="8"/>
      <c r="K168" s="8"/>
      <c r="L168" s="8"/>
      <c r="M168" s="8"/>
      <c r="N168" s="8"/>
      <c r="O168" s="8"/>
      <c r="P168" s="8"/>
      <c r="Q168" s="8"/>
      <c r="R168" s="8"/>
      <c r="S168" s="8"/>
      <c r="T168" s="8"/>
      <c r="U168" s="8"/>
      <c r="V168" s="8"/>
      <c r="W168" s="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row>
    <row r="169" spans="1:66" ht="15.75" customHeight="1" x14ac:dyDescent="0.2">
      <c r="A169" s="74" t="s">
        <v>171</v>
      </c>
      <c r="B169" s="74">
        <v>2022</v>
      </c>
      <c r="C169" s="74">
        <v>1</v>
      </c>
      <c r="D169" s="74"/>
      <c r="E169" s="74"/>
      <c r="F169" s="74">
        <v>2022</v>
      </c>
      <c r="G169" s="74"/>
      <c r="H169" s="74" t="s">
        <v>589</v>
      </c>
      <c r="I169" s="99" t="s">
        <v>371</v>
      </c>
      <c r="J169" s="8"/>
      <c r="K169" s="8"/>
      <c r="L169" s="8"/>
      <c r="M169" s="8"/>
      <c r="N169" s="8"/>
      <c r="O169" s="8"/>
      <c r="P169" s="8"/>
      <c r="Q169" s="8"/>
      <c r="R169" s="8"/>
      <c r="S169" s="8"/>
      <c r="T169" s="8"/>
      <c r="U169" s="8"/>
      <c r="V169" s="8"/>
      <c r="W169" s="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row>
    <row r="170" spans="1:66" ht="15.75" customHeight="1" x14ac:dyDescent="0.2">
      <c r="A170" s="74" t="s">
        <v>173</v>
      </c>
      <c r="B170" s="74">
        <v>2014</v>
      </c>
      <c r="C170" s="74">
        <v>1</v>
      </c>
      <c r="D170" s="74"/>
      <c r="E170" s="74"/>
      <c r="F170" s="74"/>
      <c r="G170" s="74"/>
      <c r="H170" s="74"/>
      <c r="I170" s="74" t="s">
        <v>373</v>
      </c>
      <c r="J170" s="8"/>
      <c r="K170" s="8"/>
      <c r="L170" s="8"/>
      <c r="M170" s="8"/>
      <c r="N170" s="8"/>
      <c r="O170" s="8"/>
      <c r="P170" s="8"/>
      <c r="Q170" s="8"/>
      <c r="R170" s="8"/>
      <c r="S170" s="8"/>
      <c r="T170" s="8"/>
      <c r="U170" s="8"/>
      <c r="V170" s="8"/>
      <c r="W170" s="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row>
    <row r="171" spans="1:66" ht="15.75" customHeight="1" x14ac:dyDescent="0.2">
      <c r="A171" s="74" t="s">
        <v>176</v>
      </c>
      <c r="B171" s="74">
        <v>2021</v>
      </c>
      <c r="C171" s="74">
        <v>1</v>
      </c>
      <c r="D171" s="74"/>
      <c r="E171" s="74"/>
      <c r="F171" s="74">
        <v>2021</v>
      </c>
      <c r="G171" s="74"/>
      <c r="H171" s="74" t="s">
        <v>590</v>
      </c>
      <c r="I171" s="74" t="s">
        <v>591</v>
      </c>
      <c r="J171" s="8"/>
      <c r="K171" s="8"/>
      <c r="L171" s="8"/>
      <c r="M171" s="8"/>
      <c r="N171" s="8"/>
      <c r="O171" s="8"/>
      <c r="P171" s="8"/>
      <c r="Q171" s="8"/>
      <c r="R171" s="8"/>
      <c r="S171" s="8"/>
      <c r="T171" s="8"/>
      <c r="U171" s="8"/>
      <c r="V171" s="8"/>
      <c r="W171" s="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row>
    <row r="172" spans="1:66" s="33" customFormat="1" ht="15.75" customHeight="1" x14ac:dyDescent="0.2">
      <c r="A172" s="81" t="s">
        <v>176</v>
      </c>
      <c r="B172" s="81">
        <v>2022</v>
      </c>
      <c r="C172" s="81">
        <v>1</v>
      </c>
      <c r="D172" s="81"/>
      <c r="E172" s="81"/>
      <c r="F172" s="81">
        <v>2023</v>
      </c>
      <c r="G172" s="81"/>
      <c r="H172" s="81" t="s">
        <v>592</v>
      </c>
      <c r="I172" s="81" t="s">
        <v>378</v>
      </c>
      <c r="J172" s="23"/>
      <c r="K172" s="23"/>
      <c r="L172" s="23"/>
      <c r="M172" s="23"/>
      <c r="N172" s="23"/>
      <c r="O172" s="23"/>
      <c r="P172" s="23"/>
      <c r="Q172" s="23"/>
      <c r="R172" s="23"/>
      <c r="S172" s="23"/>
      <c r="T172" s="23"/>
      <c r="U172" s="23"/>
      <c r="V172" s="23"/>
      <c r="W172" s="23"/>
      <c r="X172" s="82"/>
      <c r="Y172" s="82"/>
      <c r="Z172" s="82"/>
      <c r="AA172" s="82"/>
      <c r="AB172" s="82"/>
      <c r="AC172" s="82"/>
      <c r="AD172" s="82"/>
      <c r="AE172" s="82"/>
      <c r="AF172" s="82"/>
      <c r="AG172" s="82"/>
      <c r="AH172" s="82"/>
      <c r="AI172" s="82"/>
      <c r="AJ172" s="82"/>
      <c r="AK172" s="82"/>
      <c r="AL172" s="82"/>
      <c r="AM172" s="82"/>
      <c r="AN172" s="82"/>
      <c r="AO172" s="82"/>
      <c r="AP172" s="82"/>
      <c r="AQ172" s="82"/>
      <c r="AR172" s="82"/>
      <c r="AS172" s="82"/>
      <c r="AT172" s="82"/>
      <c r="AU172" s="82"/>
      <c r="AV172" s="82"/>
      <c r="AW172" s="82"/>
      <c r="AX172" s="82"/>
      <c r="AY172" s="82"/>
      <c r="AZ172" s="82"/>
      <c r="BA172" s="82"/>
      <c r="BB172" s="82"/>
      <c r="BC172" s="82"/>
      <c r="BD172" s="82"/>
      <c r="BE172" s="82"/>
      <c r="BF172" s="82"/>
      <c r="BG172" s="82"/>
      <c r="BH172" s="82"/>
      <c r="BI172" s="82"/>
      <c r="BJ172" s="82"/>
      <c r="BK172" s="82"/>
      <c r="BL172" s="82"/>
      <c r="BM172" s="82"/>
      <c r="BN172" s="82"/>
    </row>
    <row r="173" spans="1:66" ht="15.75" customHeight="1" x14ac:dyDescent="0.2">
      <c r="A173" s="74" t="s">
        <v>177</v>
      </c>
      <c r="B173" s="74">
        <v>2020</v>
      </c>
      <c r="C173" s="74">
        <v>1</v>
      </c>
      <c r="D173" s="74"/>
      <c r="E173" s="74"/>
      <c r="F173" s="74">
        <v>2020</v>
      </c>
      <c r="G173" s="74"/>
      <c r="H173" s="74"/>
      <c r="I173" s="78" t="s">
        <v>379</v>
      </c>
      <c r="J173" s="8"/>
      <c r="K173" s="8"/>
      <c r="L173" s="8"/>
      <c r="M173" s="8"/>
      <c r="N173" s="8"/>
      <c r="O173" s="8"/>
      <c r="P173" s="8"/>
      <c r="Q173" s="8"/>
      <c r="R173" s="8"/>
      <c r="S173" s="8"/>
      <c r="T173" s="8"/>
      <c r="U173" s="8"/>
      <c r="V173" s="8"/>
      <c r="W173" s="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row>
    <row r="174" spans="1:66" ht="15.75" customHeight="1" x14ac:dyDescent="0.2">
      <c r="A174" s="96" t="s">
        <v>177</v>
      </c>
      <c r="B174" s="96">
        <v>2023</v>
      </c>
      <c r="C174" s="96" t="s">
        <v>163</v>
      </c>
      <c r="D174" s="96">
        <v>1</v>
      </c>
      <c r="E174" s="96" t="s">
        <v>163</v>
      </c>
      <c r="F174" s="96">
        <v>2023</v>
      </c>
      <c r="G174" s="96" t="s">
        <v>163</v>
      </c>
      <c r="H174" s="96" t="s">
        <v>593</v>
      </c>
      <c r="I174" s="96" t="s">
        <v>594</v>
      </c>
      <c r="J174" s="38" t="s">
        <v>163</v>
      </c>
      <c r="K174" s="38" t="s">
        <v>163</v>
      </c>
      <c r="L174" s="38" t="s">
        <v>163</v>
      </c>
      <c r="M174" s="38" t="s">
        <v>163</v>
      </c>
      <c r="N174" s="38" t="s">
        <v>163</v>
      </c>
      <c r="O174" s="38" t="s">
        <v>163</v>
      </c>
      <c r="P174" s="38" t="s">
        <v>163</v>
      </c>
      <c r="Q174" s="38" t="s">
        <v>163</v>
      </c>
      <c r="R174" s="38" t="s">
        <v>163</v>
      </c>
      <c r="S174" s="38" t="s">
        <v>163</v>
      </c>
      <c r="T174" s="38" t="s">
        <v>163</v>
      </c>
      <c r="U174" s="38" t="s">
        <v>163</v>
      </c>
      <c r="V174" s="38" t="s">
        <v>163</v>
      </c>
      <c r="W174" s="38" t="s">
        <v>163</v>
      </c>
      <c r="X174" s="97" t="s">
        <v>163</v>
      </c>
      <c r="Y174" s="97" t="s">
        <v>163</v>
      </c>
      <c r="Z174" s="97" t="s">
        <v>163</v>
      </c>
      <c r="AA174" s="97" t="s">
        <v>163</v>
      </c>
      <c r="AB174" s="97" t="s">
        <v>163</v>
      </c>
      <c r="AC174" s="97" t="s">
        <v>163</v>
      </c>
      <c r="AD174" s="97" t="s">
        <v>163</v>
      </c>
      <c r="AE174" s="97" t="s">
        <v>163</v>
      </c>
      <c r="AF174" s="97" t="s">
        <v>163</v>
      </c>
      <c r="AG174" s="97" t="s">
        <v>163</v>
      </c>
      <c r="AH174" s="97" t="s">
        <v>163</v>
      </c>
      <c r="AI174" s="97" t="s">
        <v>163</v>
      </c>
      <c r="AJ174" s="97" t="s">
        <v>163</v>
      </c>
      <c r="AK174" s="97" t="s">
        <v>163</v>
      </c>
      <c r="AL174" s="97" t="s">
        <v>163</v>
      </c>
      <c r="AM174" s="97" t="s">
        <v>163</v>
      </c>
      <c r="AN174" s="97" t="s">
        <v>163</v>
      </c>
      <c r="AO174" s="97" t="s">
        <v>163</v>
      </c>
      <c r="AP174" s="97" t="s">
        <v>163</v>
      </c>
      <c r="AQ174" s="97" t="s">
        <v>163</v>
      </c>
      <c r="AR174" s="97" t="s">
        <v>163</v>
      </c>
      <c r="AS174" s="97" t="s">
        <v>163</v>
      </c>
      <c r="AT174" s="97" t="s">
        <v>163</v>
      </c>
      <c r="AU174" s="97" t="s">
        <v>163</v>
      </c>
      <c r="AV174" s="97" t="s">
        <v>163</v>
      </c>
      <c r="AW174" s="97" t="s">
        <v>163</v>
      </c>
      <c r="AX174" s="97" t="s">
        <v>163</v>
      </c>
      <c r="AY174" s="97" t="s">
        <v>163</v>
      </c>
      <c r="AZ174" s="97" t="s">
        <v>163</v>
      </c>
      <c r="BA174" s="97" t="s">
        <v>163</v>
      </c>
      <c r="BB174" s="97" t="s">
        <v>163</v>
      </c>
      <c r="BC174" s="97" t="s">
        <v>163</v>
      </c>
      <c r="BD174" s="97" t="s">
        <v>163</v>
      </c>
      <c r="BE174" s="97" t="s">
        <v>163</v>
      </c>
      <c r="BF174" s="97" t="s">
        <v>163</v>
      </c>
      <c r="BG174" s="97" t="s">
        <v>163</v>
      </c>
      <c r="BH174" s="97" t="s">
        <v>163</v>
      </c>
      <c r="BI174" s="97" t="s">
        <v>163</v>
      </c>
      <c r="BJ174" s="97" t="s">
        <v>163</v>
      </c>
      <c r="BK174" s="97" t="s">
        <v>163</v>
      </c>
      <c r="BL174" s="97" t="s">
        <v>163</v>
      </c>
      <c r="BM174" s="97" t="s">
        <v>163</v>
      </c>
      <c r="BN174" s="97" t="s">
        <v>163</v>
      </c>
    </row>
    <row r="175" spans="1:66" ht="15.75" customHeight="1" x14ac:dyDescent="0.2">
      <c r="A175" s="74" t="s">
        <v>181</v>
      </c>
      <c r="B175" s="83" t="s">
        <v>381</v>
      </c>
      <c r="C175" s="74">
        <v>1</v>
      </c>
      <c r="D175" s="74"/>
      <c r="E175" s="74"/>
      <c r="F175" s="83" t="s">
        <v>381</v>
      </c>
      <c r="G175" s="74"/>
      <c r="H175" s="74" t="s">
        <v>595</v>
      </c>
      <c r="I175" s="78" t="s">
        <v>382</v>
      </c>
      <c r="J175" s="8"/>
      <c r="K175" s="8"/>
      <c r="L175" s="8"/>
      <c r="M175" s="8"/>
      <c r="N175" s="8"/>
      <c r="O175" s="8"/>
      <c r="P175" s="8"/>
      <c r="Q175" s="8"/>
      <c r="R175" s="8"/>
      <c r="S175" s="8"/>
      <c r="T175" s="8"/>
      <c r="U175" s="8"/>
      <c r="V175" s="8"/>
      <c r="W175" s="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row>
    <row r="176" spans="1:66" ht="15.75" customHeight="1" x14ac:dyDescent="0.2">
      <c r="A176" s="74" t="s">
        <v>181</v>
      </c>
      <c r="B176" s="83" t="s">
        <v>384</v>
      </c>
      <c r="C176" s="74">
        <v>1</v>
      </c>
      <c r="D176" s="74"/>
      <c r="E176" s="74"/>
      <c r="F176" s="83" t="s">
        <v>384</v>
      </c>
      <c r="G176" s="74"/>
      <c r="H176" s="74" t="s">
        <v>596</v>
      </c>
      <c r="I176" s="78" t="s">
        <v>385</v>
      </c>
      <c r="J176" s="8"/>
      <c r="K176" s="8"/>
      <c r="L176" s="8"/>
      <c r="M176" s="8"/>
      <c r="N176" s="8"/>
      <c r="O176" s="8"/>
      <c r="P176" s="8"/>
      <c r="Q176" s="8"/>
      <c r="R176" s="8"/>
      <c r="S176" s="8"/>
      <c r="T176" s="8"/>
      <c r="U176" s="8"/>
      <c r="V176" s="8"/>
      <c r="W176" s="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row>
    <row r="177" spans="1:66" ht="15.75" customHeight="1" x14ac:dyDescent="0.2">
      <c r="A177" s="74" t="s">
        <v>181</v>
      </c>
      <c r="B177" s="83" t="s">
        <v>257</v>
      </c>
      <c r="C177" s="74">
        <v>1</v>
      </c>
      <c r="D177" s="74"/>
      <c r="E177" s="74"/>
      <c r="F177" s="83" t="s">
        <v>257</v>
      </c>
      <c r="G177" s="74"/>
      <c r="H177" s="74" t="s">
        <v>597</v>
      </c>
      <c r="I177" s="78" t="s">
        <v>598</v>
      </c>
      <c r="J177" s="8"/>
      <c r="K177" s="8"/>
      <c r="L177" s="8"/>
      <c r="M177" s="8"/>
      <c r="N177" s="8"/>
      <c r="O177" s="8"/>
      <c r="P177" s="8"/>
      <c r="Q177" s="8"/>
      <c r="R177" s="8"/>
      <c r="S177" s="8"/>
      <c r="T177" s="8"/>
      <c r="U177" s="8"/>
      <c r="V177" s="8"/>
      <c r="W177" s="8"/>
      <c r="X177" s="68"/>
      <c r="Y177" s="68"/>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row>
    <row r="178" spans="1:66" ht="15.75" customHeight="1" x14ac:dyDescent="0.2">
      <c r="A178" s="74" t="s">
        <v>181</v>
      </c>
      <c r="B178" s="83" t="s">
        <v>389</v>
      </c>
      <c r="C178" s="74">
        <v>1</v>
      </c>
      <c r="D178" s="74"/>
      <c r="E178" s="74"/>
      <c r="F178" s="83" t="s">
        <v>389</v>
      </c>
      <c r="G178" s="74"/>
      <c r="H178" s="74" t="s">
        <v>469</v>
      </c>
      <c r="I178" s="78" t="s">
        <v>390</v>
      </c>
      <c r="J178" s="8"/>
      <c r="K178" s="8"/>
      <c r="L178" s="8"/>
      <c r="M178" s="8"/>
      <c r="N178" s="8"/>
      <c r="O178" s="8"/>
      <c r="P178" s="8"/>
      <c r="Q178" s="8"/>
      <c r="R178" s="8"/>
      <c r="S178" s="8"/>
      <c r="T178" s="8"/>
      <c r="U178" s="8"/>
      <c r="V178" s="8"/>
      <c r="W178" s="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row>
    <row r="179" spans="1:66" ht="15.75" customHeight="1" x14ac:dyDescent="0.2">
      <c r="A179" s="74" t="s">
        <v>181</v>
      </c>
      <c r="B179" s="83" t="s">
        <v>599</v>
      </c>
      <c r="C179" s="74">
        <v>1</v>
      </c>
      <c r="D179" s="74"/>
      <c r="E179" s="74"/>
      <c r="F179" s="83" t="s">
        <v>599</v>
      </c>
      <c r="G179" s="74"/>
      <c r="H179" s="74"/>
      <c r="I179" s="78" t="s">
        <v>600</v>
      </c>
      <c r="J179" s="8"/>
      <c r="K179" s="8"/>
      <c r="L179" s="8"/>
      <c r="M179" s="8"/>
      <c r="N179" s="8"/>
      <c r="O179" s="8"/>
      <c r="P179" s="8"/>
      <c r="Q179" s="8"/>
      <c r="R179" s="8"/>
      <c r="S179" s="8"/>
      <c r="T179" s="8"/>
      <c r="U179" s="8"/>
      <c r="V179" s="8"/>
      <c r="W179" s="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row>
    <row r="180" spans="1:66" ht="15.75" customHeight="1" x14ac:dyDescent="0.2">
      <c r="A180" s="74" t="s">
        <v>181</v>
      </c>
      <c r="B180" s="83" t="s">
        <v>86</v>
      </c>
      <c r="C180" s="74">
        <v>1</v>
      </c>
      <c r="D180" s="74"/>
      <c r="E180" s="74"/>
      <c r="F180" s="83" t="s">
        <v>86</v>
      </c>
      <c r="G180" s="74"/>
      <c r="H180" s="74" t="s">
        <v>601</v>
      </c>
      <c r="I180" s="78" t="s">
        <v>391</v>
      </c>
      <c r="J180" s="8"/>
      <c r="K180" s="8"/>
      <c r="L180" s="8"/>
      <c r="M180" s="8"/>
      <c r="N180" s="8"/>
      <c r="O180" s="8"/>
      <c r="P180" s="8"/>
      <c r="Q180" s="8"/>
      <c r="R180" s="8"/>
      <c r="S180" s="8"/>
      <c r="T180" s="8"/>
      <c r="U180" s="8"/>
      <c r="V180" s="8"/>
      <c r="W180" s="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row>
    <row r="181" spans="1:66" ht="15.75" customHeight="1" x14ac:dyDescent="0.2">
      <c r="A181" s="74" t="s">
        <v>181</v>
      </c>
      <c r="B181" s="83" t="s">
        <v>72</v>
      </c>
      <c r="C181" s="74">
        <v>1</v>
      </c>
      <c r="D181" s="74"/>
      <c r="E181" s="74"/>
      <c r="F181" s="83" t="s">
        <v>72</v>
      </c>
      <c r="G181" s="74"/>
      <c r="H181" s="74" t="s">
        <v>602</v>
      </c>
      <c r="I181" s="78" t="s">
        <v>603</v>
      </c>
      <c r="J181" s="8"/>
      <c r="K181" s="8"/>
      <c r="L181" s="8"/>
      <c r="M181" s="8"/>
      <c r="N181" s="8"/>
      <c r="O181" s="8"/>
      <c r="P181" s="8"/>
      <c r="Q181" s="8"/>
      <c r="R181" s="8"/>
      <c r="S181" s="8"/>
      <c r="T181" s="8"/>
      <c r="U181" s="8"/>
      <c r="V181" s="8"/>
      <c r="W181" s="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row>
    <row r="182" spans="1:66" ht="15.75" customHeight="1" x14ac:dyDescent="0.2">
      <c r="A182" s="74" t="s">
        <v>181</v>
      </c>
      <c r="B182" s="83">
        <v>2020</v>
      </c>
      <c r="C182" s="74">
        <v>1</v>
      </c>
      <c r="D182" s="74"/>
      <c r="E182" s="74"/>
      <c r="F182" s="83">
        <v>2020</v>
      </c>
      <c r="G182" s="74"/>
      <c r="H182" s="74"/>
      <c r="I182" s="78" t="s">
        <v>390</v>
      </c>
      <c r="J182" s="8"/>
      <c r="K182" s="8"/>
      <c r="L182" s="8"/>
      <c r="M182" s="8"/>
      <c r="N182" s="8"/>
      <c r="O182" s="8"/>
      <c r="P182" s="8"/>
      <c r="Q182" s="8"/>
      <c r="R182" s="8"/>
      <c r="S182" s="8"/>
      <c r="T182" s="8"/>
      <c r="U182" s="8"/>
      <c r="V182" s="8"/>
      <c r="W182" s="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row>
    <row r="183" spans="1:66" ht="15.75" customHeight="1" x14ac:dyDescent="0.2">
      <c r="A183" s="74" t="s">
        <v>181</v>
      </c>
      <c r="B183" s="83" t="s">
        <v>79</v>
      </c>
      <c r="C183" s="74">
        <v>1</v>
      </c>
      <c r="D183" s="74"/>
      <c r="E183" s="74"/>
      <c r="F183" s="83" t="s">
        <v>79</v>
      </c>
      <c r="G183" s="74"/>
      <c r="H183" s="74"/>
      <c r="I183" s="78" t="s">
        <v>396</v>
      </c>
      <c r="J183" s="8"/>
      <c r="K183" s="8"/>
      <c r="L183" s="8"/>
      <c r="M183" s="8"/>
      <c r="N183" s="8"/>
      <c r="O183" s="8"/>
      <c r="P183" s="8"/>
      <c r="Q183" s="8"/>
      <c r="R183" s="8"/>
      <c r="S183" s="8"/>
      <c r="T183" s="8"/>
      <c r="U183" s="8"/>
      <c r="V183" s="8"/>
      <c r="W183" s="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row>
    <row r="184" spans="1:66" ht="15.75" customHeight="1" x14ac:dyDescent="0.2">
      <c r="A184" s="74" t="s">
        <v>181</v>
      </c>
      <c r="B184" s="83">
        <v>2020</v>
      </c>
      <c r="C184" s="74">
        <v>1</v>
      </c>
      <c r="D184" s="74"/>
      <c r="E184" s="74"/>
      <c r="F184" s="83">
        <v>2020</v>
      </c>
      <c r="G184" s="74"/>
      <c r="H184" s="74"/>
      <c r="I184" s="101">
        <v>44136</v>
      </c>
      <c r="J184" s="8"/>
      <c r="K184" s="8"/>
      <c r="L184" s="8"/>
      <c r="M184" s="8"/>
      <c r="N184" s="8"/>
      <c r="O184" s="8"/>
      <c r="P184" s="8"/>
      <c r="Q184" s="8"/>
      <c r="R184" s="8"/>
      <c r="S184" s="8"/>
      <c r="T184" s="8"/>
      <c r="U184" s="8"/>
      <c r="V184" s="8"/>
      <c r="W184" s="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row>
    <row r="185" spans="1:66" ht="15.75" customHeight="1" x14ac:dyDescent="0.2">
      <c r="A185" s="74" t="s">
        <v>181</v>
      </c>
      <c r="B185" s="83">
        <v>2020</v>
      </c>
      <c r="C185" s="74">
        <v>1</v>
      </c>
      <c r="D185" s="74"/>
      <c r="E185" s="74"/>
      <c r="F185" s="83">
        <v>2020</v>
      </c>
      <c r="G185" s="74"/>
      <c r="H185" s="74"/>
      <c r="I185" s="78" t="s">
        <v>397</v>
      </c>
      <c r="J185" s="8"/>
      <c r="K185" s="8"/>
      <c r="L185" s="8"/>
      <c r="M185" s="8"/>
      <c r="N185" s="8"/>
      <c r="O185" s="8"/>
      <c r="P185" s="8"/>
      <c r="Q185" s="8"/>
      <c r="R185" s="8"/>
      <c r="S185" s="8"/>
      <c r="T185" s="8"/>
      <c r="U185" s="8"/>
      <c r="V185" s="8"/>
      <c r="W185" s="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row>
    <row r="186" spans="1:66" ht="15.75" customHeight="1" x14ac:dyDescent="0.2">
      <c r="A186" s="74" t="s">
        <v>181</v>
      </c>
      <c r="B186" s="83">
        <v>2020</v>
      </c>
      <c r="C186" s="74"/>
      <c r="D186" s="74">
        <v>1</v>
      </c>
      <c r="E186" s="74"/>
      <c r="F186" s="83">
        <v>2020</v>
      </c>
      <c r="G186" s="74"/>
      <c r="H186" s="74"/>
      <c r="I186" s="78" t="s">
        <v>604</v>
      </c>
      <c r="J186" s="8"/>
      <c r="K186" s="8"/>
      <c r="L186" s="8"/>
      <c r="M186" s="8"/>
      <c r="N186" s="8"/>
      <c r="O186" s="8"/>
      <c r="P186" s="8"/>
      <c r="Q186" s="8"/>
      <c r="R186" s="8"/>
      <c r="S186" s="8"/>
      <c r="T186" s="8"/>
      <c r="U186" s="8"/>
      <c r="V186" s="8"/>
      <c r="W186" s="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row>
    <row r="187" spans="1:66" ht="15.75" customHeight="1" x14ac:dyDescent="0.2">
      <c r="A187" s="74" t="s">
        <v>181</v>
      </c>
      <c r="B187" s="83">
        <v>2022</v>
      </c>
      <c r="C187" s="74">
        <v>1</v>
      </c>
      <c r="D187" s="74"/>
      <c r="E187" s="74"/>
      <c r="F187" s="83">
        <v>2022</v>
      </c>
      <c r="G187" s="74"/>
      <c r="H187" s="74" t="s">
        <v>605</v>
      </c>
      <c r="I187" s="78" t="s">
        <v>398</v>
      </c>
      <c r="J187" s="8"/>
      <c r="K187" s="8"/>
      <c r="L187" s="8"/>
      <c r="M187" s="8"/>
      <c r="N187" s="8"/>
      <c r="O187" s="8"/>
      <c r="P187" s="8"/>
      <c r="Q187" s="8"/>
      <c r="R187" s="8"/>
      <c r="S187" s="8"/>
      <c r="T187" s="8"/>
      <c r="U187" s="8"/>
      <c r="V187" s="8"/>
      <c r="W187" s="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row>
    <row r="188" spans="1:66" ht="15.75" customHeight="1" x14ac:dyDescent="0.2">
      <c r="A188" s="74" t="s">
        <v>606</v>
      </c>
      <c r="B188" s="74">
        <v>1966</v>
      </c>
      <c r="C188" s="74">
        <v>1</v>
      </c>
      <c r="D188" s="74"/>
      <c r="E188" s="74"/>
      <c r="F188" s="74">
        <v>1966</v>
      </c>
      <c r="G188" s="74"/>
      <c r="H188" s="74"/>
      <c r="I188" s="74" t="s">
        <v>607</v>
      </c>
      <c r="J188" s="8"/>
      <c r="K188" s="8"/>
      <c r="L188" s="8"/>
      <c r="M188" s="8"/>
      <c r="N188" s="8"/>
      <c r="O188" s="8"/>
      <c r="P188" s="8"/>
      <c r="Q188" s="8"/>
      <c r="R188" s="8"/>
      <c r="S188" s="8"/>
      <c r="T188" s="8"/>
      <c r="U188" s="8"/>
      <c r="V188" s="8"/>
      <c r="W188" s="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row>
    <row r="189" spans="1:66" ht="15.75" customHeight="1" x14ac:dyDescent="0.2">
      <c r="A189" s="74" t="s">
        <v>606</v>
      </c>
      <c r="B189" s="74">
        <v>1984</v>
      </c>
      <c r="C189" s="74">
        <v>1</v>
      </c>
      <c r="D189" s="74"/>
      <c r="E189" s="74"/>
      <c r="F189" s="74">
        <v>1984</v>
      </c>
      <c r="G189" s="74"/>
      <c r="H189" s="74"/>
      <c r="I189" s="74" t="s">
        <v>608</v>
      </c>
      <c r="J189" s="8"/>
      <c r="K189" s="8"/>
      <c r="L189" s="8"/>
      <c r="M189" s="8"/>
      <c r="N189" s="8"/>
      <c r="O189" s="8"/>
      <c r="P189" s="8"/>
      <c r="Q189" s="8"/>
      <c r="R189" s="8"/>
      <c r="S189" s="8"/>
      <c r="T189" s="8"/>
      <c r="U189" s="8"/>
      <c r="V189" s="8"/>
      <c r="W189" s="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row>
    <row r="190" spans="1:66" ht="15.75" customHeight="1" x14ac:dyDescent="0.2">
      <c r="A190" s="74" t="s">
        <v>606</v>
      </c>
      <c r="B190" s="74">
        <v>1998</v>
      </c>
      <c r="C190" s="74">
        <v>1</v>
      </c>
      <c r="D190" s="74"/>
      <c r="E190" s="74"/>
      <c r="F190" s="74">
        <v>1998</v>
      </c>
      <c r="G190" s="74"/>
      <c r="H190" s="74"/>
      <c r="I190" s="74" t="s">
        <v>609</v>
      </c>
      <c r="J190" s="8"/>
      <c r="K190" s="8"/>
      <c r="L190" s="8"/>
      <c r="M190" s="8"/>
      <c r="N190" s="8"/>
      <c r="O190" s="8"/>
      <c r="P190" s="8"/>
      <c r="Q190" s="8"/>
      <c r="R190" s="8"/>
      <c r="S190" s="8"/>
      <c r="T190" s="8"/>
      <c r="U190" s="8"/>
      <c r="V190" s="8"/>
      <c r="W190" s="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row>
    <row r="191" spans="1:66" ht="15.75" customHeight="1" x14ac:dyDescent="0.2">
      <c r="A191" s="74" t="s">
        <v>606</v>
      </c>
      <c r="B191" s="74">
        <v>1998</v>
      </c>
      <c r="C191" s="74">
        <v>1</v>
      </c>
      <c r="D191" s="74"/>
      <c r="E191" s="74"/>
      <c r="F191" s="74">
        <v>1998</v>
      </c>
      <c r="G191" s="74"/>
      <c r="H191" s="74"/>
      <c r="I191" s="74" t="s">
        <v>610</v>
      </c>
      <c r="J191" s="8"/>
      <c r="K191" s="8"/>
      <c r="L191" s="8"/>
      <c r="M191" s="8"/>
      <c r="N191" s="8"/>
      <c r="O191" s="8"/>
      <c r="P191" s="8"/>
      <c r="Q191" s="8"/>
      <c r="R191" s="8"/>
      <c r="S191" s="8"/>
      <c r="T191" s="8"/>
      <c r="U191" s="8"/>
      <c r="V191" s="8"/>
      <c r="W191" s="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row>
    <row r="192" spans="1:66" ht="15.75" customHeight="1" x14ac:dyDescent="0.2">
      <c r="A192" s="74" t="s">
        <v>606</v>
      </c>
      <c r="B192" s="74">
        <v>1999</v>
      </c>
      <c r="C192" s="74"/>
      <c r="D192" s="74">
        <v>8</v>
      </c>
      <c r="E192" s="74"/>
      <c r="F192" s="74">
        <v>1999</v>
      </c>
      <c r="G192" s="74"/>
      <c r="H192" s="74"/>
      <c r="I192" s="74" t="s">
        <v>611</v>
      </c>
      <c r="J192" s="8"/>
      <c r="K192" s="8"/>
      <c r="L192" s="8"/>
      <c r="M192" s="8"/>
      <c r="N192" s="8"/>
      <c r="O192" s="8"/>
      <c r="P192" s="8"/>
      <c r="Q192" s="8"/>
      <c r="R192" s="8"/>
      <c r="S192" s="8"/>
      <c r="T192" s="8"/>
      <c r="U192" s="8"/>
      <c r="V192" s="8"/>
      <c r="W192" s="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row>
    <row r="193" spans="1:66" ht="15.75" customHeight="1" x14ac:dyDescent="0.2">
      <c r="A193" s="74" t="s">
        <v>606</v>
      </c>
      <c r="B193" s="74">
        <v>2000</v>
      </c>
      <c r="C193" s="74"/>
      <c r="D193" s="74">
        <v>2</v>
      </c>
      <c r="E193" s="74"/>
      <c r="F193" s="74">
        <v>2000</v>
      </c>
      <c r="G193" s="74"/>
      <c r="H193" s="74"/>
      <c r="I193" s="74" t="s">
        <v>611</v>
      </c>
      <c r="J193" s="8"/>
      <c r="K193" s="8"/>
      <c r="L193" s="8"/>
      <c r="M193" s="8"/>
      <c r="N193" s="8"/>
      <c r="O193" s="8"/>
      <c r="P193" s="8"/>
      <c r="Q193" s="8"/>
      <c r="R193" s="8"/>
      <c r="S193" s="8"/>
      <c r="T193" s="8"/>
      <c r="U193" s="8"/>
      <c r="V193" s="8"/>
      <c r="W193" s="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row>
    <row r="194" spans="1:66" ht="15.75" customHeight="1" x14ac:dyDescent="0.2">
      <c r="A194" s="74" t="s">
        <v>606</v>
      </c>
      <c r="B194" s="74">
        <v>2001</v>
      </c>
      <c r="C194" s="74"/>
      <c r="D194" s="74">
        <v>3</v>
      </c>
      <c r="E194" s="74"/>
      <c r="F194" s="74">
        <v>2001</v>
      </c>
      <c r="G194" s="74"/>
      <c r="H194" s="74"/>
      <c r="I194" s="74" t="s">
        <v>611</v>
      </c>
      <c r="J194" s="8"/>
      <c r="K194" s="8"/>
      <c r="L194" s="8"/>
      <c r="M194" s="8"/>
      <c r="N194" s="8"/>
      <c r="O194" s="8"/>
      <c r="P194" s="8"/>
      <c r="Q194" s="8"/>
      <c r="R194" s="8"/>
      <c r="S194" s="8"/>
      <c r="T194" s="8"/>
      <c r="U194" s="8"/>
      <c r="V194" s="8"/>
      <c r="W194" s="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row>
    <row r="195" spans="1:66" ht="15.75" customHeight="1" x14ac:dyDescent="0.2">
      <c r="A195" s="74" t="s">
        <v>606</v>
      </c>
      <c r="B195" s="74">
        <v>2002</v>
      </c>
      <c r="C195" s="74"/>
      <c r="D195" s="74">
        <v>3</v>
      </c>
      <c r="E195" s="74"/>
      <c r="F195" s="74">
        <v>2002</v>
      </c>
      <c r="G195" s="74"/>
      <c r="H195" s="74"/>
      <c r="I195" s="74" t="s">
        <v>611</v>
      </c>
      <c r="J195" s="8"/>
      <c r="K195" s="8"/>
      <c r="L195" s="8"/>
      <c r="M195" s="8"/>
      <c r="N195" s="8"/>
      <c r="O195" s="8"/>
      <c r="P195" s="8"/>
      <c r="Q195" s="8"/>
      <c r="R195" s="8"/>
      <c r="S195" s="8"/>
      <c r="T195" s="8"/>
      <c r="U195" s="8"/>
      <c r="V195" s="8"/>
      <c r="W195" s="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row>
    <row r="196" spans="1:66" ht="15.75" customHeight="1" x14ac:dyDescent="0.2">
      <c r="A196" s="74" t="s">
        <v>606</v>
      </c>
      <c r="B196" s="74">
        <v>2003</v>
      </c>
      <c r="C196" s="74"/>
      <c r="D196" s="74">
        <v>1</v>
      </c>
      <c r="E196" s="74"/>
      <c r="F196" s="74">
        <v>2003</v>
      </c>
      <c r="G196" s="74"/>
      <c r="H196" s="74"/>
      <c r="I196" s="74" t="s">
        <v>611</v>
      </c>
      <c r="J196" s="8"/>
      <c r="K196" s="8"/>
      <c r="L196" s="8"/>
      <c r="M196" s="8"/>
      <c r="N196" s="8"/>
      <c r="O196" s="8"/>
      <c r="P196" s="8"/>
      <c r="Q196" s="8"/>
      <c r="R196" s="8"/>
      <c r="S196" s="8"/>
      <c r="T196" s="8"/>
      <c r="U196" s="8"/>
      <c r="V196" s="8"/>
      <c r="W196" s="8"/>
      <c r="X196" s="68"/>
      <c r="Y196" s="68"/>
      <c r="Z196" s="68"/>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68"/>
      <c r="BK196" s="68"/>
      <c r="BL196" s="68"/>
      <c r="BM196" s="68"/>
      <c r="BN196" s="68"/>
    </row>
    <row r="197" spans="1:66" ht="15.75" customHeight="1" x14ac:dyDescent="0.2">
      <c r="A197" s="74" t="s">
        <v>606</v>
      </c>
      <c r="B197" s="74">
        <v>2004</v>
      </c>
      <c r="C197" s="74"/>
      <c r="D197" s="74">
        <v>1</v>
      </c>
      <c r="E197" s="74"/>
      <c r="F197" s="74">
        <v>2004</v>
      </c>
      <c r="G197" s="74"/>
      <c r="H197" s="74"/>
      <c r="I197" s="74" t="s">
        <v>611</v>
      </c>
      <c r="J197" s="8"/>
      <c r="K197" s="8"/>
      <c r="L197" s="8"/>
      <c r="M197" s="8"/>
      <c r="N197" s="8"/>
      <c r="O197" s="8"/>
      <c r="P197" s="8"/>
      <c r="Q197" s="8"/>
      <c r="R197" s="8"/>
      <c r="S197" s="8"/>
      <c r="T197" s="8"/>
      <c r="U197" s="8"/>
      <c r="V197" s="8"/>
      <c r="W197" s="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row>
    <row r="198" spans="1:66" ht="15.75" customHeight="1" x14ac:dyDescent="0.2">
      <c r="A198" s="74" t="s">
        <v>606</v>
      </c>
      <c r="B198" s="74">
        <v>2005</v>
      </c>
      <c r="C198" s="74"/>
      <c r="D198" s="74">
        <v>2</v>
      </c>
      <c r="E198" s="74"/>
      <c r="F198" s="74">
        <v>2005</v>
      </c>
      <c r="G198" s="74"/>
      <c r="H198" s="74"/>
      <c r="I198" s="74" t="s">
        <v>611</v>
      </c>
      <c r="J198" s="8"/>
      <c r="K198" s="8"/>
      <c r="L198" s="8"/>
      <c r="M198" s="8"/>
      <c r="N198" s="8"/>
      <c r="O198" s="8"/>
      <c r="P198" s="8"/>
      <c r="Q198" s="8"/>
      <c r="R198" s="8"/>
      <c r="S198" s="8"/>
      <c r="T198" s="8"/>
      <c r="U198" s="8"/>
      <c r="V198" s="8"/>
      <c r="W198" s="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row>
    <row r="199" spans="1:66" ht="15.75" customHeight="1" x14ac:dyDescent="0.2">
      <c r="A199" s="74" t="s">
        <v>606</v>
      </c>
      <c r="B199" s="74">
        <v>2006</v>
      </c>
      <c r="C199" s="74"/>
      <c r="D199" s="74">
        <v>3</v>
      </c>
      <c r="E199" s="74"/>
      <c r="F199" s="74">
        <v>2006</v>
      </c>
      <c r="G199" s="74"/>
      <c r="H199" s="74"/>
      <c r="I199" s="74" t="s">
        <v>611</v>
      </c>
      <c r="J199" s="8"/>
      <c r="K199" s="8"/>
      <c r="L199" s="8"/>
      <c r="M199" s="8"/>
      <c r="N199" s="8"/>
      <c r="O199" s="8"/>
      <c r="P199" s="8"/>
      <c r="Q199" s="8"/>
      <c r="R199" s="8"/>
      <c r="S199" s="8"/>
      <c r="T199" s="8"/>
      <c r="U199" s="8"/>
      <c r="V199" s="8"/>
      <c r="W199" s="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row>
    <row r="200" spans="1:66" ht="15.75" customHeight="1" x14ac:dyDescent="0.2">
      <c r="A200" s="74" t="s">
        <v>606</v>
      </c>
      <c r="B200" s="74">
        <v>2007</v>
      </c>
      <c r="C200" s="74"/>
      <c r="D200" s="74">
        <v>17</v>
      </c>
      <c r="E200" s="74"/>
      <c r="F200" s="74">
        <v>2007</v>
      </c>
      <c r="G200" s="74"/>
      <c r="H200" s="74"/>
      <c r="I200" s="74" t="s">
        <v>611</v>
      </c>
      <c r="J200" s="8"/>
      <c r="K200" s="8"/>
      <c r="L200" s="8"/>
      <c r="M200" s="8"/>
      <c r="N200" s="8"/>
      <c r="O200" s="8"/>
      <c r="P200" s="8"/>
      <c r="Q200" s="8"/>
      <c r="R200" s="8"/>
      <c r="S200" s="8"/>
      <c r="T200" s="8"/>
      <c r="U200" s="8"/>
      <c r="V200" s="8"/>
      <c r="W200" s="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row>
    <row r="201" spans="1:66" ht="15.75" customHeight="1" x14ac:dyDescent="0.2">
      <c r="A201" s="74" t="s">
        <v>606</v>
      </c>
      <c r="B201" s="74">
        <v>2008</v>
      </c>
      <c r="C201" s="74"/>
      <c r="D201" s="74">
        <v>7</v>
      </c>
      <c r="E201" s="74"/>
      <c r="F201" s="74">
        <v>2008</v>
      </c>
      <c r="G201" s="74"/>
      <c r="H201" s="74" t="s">
        <v>612</v>
      </c>
      <c r="I201" s="74" t="s">
        <v>611</v>
      </c>
      <c r="J201" s="8"/>
      <c r="K201" s="8"/>
      <c r="L201" s="8"/>
      <c r="M201" s="8"/>
      <c r="N201" s="8"/>
      <c r="O201" s="8"/>
      <c r="P201" s="8"/>
      <c r="Q201" s="8"/>
      <c r="R201" s="8"/>
      <c r="S201" s="8"/>
      <c r="T201" s="8"/>
      <c r="U201" s="8"/>
      <c r="V201" s="8"/>
      <c r="W201" s="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68"/>
      <c r="BK201" s="68"/>
      <c r="BL201" s="68"/>
      <c r="BM201" s="68"/>
      <c r="BN201" s="68"/>
    </row>
    <row r="202" spans="1:66" ht="15.75" customHeight="1" x14ac:dyDescent="0.2">
      <c r="A202" s="74" t="s">
        <v>606</v>
      </c>
      <c r="B202" s="74">
        <v>2009</v>
      </c>
      <c r="C202" s="74"/>
      <c r="D202" s="74">
        <v>5</v>
      </c>
      <c r="E202" s="74"/>
      <c r="F202" s="74">
        <v>2009</v>
      </c>
      <c r="G202" s="74"/>
      <c r="H202" s="74" t="s">
        <v>613</v>
      </c>
      <c r="I202" s="74" t="s">
        <v>611</v>
      </c>
      <c r="J202" s="8"/>
      <c r="K202" s="8"/>
      <c r="L202" s="8"/>
      <c r="M202" s="8"/>
      <c r="N202" s="8"/>
      <c r="O202" s="8"/>
      <c r="P202" s="8"/>
      <c r="Q202" s="8"/>
      <c r="R202" s="8"/>
      <c r="S202" s="8"/>
      <c r="T202" s="8"/>
      <c r="U202" s="8"/>
      <c r="V202" s="8"/>
      <c r="W202" s="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row>
    <row r="203" spans="1:66" ht="15.75" customHeight="1" x14ac:dyDescent="0.2">
      <c r="A203" s="74" t="s">
        <v>606</v>
      </c>
      <c r="B203" s="74">
        <v>2010</v>
      </c>
      <c r="C203" s="74"/>
      <c r="D203" s="74">
        <v>4</v>
      </c>
      <c r="E203" s="74"/>
      <c r="F203" s="74">
        <v>2010</v>
      </c>
      <c r="G203" s="74"/>
      <c r="H203" s="74"/>
      <c r="I203" s="74" t="s">
        <v>611</v>
      </c>
      <c r="J203" s="8"/>
      <c r="K203" s="8"/>
      <c r="L203" s="8"/>
      <c r="M203" s="8"/>
      <c r="N203" s="8"/>
      <c r="O203" s="8"/>
      <c r="P203" s="8"/>
      <c r="Q203" s="8"/>
      <c r="R203" s="8"/>
      <c r="S203" s="8"/>
      <c r="T203" s="8"/>
      <c r="U203" s="8"/>
      <c r="V203" s="8"/>
      <c r="W203" s="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row>
    <row r="204" spans="1:66" ht="15.75" customHeight="1" x14ac:dyDescent="0.2">
      <c r="A204" s="74" t="s">
        <v>606</v>
      </c>
      <c r="B204" s="74">
        <v>2011</v>
      </c>
      <c r="C204" s="74">
        <v>1</v>
      </c>
      <c r="D204" s="74">
        <v>5</v>
      </c>
      <c r="E204" s="74"/>
      <c r="F204" s="74">
        <v>2011</v>
      </c>
      <c r="G204" s="74"/>
      <c r="H204" s="74"/>
      <c r="I204" s="74" t="s">
        <v>614</v>
      </c>
      <c r="J204" s="8"/>
      <c r="K204" s="8"/>
      <c r="L204" s="8"/>
      <c r="M204" s="8"/>
      <c r="N204" s="8"/>
      <c r="O204" s="8"/>
      <c r="P204" s="8"/>
      <c r="Q204" s="8"/>
      <c r="R204" s="8"/>
      <c r="S204" s="8"/>
      <c r="T204" s="8"/>
      <c r="U204" s="8"/>
      <c r="V204" s="8"/>
      <c r="W204" s="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row>
    <row r="205" spans="1:66" ht="15.75" customHeight="1" x14ac:dyDescent="0.2">
      <c r="A205" s="74" t="s">
        <v>606</v>
      </c>
      <c r="B205" s="74">
        <v>2012</v>
      </c>
      <c r="C205" s="74"/>
      <c r="D205" s="74">
        <v>3</v>
      </c>
      <c r="E205" s="74"/>
      <c r="F205" s="74">
        <v>2012</v>
      </c>
      <c r="G205" s="74"/>
      <c r="H205" s="74"/>
      <c r="I205" s="74" t="s">
        <v>615</v>
      </c>
      <c r="J205" s="8"/>
      <c r="K205" s="8"/>
      <c r="L205" s="8"/>
      <c r="M205" s="8"/>
      <c r="N205" s="8"/>
      <c r="O205" s="8"/>
      <c r="P205" s="8"/>
      <c r="Q205" s="8"/>
      <c r="R205" s="8"/>
      <c r="S205" s="8"/>
      <c r="T205" s="8"/>
      <c r="U205" s="8"/>
      <c r="V205" s="8"/>
      <c r="W205" s="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row>
    <row r="206" spans="1:66" ht="15.75" customHeight="1" x14ac:dyDescent="0.2">
      <c r="A206" s="74" t="s">
        <v>606</v>
      </c>
      <c r="B206" s="74">
        <v>2013</v>
      </c>
      <c r="C206" s="74"/>
      <c r="D206" s="74">
        <v>1</v>
      </c>
      <c r="E206" s="74"/>
      <c r="F206" s="74">
        <v>2013</v>
      </c>
      <c r="G206" s="74"/>
      <c r="H206" s="74" t="s">
        <v>612</v>
      </c>
      <c r="I206" s="74" t="s">
        <v>611</v>
      </c>
      <c r="J206" s="8"/>
      <c r="K206" s="8"/>
      <c r="L206" s="8"/>
      <c r="M206" s="8"/>
      <c r="N206" s="8"/>
      <c r="O206" s="8"/>
      <c r="P206" s="8"/>
      <c r="Q206" s="8"/>
      <c r="R206" s="8"/>
      <c r="S206" s="8"/>
      <c r="T206" s="8"/>
      <c r="U206" s="8"/>
      <c r="V206" s="8"/>
      <c r="W206" s="8"/>
      <c r="X206" s="68"/>
      <c r="Y206" s="68"/>
      <c r="Z206" s="68"/>
      <c r="AA206" s="68"/>
      <c r="AB206" s="68"/>
      <c r="AC206" s="68"/>
      <c r="AD206" s="68"/>
      <c r="AE206" s="68"/>
      <c r="AF206" s="68"/>
      <c r="AG206" s="68"/>
      <c r="AH206" s="68"/>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68"/>
      <c r="BK206" s="68"/>
      <c r="BL206" s="68"/>
      <c r="BM206" s="68"/>
      <c r="BN206" s="68"/>
    </row>
    <row r="207" spans="1:66" ht="15.75" customHeight="1" x14ac:dyDescent="0.2">
      <c r="A207" s="74" t="s">
        <v>606</v>
      </c>
      <c r="B207" s="74">
        <v>2014</v>
      </c>
      <c r="C207" s="74"/>
      <c r="D207" s="74">
        <v>3</v>
      </c>
      <c r="E207" s="74"/>
      <c r="F207" s="74">
        <v>2014</v>
      </c>
      <c r="G207" s="74"/>
      <c r="H207" s="74"/>
      <c r="I207" s="74" t="s">
        <v>611</v>
      </c>
      <c r="J207" s="8"/>
      <c r="K207" s="8"/>
      <c r="L207" s="8"/>
      <c r="M207" s="8"/>
      <c r="N207" s="8"/>
      <c r="O207" s="8"/>
      <c r="P207" s="8"/>
      <c r="Q207" s="8"/>
      <c r="R207" s="8"/>
      <c r="S207" s="8"/>
      <c r="T207" s="8"/>
      <c r="U207" s="8"/>
      <c r="V207" s="8"/>
      <c r="W207" s="8"/>
      <c r="X207" s="68"/>
      <c r="Y207" s="68"/>
      <c r="Z207" s="68"/>
      <c r="AA207" s="68"/>
      <c r="AB207" s="68"/>
      <c r="AC207" s="68"/>
      <c r="AD207" s="68"/>
      <c r="AE207" s="68"/>
      <c r="AF207" s="68"/>
      <c r="AG207" s="68"/>
      <c r="AH207" s="68"/>
      <c r="AI207" s="68"/>
      <c r="AJ207" s="68"/>
      <c r="AK207" s="68"/>
      <c r="AL207" s="68"/>
      <c r="AM207" s="68"/>
      <c r="AN207" s="68"/>
      <c r="AO207" s="68"/>
      <c r="AP207" s="68"/>
      <c r="AQ207" s="68"/>
      <c r="AR207" s="68"/>
      <c r="AS207" s="68"/>
      <c r="AT207" s="68"/>
      <c r="AU207" s="68"/>
      <c r="AV207" s="68"/>
      <c r="AW207" s="68"/>
      <c r="AX207" s="68"/>
      <c r="AY207" s="68"/>
      <c r="AZ207" s="68"/>
      <c r="BA207" s="68"/>
      <c r="BB207" s="68"/>
      <c r="BC207" s="68"/>
      <c r="BD207" s="68"/>
      <c r="BE207" s="68"/>
      <c r="BF207" s="68"/>
      <c r="BG207" s="68"/>
      <c r="BH207" s="68"/>
      <c r="BI207" s="68"/>
      <c r="BJ207" s="68"/>
      <c r="BK207" s="68"/>
      <c r="BL207" s="68"/>
      <c r="BM207" s="68"/>
      <c r="BN207" s="68"/>
    </row>
    <row r="208" spans="1:66" ht="15.75" customHeight="1" x14ac:dyDescent="0.2">
      <c r="A208" s="74" t="s">
        <v>606</v>
      </c>
      <c r="B208" s="74">
        <v>2015</v>
      </c>
      <c r="C208" s="74"/>
      <c r="D208" s="74">
        <v>2</v>
      </c>
      <c r="E208" s="74"/>
      <c r="F208" s="74">
        <v>2015</v>
      </c>
      <c r="G208" s="74"/>
      <c r="H208" s="74"/>
      <c r="I208" s="74" t="s">
        <v>611</v>
      </c>
      <c r="J208" s="8"/>
      <c r="K208" s="8"/>
      <c r="L208" s="8"/>
      <c r="M208" s="8"/>
      <c r="N208" s="8"/>
      <c r="O208" s="8"/>
      <c r="P208" s="8"/>
      <c r="Q208" s="8"/>
      <c r="R208" s="8"/>
      <c r="S208" s="8"/>
      <c r="T208" s="8"/>
      <c r="U208" s="8"/>
      <c r="V208" s="8"/>
      <c r="W208" s="8"/>
      <c r="X208" s="68"/>
      <c r="Y208" s="68"/>
      <c r="Z208" s="68"/>
      <c r="AA208" s="68"/>
      <c r="AB208" s="68"/>
      <c r="AC208" s="68"/>
      <c r="AD208" s="68"/>
      <c r="AE208" s="68"/>
      <c r="AF208" s="68"/>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row>
    <row r="209" spans="1:66" ht="15.75" customHeight="1" x14ac:dyDescent="0.2">
      <c r="A209" s="74" t="s">
        <v>606</v>
      </c>
      <c r="B209" s="74">
        <v>2016</v>
      </c>
      <c r="C209" s="74"/>
      <c r="D209" s="74">
        <v>1</v>
      </c>
      <c r="E209" s="74"/>
      <c r="F209" s="74">
        <v>2016</v>
      </c>
      <c r="G209" s="74"/>
      <c r="H209" s="74"/>
      <c r="I209" s="74" t="s">
        <v>611</v>
      </c>
      <c r="J209" s="8"/>
      <c r="K209" s="8"/>
      <c r="L209" s="8"/>
      <c r="M209" s="8"/>
      <c r="N209" s="8"/>
      <c r="O209" s="8"/>
      <c r="P209" s="8"/>
      <c r="Q209" s="8"/>
      <c r="R209" s="8"/>
      <c r="S209" s="8"/>
      <c r="T209" s="8"/>
      <c r="U209" s="8"/>
      <c r="V209" s="8"/>
      <c r="W209" s="8"/>
      <c r="X209" s="68"/>
      <c r="Y209" s="68"/>
      <c r="Z209" s="68"/>
      <c r="AA209" s="68"/>
      <c r="AB209" s="68"/>
      <c r="AC209" s="68"/>
      <c r="AD209" s="68"/>
      <c r="AE209" s="68"/>
      <c r="AF209" s="68"/>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row>
    <row r="210" spans="1:66" ht="15.75" customHeight="1" x14ac:dyDescent="0.2">
      <c r="A210" s="74" t="s">
        <v>606</v>
      </c>
      <c r="B210" s="74">
        <v>2017</v>
      </c>
      <c r="C210" s="74"/>
      <c r="D210" s="74">
        <v>1</v>
      </c>
      <c r="E210" s="74"/>
      <c r="F210" s="74">
        <v>2017</v>
      </c>
      <c r="G210" s="74"/>
      <c r="H210" s="74"/>
      <c r="I210" s="74" t="s">
        <v>611</v>
      </c>
      <c r="J210" s="8"/>
      <c r="K210" s="8"/>
      <c r="L210" s="8"/>
      <c r="M210" s="8"/>
      <c r="N210" s="8"/>
      <c r="O210" s="8"/>
      <c r="P210" s="8"/>
      <c r="Q210" s="8"/>
      <c r="R210" s="8"/>
      <c r="S210" s="8"/>
      <c r="T210" s="8"/>
      <c r="U210" s="8"/>
      <c r="V210" s="8"/>
      <c r="W210" s="8"/>
      <c r="X210" s="68"/>
      <c r="Y210" s="68"/>
      <c r="Z210" s="68"/>
      <c r="AA210" s="68"/>
      <c r="AB210" s="68"/>
      <c r="AC210" s="68"/>
      <c r="AD210" s="68"/>
      <c r="AE210" s="68"/>
      <c r="AF210" s="68"/>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row>
    <row r="211" spans="1:66" ht="15.75" customHeight="1" x14ac:dyDescent="0.2">
      <c r="A211" s="74" t="s">
        <v>606</v>
      </c>
      <c r="B211" s="74">
        <v>2018</v>
      </c>
      <c r="C211" s="74"/>
      <c r="D211" s="74">
        <v>2</v>
      </c>
      <c r="E211" s="74"/>
      <c r="F211" s="74">
        <v>2018</v>
      </c>
      <c r="G211" s="74"/>
      <c r="H211" s="74"/>
      <c r="I211" s="74" t="s">
        <v>611</v>
      </c>
      <c r="J211" s="8"/>
      <c r="K211" s="8"/>
      <c r="L211" s="8"/>
      <c r="M211" s="8"/>
      <c r="N211" s="8"/>
      <c r="O211" s="8"/>
      <c r="P211" s="8"/>
      <c r="Q211" s="8"/>
      <c r="R211" s="8"/>
      <c r="S211" s="8"/>
      <c r="T211" s="8"/>
      <c r="U211" s="8"/>
      <c r="V211" s="8"/>
      <c r="W211" s="8"/>
      <c r="X211" s="68"/>
      <c r="Y211" s="68"/>
      <c r="Z211" s="68"/>
      <c r="AA211" s="68"/>
      <c r="AB211" s="68"/>
      <c r="AC211" s="68"/>
      <c r="AD211" s="68"/>
      <c r="AE211" s="68"/>
      <c r="AF211" s="68"/>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row>
    <row r="212" spans="1:66" ht="15.75" customHeight="1" x14ac:dyDescent="0.2">
      <c r="A212" s="74" t="s">
        <v>606</v>
      </c>
      <c r="B212" s="74">
        <v>2019</v>
      </c>
      <c r="C212" s="74"/>
      <c r="D212" s="74">
        <v>2</v>
      </c>
      <c r="E212" s="74"/>
      <c r="F212" s="74">
        <v>2019</v>
      </c>
      <c r="G212" s="74"/>
      <c r="H212" s="74"/>
      <c r="I212" s="74" t="s">
        <v>616</v>
      </c>
      <c r="J212" s="8"/>
      <c r="K212" s="8"/>
      <c r="L212" s="8"/>
      <c r="M212" s="8"/>
      <c r="N212" s="8"/>
      <c r="O212" s="8"/>
      <c r="P212" s="8"/>
      <c r="Q212" s="8"/>
      <c r="R212" s="8"/>
      <c r="S212" s="8"/>
      <c r="T212" s="8"/>
      <c r="U212" s="8"/>
      <c r="V212" s="8"/>
      <c r="W212" s="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row>
    <row r="213" spans="1:66" ht="15.75" customHeight="1" x14ac:dyDescent="0.2">
      <c r="A213" s="74" t="s">
        <v>606</v>
      </c>
      <c r="B213" s="74">
        <v>2020</v>
      </c>
      <c r="C213" s="74"/>
      <c r="D213" s="74">
        <v>5</v>
      </c>
      <c r="E213" s="74"/>
      <c r="F213" s="74">
        <v>2020</v>
      </c>
      <c r="G213" s="74"/>
      <c r="H213" s="74"/>
      <c r="I213" s="99" t="s">
        <v>617</v>
      </c>
      <c r="J213" s="8"/>
      <c r="K213" s="8"/>
      <c r="L213" s="8"/>
      <c r="M213" s="8"/>
      <c r="N213" s="8"/>
      <c r="O213" s="8"/>
      <c r="P213" s="8"/>
      <c r="Q213" s="8"/>
      <c r="R213" s="8"/>
      <c r="S213" s="8"/>
      <c r="T213" s="8"/>
      <c r="U213" s="8"/>
      <c r="V213" s="8"/>
      <c r="W213" s="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row>
    <row r="214" spans="1:66" ht="15.75" customHeight="1" x14ac:dyDescent="0.2">
      <c r="A214" s="74" t="s">
        <v>606</v>
      </c>
      <c r="B214" s="74">
        <v>2020</v>
      </c>
      <c r="C214" s="74"/>
      <c r="D214" s="74">
        <v>1</v>
      </c>
      <c r="E214" s="74"/>
      <c r="F214" s="74">
        <v>2020</v>
      </c>
      <c r="G214" s="74"/>
      <c r="H214" s="74"/>
      <c r="I214" s="74" t="s">
        <v>611</v>
      </c>
      <c r="J214" s="8"/>
      <c r="K214" s="8"/>
      <c r="L214" s="8"/>
      <c r="M214" s="8"/>
      <c r="N214" s="8"/>
      <c r="O214" s="8"/>
      <c r="P214" s="8"/>
      <c r="Q214" s="8"/>
      <c r="R214" s="8"/>
      <c r="S214" s="8"/>
      <c r="T214" s="8"/>
      <c r="U214" s="8"/>
      <c r="V214" s="8"/>
      <c r="W214" s="8"/>
      <c r="X214" s="68"/>
      <c r="Y214" s="68"/>
      <c r="Z214" s="68"/>
      <c r="AA214" s="68"/>
      <c r="AB214" s="68"/>
      <c r="AC214" s="68"/>
      <c r="AD214" s="68"/>
      <c r="AE214" s="68"/>
      <c r="AF214" s="68"/>
      <c r="AG214" s="68"/>
      <c r="AH214" s="68"/>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c r="BJ214" s="68"/>
      <c r="BK214" s="68"/>
      <c r="BL214" s="68"/>
      <c r="BM214" s="68"/>
      <c r="BN214" s="68"/>
    </row>
    <row r="215" spans="1:66" ht="15.75" customHeight="1" x14ac:dyDescent="0.2">
      <c r="A215" s="74" t="s">
        <v>606</v>
      </c>
      <c r="B215" s="74">
        <v>2021</v>
      </c>
      <c r="C215" s="74"/>
      <c r="D215" s="74">
        <v>1</v>
      </c>
      <c r="E215" s="74"/>
      <c r="F215" s="74">
        <v>2021</v>
      </c>
      <c r="G215" s="74"/>
      <c r="H215" s="74"/>
      <c r="I215" s="74" t="s">
        <v>611</v>
      </c>
      <c r="J215" s="8"/>
      <c r="K215" s="8"/>
      <c r="L215" s="8"/>
      <c r="M215" s="8"/>
      <c r="N215" s="8"/>
      <c r="O215" s="8"/>
      <c r="P215" s="8"/>
      <c r="Q215" s="8"/>
      <c r="R215" s="8"/>
      <c r="S215" s="8"/>
      <c r="T215" s="8"/>
      <c r="U215" s="8"/>
      <c r="V215" s="8"/>
      <c r="W215" s="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row>
    <row r="216" spans="1:66" ht="15.75" customHeight="1" x14ac:dyDescent="0.2">
      <c r="A216" s="74" t="s">
        <v>606</v>
      </c>
      <c r="B216" s="74">
        <v>2022</v>
      </c>
      <c r="C216" s="74"/>
      <c r="D216" s="74">
        <v>1</v>
      </c>
      <c r="E216" s="74"/>
      <c r="F216" s="74">
        <v>2022</v>
      </c>
      <c r="G216" s="74"/>
      <c r="H216" s="74"/>
      <c r="I216" s="74" t="s">
        <v>611</v>
      </c>
      <c r="J216" s="8"/>
      <c r="K216" s="8"/>
      <c r="L216" s="8"/>
      <c r="M216" s="8"/>
      <c r="N216" s="8"/>
      <c r="O216" s="8"/>
      <c r="P216" s="8"/>
      <c r="Q216" s="8"/>
      <c r="R216" s="8"/>
      <c r="S216" s="8"/>
      <c r="T216" s="8"/>
      <c r="U216" s="8"/>
      <c r="V216" s="8"/>
      <c r="W216" s="8"/>
      <c r="X216" s="68"/>
      <c r="Y216" s="68"/>
      <c r="Z216" s="68"/>
      <c r="AA216" s="68"/>
      <c r="AB216" s="68"/>
      <c r="AC216" s="68"/>
      <c r="AD216" s="68"/>
      <c r="AE216" s="68"/>
      <c r="AF216" s="68"/>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row>
    <row r="217" spans="1:66" s="41" customFormat="1" ht="15.75" customHeight="1" x14ac:dyDescent="0.2">
      <c r="A217" s="102" t="s">
        <v>606</v>
      </c>
      <c r="B217" s="102">
        <v>2022</v>
      </c>
      <c r="C217" s="102">
        <v>1</v>
      </c>
      <c r="D217" s="102"/>
      <c r="E217" s="102"/>
      <c r="F217" s="102">
        <v>2022</v>
      </c>
      <c r="G217" s="102"/>
      <c r="H217" s="102" t="s">
        <v>618</v>
      </c>
      <c r="I217" s="102" t="s">
        <v>619</v>
      </c>
      <c r="J217" s="109"/>
      <c r="K217" s="109"/>
      <c r="L217" s="109"/>
      <c r="M217" s="109"/>
      <c r="N217" s="109"/>
      <c r="O217" s="109"/>
      <c r="P217" s="109"/>
      <c r="Q217" s="109"/>
      <c r="R217" s="109"/>
      <c r="S217" s="109"/>
      <c r="T217" s="109"/>
      <c r="U217" s="109"/>
      <c r="V217" s="109"/>
      <c r="W217" s="109"/>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3"/>
      <c r="BG217" s="93"/>
      <c r="BH217" s="93"/>
      <c r="BI217" s="93"/>
      <c r="BJ217" s="93"/>
      <c r="BK217" s="93"/>
      <c r="BL217" s="93"/>
      <c r="BM217" s="93"/>
      <c r="BN217" s="93"/>
    </row>
    <row r="218" spans="1:66" ht="15.75" customHeight="1" x14ac:dyDescent="0.2">
      <c r="A218" s="81" t="s">
        <v>185</v>
      </c>
      <c r="B218" s="81">
        <v>2023</v>
      </c>
      <c r="C218" s="81">
        <v>1</v>
      </c>
      <c r="D218" s="81"/>
      <c r="E218" s="81"/>
      <c r="F218" s="81">
        <v>2023</v>
      </c>
      <c r="G218" s="81"/>
      <c r="H218" s="81" t="s">
        <v>620</v>
      </c>
      <c r="I218" s="81" t="s">
        <v>401</v>
      </c>
      <c r="J218" s="8"/>
      <c r="K218" s="8"/>
      <c r="L218" s="8"/>
      <c r="M218" s="8"/>
      <c r="N218" s="8"/>
      <c r="O218" s="8"/>
      <c r="P218" s="8"/>
      <c r="Q218" s="8"/>
      <c r="R218" s="8"/>
      <c r="S218" s="8"/>
      <c r="T218" s="8"/>
      <c r="U218" s="8"/>
      <c r="V218" s="8"/>
      <c r="W218" s="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row>
    <row r="219" spans="1:66" ht="15.75" customHeight="1" x14ac:dyDescent="0.2">
      <c r="A219" s="74" t="s">
        <v>189</v>
      </c>
      <c r="B219" s="74">
        <v>1982</v>
      </c>
      <c r="C219" s="74">
        <v>1</v>
      </c>
      <c r="D219" s="74"/>
      <c r="E219" s="74"/>
      <c r="F219" s="74">
        <v>1982</v>
      </c>
      <c r="G219" s="74"/>
      <c r="H219" s="74"/>
      <c r="I219" s="99" t="s">
        <v>621</v>
      </c>
      <c r="J219" s="8"/>
      <c r="K219" s="8"/>
      <c r="L219" s="8"/>
      <c r="M219" s="8"/>
      <c r="N219" s="8"/>
      <c r="O219" s="8"/>
      <c r="P219" s="8"/>
      <c r="Q219" s="8"/>
      <c r="R219" s="8"/>
      <c r="S219" s="8"/>
      <c r="T219" s="8"/>
      <c r="U219" s="8"/>
      <c r="V219" s="8"/>
      <c r="W219" s="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row>
    <row r="220" spans="1:66" ht="15.75" customHeight="1" x14ac:dyDescent="0.2">
      <c r="A220" s="74" t="s">
        <v>191</v>
      </c>
      <c r="B220" s="74">
        <v>2002</v>
      </c>
      <c r="C220" s="74">
        <v>1</v>
      </c>
      <c r="D220" s="74"/>
      <c r="E220" s="74"/>
      <c r="F220" s="74">
        <v>2002</v>
      </c>
      <c r="G220" s="74"/>
      <c r="H220" s="74" t="s">
        <v>622</v>
      </c>
      <c r="I220" s="74" t="s">
        <v>403</v>
      </c>
      <c r="J220" s="8"/>
      <c r="K220" s="8"/>
      <c r="L220" s="8"/>
      <c r="M220" s="8"/>
      <c r="N220" s="8"/>
      <c r="O220" s="8"/>
      <c r="P220" s="8"/>
      <c r="Q220" s="8"/>
      <c r="R220" s="8"/>
      <c r="S220" s="8"/>
      <c r="T220" s="8"/>
      <c r="U220" s="8"/>
      <c r="V220" s="8"/>
      <c r="W220" s="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row>
    <row r="221" spans="1:66" ht="15.75" customHeight="1" x14ac:dyDescent="0.2">
      <c r="A221" s="74" t="s">
        <v>191</v>
      </c>
      <c r="B221" s="74">
        <v>2018</v>
      </c>
      <c r="C221" s="74"/>
      <c r="D221" s="74">
        <v>1</v>
      </c>
      <c r="E221" s="74"/>
      <c r="F221" s="74">
        <v>2018</v>
      </c>
      <c r="G221" s="74"/>
      <c r="H221" s="74" t="s">
        <v>623</v>
      </c>
      <c r="I221" s="74" t="s">
        <v>404</v>
      </c>
      <c r="J221" s="8"/>
      <c r="K221" s="8"/>
      <c r="L221" s="8"/>
      <c r="M221" s="8"/>
      <c r="N221" s="8"/>
      <c r="O221" s="8"/>
      <c r="P221" s="8"/>
      <c r="Q221" s="8"/>
      <c r="R221" s="8"/>
      <c r="S221" s="8"/>
      <c r="T221" s="8"/>
      <c r="U221" s="8"/>
      <c r="V221" s="8"/>
      <c r="W221" s="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row>
    <row r="222" spans="1:66" ht="15.75" customHeight="1" x14ac:dyDescent="0.2">
      <c r="A222" s="74" t="s">
        <v>191</v>
      </c>
      <c r="B222" s="74">
        <v>2020</v>
      </c>
      <c r="C222" s="74"/>
      <c r="D222" s="74">
        <v>1</v>
      </c>
      <c r="E222" s="74"/>
      <c r="F222" s="74">
        <v>2020</v>
      </c>
      <c r="G222" s="74"/>
      <c r="H222" s="74" t="s">
        <v>624</v>
      </c>
      <c r="I222" s="74" t="s">
        <v>404</v>
      </c>
      <c r="J222" s="8"/>
      <c r="K222" s="8"/>
      <c r="L222" s="8"/>
      <c r="M222" s="8"/>
      <c r="N222" s="8"/>
      <c r="O222" s="8"/>
      <c r="P222" s="8"/>
      <c r="Q222" s="8"/>
      <c r="R222" s="8"/>
      <c r="S222" s="8"/>
      <c r="T222" s="8"/>
      <c r="U222" s="8"/>
      <c r="V222" s="8"/>
      <c r="W222" s="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row>
    <row r="223" spans="1:66" ht="15.75" customHeight="1" x14ac:dyDescent="0.2">
      <c r="A223" s="74" t="s">
        <v>191</v>
      </c>
      <c r="B223" s="74">
        <v>2022</v>
      </c>
      <c r="C223" s="74">
        <v>1</v>
      </c>
      <c r="D223" s="74"/>
      <c r="E223" s="74"/>
      <c r="F223" s="74">
        <v>2022</v>
      </c>
      <c r="G223" s="74"/>
      <c r="H223" s="74" t="s">
        <v>625</v>
      </c>
      <c r="I223" s="74" t="s">
        <v>626</v>
      </c>
      <c r="J223" s="8"/>
      <c r="K223" s="8"/>
      <c r="L223" s="8"/>
      <c r="M223" s="8"/>
      <c r="N223" s="8"/>
      <c r="O223" s="8"/>
      <c r="P223" s="8"/>
      <c r="Q223" s="8"/>
      <c r="R223" s="8"/>
      <c r="S223" s="8"/>
      <c r="T223" s="8"/>
      <c r="U223" s="8"/>
      <c r="V223" s="8"/>
      <c r="W223" s="8"/>
      <c r="X223" s="68"/>
      <c r="Y223" s="68"/>
      <c r="Z223" s="68"/>
      <c r="AA223" s="68"/>
      <c r="AB223" s="68"/>
      <c r="AC223" s="68"/>
      <c r="AD223" s="68"/>
      <c r="AE223" s="68"/>
      <c r="AF223" s="68"/>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c r="BC223" s="68"/>
      <c r="BD223" s="68"/>
      <c r="BE223" s="68"/>
      <c r="BF223" s="68"/>
      <c r="BG223" s="68"/>
      <c r="BH223" s="68"/>
      <c r="BI223" s="68"/>
      <c r="BJ223" s="68"/>
      <c r="BK223" s="68"/>
      <c r="BL223" s="68"/>
      <c r="BM223" s="68"/>
      <c r="BN223" s="68"/>
    </row>
    <row r="224" spans="1:66" ht="15.75" customHeight="1" x14ac:dyDescent="0.2">
      <c r="A224" s="74" t="s">
        <v>627</v>
      </c>
      <c r="B224" s="74">
        <v>1975</v>
      </c>
      <c r="C224" s="74"/>
      <c r="D224" s="74"/>
      <c r="E224" s="74"/>
      <c r="F224" s="74">
        <v>1975</v>
      </c>
      <c r="G224" s="74">
        <v>1</v>
      </c>
      <c r="H224" s="74" t="s">
        <v>628</v>
      </c>
      <c r="I224" s="99" t="s">
        <v>629</v>
      </c>
      <c r="J224" s="8"/>
      <c r="K224" s="8"/>
      <c r="L224" s="8"/>
      <c r="M224" s="8"/>
      <c r="N224" s="8"/>
      <c r="O224" s="8"/>
      <c r="P224" s="8"/>
      <c r="Q224" s="8"/>
      <c r="R224" s="8"/>
      <c r="S224" s="8"/>
      <c r="T224" s="8"/>
      <c r="U224" s="8"/>
      <c r="V224" s="8"/>
      <c r="W224" s="8"/>
      <c r="X224" s="68"/>
      <c r="Y224" s="68"/>
      <c r="Z224" s="68"/>
      <c r="AA224" s="68"/>
      <c r="AB224" s="68"/>
      <c r="AC224" s="68"/>
      <c r="AD224" s="68"/>
      <c r="AE224" s="68"/>
      <c r="AF224" s="68"/>
      <c r="AG224" s="68"/>
      <c r="AH224" s="68"/>
      <c r="AI224" s="68"/>
      <c r="AJ224" s="68"/>
      <c r="AK224" s="68"/>
      <c r="AL224" s="68"/>
      <c r="AM224" s="68"/>
      <c r="AN224" s="68"/>
      <c r="AO224" s="68"/>
      <c r="AP224" s="68"/>
      <c r="AQ224" s="68"/>
      <c r="AR224" s="68"/>
      <c r="AS224" s="68"/>
      <c r="AT224" s="68"/>
      <c r="AU224" s="68"/>
      <c r="AV224" s="68"/>
      <c r="AW224" s="68"/>
      <c r="AX224" s="68"/>
      <c r="AY224" s="68"/>
      <c r="AZ224" s="68"/>
      <c r="BA224" s="68"/>
      <c r="BB224" s="68"/>
      <c r="BC224" s="68"/>
      <c r="BD224" s="68"/>
      <c r="BE224" s="68"/>
      <c r="BF224" s="68"/>
      <c r="BG224" s="68"/>
      <c r="BH224" s="68"/>
      <c r="BI224" s="68"/>
      <c r="BJ224" s="68"/>
      <c r="BK224" s="68"/>
      <c r="BL224" s="68"/>
      <c r="BM224" s="68"/>
      <c r="BN224" s="68"/>
    </row>
    <row r="225" spans="1:66" ht="15.75" customHeight="1" x14ac:dyDescent="0.2">
      <c r="A225" s="74" t="s">
        <v>627</v>
      </c>
      <c r="B225" s="74">
        <v>1988</v>
      </c>
      <c r="C225" s="74"/>
      <c r="D225" s="74">
        <v>1</v>
      </c>
      <c r="E225" s="74"/>
      <c r="F225" s="74">
        <v>1988</v>
      </c>
      <c r="G225" s="74"/>
      <c r="H225" s="74" t="s">
        <v>630</v>
      </c>
      <c r="I225" s="74" t="s">
        <v>631</v>
      </c>
      <c r="J225" s="8"/>
      <c r="K225" s="8"/>
      <c r="L225" s="8"/>
      <c r="M225" s="8"/>
      <c r="N225" s="8"/>
      <c r="O225" s="8"/>
      <c r="P225" s="8"/>
      <c r="Q225" s="8"/>
      <c r="R225" s="8"/>
      <c r="S225" s="8"/>
      <c r="T225" s="8"/>
      <c r="U225" s="8"/>
      <c r="V225" s="8"/>
      <c r="W225" s="8"/>
      <c r="X225" s="68"/>
      <c r="Y225" s="68"/>
      <c r="Z225" s="68"/>
      <c r="AA225" s="68"/>
      <c r="AB225" s="68"/>
      <c r="AC225" s="68"/>
      <c r="AD225" s="68"/>
      <c r="AE225" s="68"/>
      <c r="AF225" s="68"/>
      <c r="AG225" s="68"/>
      <c r="AH225" s="68"/>
      <c r="AI225" s="68"/>
      <c r="AJ225" s="68"/>
      <c r="AK225" s="68"/>
      <c r="AL225" s="68"/>
      <c r="AM225" s="68"/>
      <c r="AN225" s="68"/>
      <c r="AO225" s="68"/>
      <c r="AP225" s="68"/>
      <c r="AQ225" s="68"/>
      <c r="AR225" s="68"/>
      <c r="AS225" s="68"/>
      <c r="AT225" s="68"/>
      <c r="AU225" s="68"/>
      <c r="AV225" s="68"/>
      <c r="AW225" s="68"/>
      <c r="AX225" s="68"/>
      <c r="AY225" s="68"/>
      <c r="AZ225" s="68"/>
      <c r="BA225" s="68"/>
      <c r="BB225" s="68"/>
      <c r="BC225" s="68"/>
      <c r="BD225" s="68"/>
      <c r="BE225" s="68"/>
      <c r="BF225" s="68"/>
      <c r="BG225" s="68"/>
      <c r="BH225" s="68"/>
      <c r="BI225" s="68"/>
      <c r="BJ225" s="68"/>
      <c r="BK225" s="68"/>
      <c r="BL225" s="68"/>
      <c r="BM225" s="68"/>
      <c r="BN225" s="68"/>
    </row>
    <row r="226" spans="1:66" ht="15.75" customHeight="1" x14ac:dyDescent="0.2">
      <c r="A226" s="74" t="s">
        <v>627</v>
      </c>
      <c r="B226" s="74">
        <v>1992</v>
      </c>
      <c r="C226" s="74"/>
      <c r="D226" s="74">
        <v>1</v>
      </c>
      <c r="E226" s="74"/>
      <c r="F226" s="74">
        <v>1992</v>
      </c>
      <c r="G226" s="74"/>
      <c r="H226" s="74" t="s">
        <v>452</v>
      </c>
      <c r="I226" s="74" t="s">
        <v>632</v>
      </c>
      <c r="J226" s="8"/>
      <c r="K226" s="8"/>
      <c r="L226" s="8"/>
      <c r="M226" s="8"/>
      <c r="N226" s="8"/>
      <c r="O226" s="8"/>
      <c r="P226" s="8"/>
      <c r="Q226" s="8"/>
      <c r="R226" s="8"/>
      <c r="S226" s="8"/>
      <c r="T226" s="8"/>
      <c r="U226" s="8"/>
      <c r="V226" s="8"/>
      <c r="W226" s="8"/>
      <c r="X226" s="68"/>
      <c r="Y226" s="68"/>
      <c r="Z226" s="68"/>
      <c r="AA226" s="68"/>
      <c r="AB226" s="68"/>
      <c r="AC226" s="68"/>
      <c r="AD226" s="68"/>
      <c r="AE226" s="68"/>
      <c r="AF226" s="68"/>
      <c r="AG226" s="68"/>
      <c r="AH226" s="68"/>
      <c r="AI226" s="68"/>
      <c r="AJ226" s="68"/>
      <c r="AK226" s="68"/>
      <c r="AL226" s="68"/>
      <c r="AM226" s="68"/>
      <c r="AN226" s="68"/>
      <c r="AO226" s="68"/>
      <c r="AP226" s="68"/>
      <c r="AQ226" s="68"/>
      <c r="AR226" s="68"/>
      <c r="AS226" s="68"/>
      <c r="AT226" s="68"/>
      <c r="AU226" s="68"/>
      <c r="AV226" s="68"/>
      <c r="AW226" s="68"/>
      <c r="AX226" s="68"/>
      <c r="AY226" s="68"/>
      <c r="AZ226" s="68"/>
      <c r="BA226" s="68"/>
      <c r="BB226" s="68"/>
      <c r="BC226" s="68"/>
      <c r="BD226" s="68"/>
      <c r="BE226" s="68"/>
      <c r="BF226" s="68"/>
      <c r="BG226" s="68"/>
      <c r="BH226" s="68"/>
      <c r="BI226" s="68"/>
      <c r="BJ226" s="68"/>
      <c r="BK226" s="68"/>
      <c r="BL226" s="68"/>
      <c r="BM226" s="68"/>
      <c r="BN226" s="68"/>
    </row>
    <row r="227" spans="1:66" ht="15.75" customHeight="1" x14ac:dyDescent="0.2">
      <c r="A227" s="74" t="s">
        <v>627</v>
      </c>
      <c r="B227" s="74">
        <v>2007</v>
      </c>
      <c r="C227" s="74">
        <v>1</v>
      </c>
      <c r="D227" s="74"/>
      <c r="E227" s="74"/>
      <c r="F227" s="74">
        <v>2007</v>
      </c>
      <c r="G227" s="74"/>
      <c r="H227" s="74" t="s">
        <v>633</v>
      </c>
      <c r="I227" s="74" t="s">
        <v>406</v>
      </c>
      <c r="J227" s="8"/>
      <c r="K227" s="8"/>
      <c r="L227" s="8"/>
      <c r="M227" s="8"/>
      <c r="N227" s="8"/>
      <c r="O227" s="8"/>
      <c r="P227" s="8"/>
      <c r="Q227" s="8"/>
      <c r="R227" s="8"/>
      <c r="S227" s="8"/>
      <c r="T227" s="8"/>
      <c r="U227" s="8"/>
      <c r="V227" s="8"/>
      <c r="W227" s="8"/>
      <c r="X227" s="68"/>
      <c r="Y227" s="68"/>
      <c r="Z227" s="68"/>
      <c r="AA227" s="68"/>
      <c r="AB227" s="68"/>
      <c r="AC227" s="68"/>
      <c r="AD227" s="68"/>
      <c r="AE227" s="68"/>
      <c r="AF227" s="68"/>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c r="BJ227" s="68"/>
      <c r="BK227" s="68"/>
      <c r="BL227" s="68"/>
      <c r="BM227" s="68"/>
      <c r="BN227" s="68"/>
    </row>
    <row r="228" spans="1:66" ht="15.75" customHeight="1" x14ac:dyDescent="0.2">
      <c r="A228" s="74" t="s">
        <v>627</v>
      </c>
      <c r="B228" s="74">
        <v>2018</v>
      </c>
      <c r="C228" s="74">
        <v>1</v>
      </c>
      <c r="D228" s="74"/>
      <c r="E228" s="74"/>
      <c r="F228" s="74">
        <v>2020</v>
      </c>
      <c r="G228" s="74"/>
      <c r="H228" s="74" t="s">
        <v>634</v>
      </c>
      <c r="I228" s="74" t="s">
        <v>635</v>
      </c>
      <c r="J228" s="8"/>
      <c r="K228" s="8"/>
      <c r="L228" s="8"/>
      <c r="M228" s="8"/>
      <c r="N228" s="8"/>
      <c r="O228" s="8"/>
      <c r="P228" s="8"/>
      <c r="Q228" s="8"/>
      <c r="R228" s="8"/>
      <c r="S228" s="8"/>
      <c r="T228" s="8"/>
      <c r="U228" s="8"/>
      <c r="V228" s="8"/>
      <c r="W228" s="8"/>
      <c r="X228" s="68"/>
      <c r="Y228" s="68"/>
      <c r="Z228" s="68"/>
      <c r="AA228" s="68"/>
      <c r="AB228" s="68"/>
      <c r="AC228" s="68"/>
      <c r="AD228" s="68"/>
      <c r="AE228" s="68"/>
      <c r="AF228" s="68"/>
      <c r="AG228" s="68"/>
      <c r="AH228" s="68"/>
      <c r="AI228" s="68"/>
      <c r="AJ228" s="68"/>
      <c r="AK228" s="68"/>
      <c r="AL228" s="68"/>
      <c r="AM228" s="68"/>
      <c r="AN228" s="68"/>
      <c r="AO228" s="68"/>
      <c r="AP228" s="68"/>
      <c r="AQ228" s="68"/>
      <c r="AR228" s="68"/>
      <c r="AS228" s="68"/>
      <c r="AT228" s="68"/>
      <c r="AU228" s="68"/>
      <c r="AV228" s="68"/>
      <c r="AW228" s="68"/>
      <c r="AX228" s="68"/>
      <c r="AY228" s="68"/>
      <c r="AZ228" s="68"/>
      <c r="BA228" s="68"/>
      <c r="BB228" s="68"/>
      <c r="BC228" s="68"/>
      <c r="BD228" s="68"/>
      <c r="BE228" s="68"/>
      <c r="BF228" s="68"/>
      <c r="BG228" s="68"/>
      <c r="BH228" s="68"/>
      <c r="BI228" s="68"/>
      <c r="BJ228" s="68"/>
      <c r="BK228" s="68"/>
      <c r="BL228" s="68"/>
      <c r="BM228" s="68"/>
      <c r="BN228" s="68"/>
    </row>
    <row r="229" spans="1:66" ht="15.75" customHeight="1" x14ac:dyDescent="0.2">
      <c r="A229" s="74" t="s">
        <v>627</v>
      </c>
      <c r="B229" s="74">
        <v>2020</v>
      </c>
      <c r="C229" s="74"/>
      <c r="D229" s="74"/>
      <c r="E229" s="74">
        <v>1</v>
      </c>
      <c r="F229" s="74">
        <v>2020</v>
      </c>
      <c r="G229" s="74"/>
      <c r="H229" s="74" t="s">
        <v>636</v>
      </c>
      <c r="I229" s="74" t="s">
        <v>408</v>
      </c>
      <c r="J229" s="74"/>
      <c r="K229" s="74"/>
      <c r="L229" s="74"/>
      <c r="M229" s="74"/>
      <c r="N229" s="74"/>
      <c r="O229" s="8"/>
      <c r="P229" s="8"/>
      <c r="Q229" s="8"/>
      <c r="R229" s="8"/>
      <c r="S229" s="8"/>
      <c r="T229" s="8"/>
      <c r="U229" s="8"/>
      <c r="V229" s="8"/>
      <c r="W229" s="8"/>
      <c r="X229" s="68"/>
      <c r="Y229" s="68"/>
      <c r="Z229" s="68"/>
      <c r="AA229" s="68"/>
      <c r="AB229" s="68"/>
      <c r="AC229" s="68"/>
      <c r="AD229" s="68"/>
      <c r="AE229" s="68"/>
      <c r="AF229" s="68"/>
      <c r="AG229" s="68"/>
      <c r="AH229" s="68"/>
      <c r="AI229" s="68"/>
      <c r="AJ229" s="68"/>
      <c r="AK229" s="68"/>
      <c r="AL229" s="68"/>
      <c r="AM229" s="68"/>
      <c r="AN229" s="68"/>
      <c r="AO229" s="68"/>
      <c r="AP229" s="68"/>
      <c r="AQ229" s="68"/>
      <c r="AR229" s="68"/>
      <c r="AS229" s="68"/>
      <c r="AT229" s="68"/>
      <c r="AU229" s="68"/>
      <c r="AV229" s="68"/>
      <c r="AW229" s="68"/>
      <c r="AX229" s="68"/>
      <c r="AY229" s="68"/>
      <c r="AZ229" s="68"/>
      <c r="BA229" s="68"/>
      <c r="BB229" s="68"/>
      <c r="BC229" s="68"/>
      <c r="BD229" s="68"/>
      <c r="BE229" s="68"/>
      <c r="BF229" s="68"/>
      <c r="BG229" s="68"/>
      <c r="BH229" s="68"/>
      <c r="BI229" s="68"/>
      <c r="BJ229" s="68"/>
      <c r="BK229" s="68"/>
      <c r="BL229" s="68"/>
      <c r="BM229" s="68"/>
      <c r="BN229" s="68"/>
    </row>
    <row r="230" spans="1:66" ht="15.75" customHeight="1" x14ac:dyDescent="0.2">
      <c r="A230" s="74" t="s">
        <v>627</v>
      </c>
      <c r="B230" s="74">
        <v>2022</v>
      </c>
      <c r="C230" s="74"/>
      <c r="D230" s="74"/>
      <c r="E230" s="74">
        <v>1</v>
      </c>
      <c r="F230" s="74">
        <v>2022</v>
      </c>
      <c r="G230" s="74"/>
      <c r="H230" s="74" t="s">
        <v>637</v>
      </c>
      <c r="I230" s="74" t="s">
        <v>409</v>
      </c>
      <c r="J230" s="8"/>
      <c r="K230" s="8"/>
      <c r="L230" s="8"/>
      <c r="M230" s="8"/>
      <c r="N230" s="8"/>
      <c r="O230" s="8"/>
      <c r="P230" s="8"/>
      <c r="Q230" s="8"/>
      <c r="R230" s="8"/>
      <c r="S230" s="8"/>
      <c r="T230" s="8"/>
      <c r="U230" s="8"/>
      <c r="V230" s="8"/>
      <c r="W230" s="8"/>
      <c r="X230" s="68"/>
      <c r="Y230" s="68"/>
      <c r="Z230" s="68"/>
      <c r="AA230" s="68"/>
      <c r="AB230" s="68"/>
      <c r="AC230" s="68"/>
      <c r="AD230" s="68"/>
      <c r="AE230" s="68"/>
      <c r="AF230" s="68"/>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c r="BC230" s="68"/>
      <c r="BD230" s="68"/>
      <c r="BE230" s="68"/>
      <c r="BF230" s="68"/>
      <c r="BG230" s="68"/>
      <c r="BH230" s="68"/>
      <c r="BI230" s="68"/>
      <c r="BJ230" s="68"/>
      <c r="BK230" s="68"/>
      <c r="BL230" s="68"/>
      <c r="BM230" s="68"/>
      <c r="BN230" s="68"/>
    </row>
    <row r="231" spans="1:66" ht="15.75" customHeight="1" x14ac:dyDescent="0.2">
      <c r="A231" s="74" t="s">
        <v>627</v>
      </c>
      <c r="B231" s="74">
        <v>2022</v>
      </c>
      <c r="C231" s="74"/>
      <c r="D231" s="74"/>
      <c r="E231" s="74"/>
      <c r="F231" s="74">
        <v>2022</v>
      </c>
      <c r="G231" s="74"/>
      <c r="H231" s="74" t="s">
        <v>638</v>
      </c>
      <c r="I231" s="74" t="s">
        <v>410</v>
      </c>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c r="AM231" s="68"/>
      <c r="AN231" s="68"/>
      <c r="AO231" s="68"/>
      <c r="AP231" s="68"/>
      <c r="AQ231" s="68"/>
      <c r="AR231" s="68"/>
      <c r="AS231" s="68"/>
      <c r="AT231" s="68"/>
      <c r="AU231" s="68"/>
      <c r="AV231" s="68"/>
      <c r="AW231" s="68"/>
      <c r="AX231" s="68"/>
      <c r="AY231" s="68"/>
      <c r="AZ231" s="68"/>
      <c r="BA231" s="68"/>
      <c r="BB231" s="68"/>
      <c r="BC231" s="68"/>
      <c r="BD231" s="68"/>
      <c r="BE231" s="68"/>
      <c r="BF231" s="68"/>
      <c r="BG231" s="68"/>
      <c r="BH231" s="68"/>
      <c r="BI231" s="68"/>
      <c r="BJ231" s="68"/>
      <c r="BK231" s="68"/>
      <c r="BL231" s="68"/>
      <c r="BM231" s="68"/>
      <c r="BN231" s="68"/>
    </row>
    <row r="232" spans="1:66"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row>
    <row r="233" spans="1:66"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row>
    <row r="234" spans="1:66"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row>
    <row r="235" spans="1:66"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row>
    <row r="236" spans="1:66"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row>
    <row r="237" spans="1:66"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row>
    <row r="238" spans="1:66"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row>
    <row r="239" spans="1:66"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row>
    <row r="240" spans="1:66"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row>
    <row r="241" spans="1:66"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row>
    <row r="242" spans="1:66"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row>
    <row r="243" spans="1:66"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row>
    <row r="244" spans="1:66"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row>
    <row r="245" spans="1:66"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row>
    <row r="246" spans="1:66"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row>
    <row r="247" spans="1:66"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row>
    <row r="248" spans="1:66"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row>
    <row r="249" spans="1:66"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row>
    <row r="250" spans="1:66"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row>
    <row r="251" spans="1:66"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row>
    <row r="252" spans="1:66"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row>
    <row r="253" spans="1:66"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row>
    <row r="254" spans="1:66"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row>
    <row r="255" spans="1:66"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row>
    <row r="256" spans="1:66"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row>
    <row r="257" spans="1:66"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row>
    <row r="258" spans="1:66"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row>
    <row r="259" spans="1:66"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row>
    <row r="260" spans="1:66"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row>
    <row r="261" spans="1:66"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row>
    <row r="262" spans="1:66"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row>
    <row r="263" spans="1:66"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row>
    <row r="264" spans="1:66" ht="15.7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row>
    <row r="265" spans="1:66" ht="15.7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row>
    <row r="266" spans="1:66" ht="15.7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row>
    <row r="267" spans="1:66" ht="15.7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row>
    <row r="268" spans="1:66" ht="15.7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row>
    <row r="269" spans="1:66" ht="15.7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row>
    <row r="270" spans="1:66" ht="15.7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row>
    <row r="271" spans="1:66" ht="15.7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row>
    <row r="272" spans="1:66" ht="15.7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row>
    <row r="273" spans="1:66" ht="15.7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row>
    <row r="274" spans="1:66" ht="15.7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row>
    <row r="275" spans="1:66" ht="15.7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row>
    <row r="276" spans="1:66" ht="15.75" customHeight="1"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row>
    <row r="277" spans="1:66" ht="15.75" customHeight="1"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row>
    <row r="278" spans="1:66" ht="15.75" customHeight="1"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row>
    <row r="279" spans="1:66" ht="15.75" customHeight="1"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row>
    <row r="280" spans="1:66" ht="15.75" customHeight="1"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row>
    <row r="281" spans="1:66" ht="15.75" customHeight="1"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row>
    <row r="282" spans="1:66" ht="15.75" customHeight="1"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row>
    <row r="283" spans="1:66" ht="15.75" customHeight="1"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row>
    <row r="284" spans="1:66" ht="15.75" customHeight="1"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row>
    <row r="285" spans="1:66" ht="15.75" customHeight="1"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row>
    <row r="286" spans="1:66" ht="15.75" customHeight="1"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row>
    <row r="287" spans="1:66" ht="15.75" customHeight="1"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row>
    <row r="288" spans="1:66" ht="15.75" customHeight="1"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row>
    <row r="289" spans="1:66" ht="15.75" customHeight="1"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row>
    <row r="290" spans="1:66" ht="15.75" customHeight="1"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row>
    <row r="291" spans="1:66" ht="15.75" customHeight="1"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row>
    <row r="292" spans="1:66" ht="15.75" customHeight="1"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row>
    <row r="293" spans="1:66" ht="15.75" customHeight="1"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row>
    <row r="294" spans="1:66" ht="15.75" customHeight="1"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row>
    <row r="295" spans="1:66" ht="15.75" customHeight="1"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row>
    <row r="296" spans="1:66" ht="15.75" customHeight="1"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row>
    <row r="297" spans="1:66" ht="15.75" customHeight="1"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row>
    <row r="298" spans="1:66" ht="15.75" customHeight="1"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row>
    <row r="299" spans="1:66" ht="15.75" customHeight="1"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row>
    <row r="300" spans="1:66" ht="15.75" customHeight="1"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row>
    <row r="301" spans="1:66" ht="15.75" customHeight="1"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row>
    <row r="302" spans="1:66" ht="15.75" customHeight="1"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row>
    <row r="303" spans="1:66" ht="15.75" customHeight="1"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row>
    <row r="304" spans="1:66" ht="15.75" customHeight="1"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row>
    <row r="305" spans="1:66" ht="15.75" customHeight="1"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row>
    <row r="306" spans="1:66" ht="15.75" customHeight="1"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row>
    <row r="307" spans="1:66" ht="15.75" customHeight="1"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row>
    <row r="308" spans="1:66" ht="15.75" customHeight="1"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row>
    <row r="309" spans="1:66" ht="15.75" customHeight="1"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row>
    <row r="310" spans="1:66" ht="15.75" customHeight="1"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row>
    <row r="311" spans="1:66" ht="15.75" customHeight="1"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row>
    <row r="312" spans="1:66" ht="15.75" customHeight="1"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row>
    <row r="313" spans="1:66" ht="15.75" customHeight="1"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row>
    <row r="314" spans="1:66" ht="15.75" customHeight="1"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row>
    <row r="315" spans="1:66" ht="15.75" customHeight="1"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row>
    <row r="316" spans="1:66" ht="15.75" customHeight="1"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row>
    <row r="317" spans="1:66" ht="15.75" customHeight="1"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row>
    <row r="318" spans="1:66" ht="15.75" customHeight="1"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row>
    <row r="319" spans="1:66" ht="15.75" customHeight="1"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row>
    <row r="320" spans="1:66" ht="15.75" customHeight="1"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row>
    <row r="321" spans="1:66" ht="15.75" customHeight="1"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row>
    <row r="322" spans="1:66" ht="15.75" customHeight="1"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row>
    <row r="323" spans="1:66" ht="15.75" customHeight="1"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row>
    <row r="324" spans="1:66" ht="15.75" customHeight="1"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row>
    <row r="325" spans="1:66" ht="15.75" customHeight="1"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row>
    <row r="326" spans="1:66" ht="15.75" customHeight="1"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row>
    <row r="327" spans="1:66" ht="15.75" customHeight="1"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row>
    <row r="328" spans="1:66" ht="15.75" customHeight="1"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row>
    <row r="329" spans="1:66" ht="15.75" customHeight="1"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row>
    <row r="330" spans="1:66" ht="15.75" customHeight="1"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row>
    <row r="331" spans="1:66" ht="15.75" customHeight="1"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row>
    <row r="332" spans="1:66" ht="15.75" customHeight="1"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row>
    <row r="333" spans="1:66" ht="15.75" customHeight="1"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row>
    <row r="334" spans="1:66" ht="15.75" customHeight="1"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row>
    <row r="335" spans="1:66" ht="15.75" customHeight="1"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row>
    <row r="336" spans="1:66" ht="15.75" customHeight="1"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row>
    <row r="337" spans="1:66" ht="15.75" customHeight="1"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row>
    <row r="338" spans="1:66" ht="15.75" customHeight="1"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row>
    <row r="339" spans="1:66" ht="15.75" customHeight="1"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row>
    <row r="340" spans="1:66" ht="15.75" customHeight="1"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row>
    <row r="341" spans="1:66" ht="15.75" customHeight="1"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row>
    <row r="342" spans="1:66" ht="15.75" customHeight="1"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row>
    <row r="343" spans="1:66" ht="15.75" customHeight="1"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row>
    <row r="344" spans="1:66" ht="15.75" customHeight="1"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row>
    <row r="345" spans="1:66" ht="15.75" customHeight="1"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row>
    <row r="346" spans="1:66" ht="15.75" customHeight="1"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row>
    <row r="347" spans="1:66" ht="15.75" customHeight="1"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row>
    <row r="348" spans="1:66" ht="15.75" customHeight="1"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row>
    <row r="349" spans="1:66" ht="15.75" customHeight="1"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row>
    <row r="350" spans="1:66" ht="15.75" customHeight="1"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row>
    <row r="351" spans="1:66" ht="15.75" customHeight="1"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row>
    <row r="352" spans="1:66" ht="15.75" customHeight="1"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row>
    <row r="353" spans="1:66" ht="15.75" customHeight="1"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row>
    <row r="354" spans="1:66" ht="15.75" customHeight="1"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row>
    <row r="355" spans="1:66" ht="15.75" customHeight="1"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row>
    <row r="356" spans="1:66" ht="15.75" customHeight="1"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row>
    <row r="357" spans="1:66" ht="15.75" customHeight="1"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row>
    <row r="358" spans="1:66" ht="15.75" customHeight="1"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row>
    <row r="359" spans="1:66" ht="15.75" customHeight="1"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row>
    <row r="360" spans="1:66" ht="15.75" customHeight="1"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row>
    <row r="361" spans="1:66" ht="15.75" customHeight="1"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row>
    <row r="362" spans="1:66" ht="15.75" customHeight="1"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row>
    <row r="363" spans="1:66" ht="15.75" customHeight="1"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row>
    <row r="364" spans="1:66" ht="15.75" customHeight="1"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row>
    <row r="365" spans="1:66" ht="15.75" customHeight="1"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row>
    <row r="366" spans="1:66" ht="15.75" customHeight="1"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row>
    <row r="367" spans="1:66" ht="15.75" customHeight="1"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row>
    <row r="368" spans="1:66" ht="15.75" customHeight="1"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row>
    <row r="369" spans="1:66" ht="15.75" customHeight="1"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row>
    <row r="370" spans="1:66" ht="15.75" customHeight="1"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row>
    <row r="371" spans="1:66" ht="15.75" customHeight="1"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row>
    <row r="372" spans="1:66" ht="15.75" customHeight="1"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row>
    <row r="373" spans="1:66" ht="15.75" customHeight="1"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row>
    <row r="374" spans="1:66" ht="15.75" customHeight="1"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row>
    <row r="375" spans="1:66" ht="15.75" customHeight="1"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row>
    <row r="376" spans="1:66" ht="15.75" customHeight="1"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row>
    <row r="377" spans="1:66" ht="15.75" customHeight="1"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row>
    <row r="378" spans="1:66" ht="15.75" customHeight="1"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row>
    <row r="379" spans="1:66" ht="15.75" customHeight="1"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row>
    <row r="380" spans="1:66" ht="15.75" customHeight="1"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row>
    <row r="381" spans="1:66" ht="15.75" customHeight="1"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row>
    <row r="382" spans="1:66" ht="15.75" customHeight="1"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row>
    <row r="383" spans="1:66" ht="15.75" customHeight="1"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row>
    <row r="384" spans="1:66" ht="15.75" customHeight="1"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row>
    <row r="385" spans="1:66" ht="15.75" customHeight="1"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row>
    <row r="386" spans="1:66" ht="15.75" customHeight="1"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row>
    <row r="387" spans="1:66" ht="15.75" customHeight="1"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row>
    <row r="388" spans="1:66" ht="15.75" customHeight="1"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row>
    <row r="389" spans="1:66" ht="15.75" customHeight="1"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row>
    <row r="390" spans="1:66" ht="15.75" customHeight="1"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row>
    <row r="391" spans="1:66" ht="15.75" customHeight="1"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row>
    <row r="392" spans="1:66" ht="15.75" customHeight="1"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row>
    <row r="393" spans="1:66" ht="15.75" customHeight="1"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row>
    <row r="394" spans="1:66" ht="15.75" customHeight="1"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row>
    <row r="395" spans="1:66" ht="15.75" customHeight="1"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row>
    <row r="396" spans="1:66" ht="15.75" customHeight="1"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row>
    <row r="397" spans="1:66" ht="15.75" customHeight="1"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row>
    <row r="398" spans="1:66" ht="15.75" customHeight="1"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row>
    <row r="399" spans="1:66" ht="15.75" customHeight="1"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row>
    <row r="400" spans="1:66" ht="15.75" customHeight="1"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row>
    <row r="401" spans="1:66" ht="15.75" customHeight="1"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row>
    <row r="402" spans="1:66" ht="15.75" customHeight="1"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row>
    <row r="403" spans="1:66" ht="15.75" customHeight="1"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row>
    <row r="404" spans="1:66" ht="15.75" customHeight="1"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row>
    <row r="405" spans="1:66" ht="15.75" customHeight="1"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row>
    <row r="406" spans="1:66" ht="15.75" customHeight="1"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row>
    <row r="407" spans="1:66" ht="15.75" customHeight="1"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row>
    <row r="408" spans="1:66" ht="15.75" customHeight="1"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row>
    <row r="409" spans="1:66" ht="15.75" customHeight="1"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row>
    <row r="410" spans="1:66" ht="15.75" customHeight="1"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row>
    <row r="411" spans="1:66" ht="15.75" customHeight="1"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row>
    <row r="412" spans="1:66" ht="15.75" customHeight="1"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row>
    <row r="413" spans="1:66" ht="15.75" customHeight="1"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row>
    <row r="414" spans="1:66" ht="15.75" customHeight="1"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row>
    <row r="415" spans="1:66" ht="15.75" customHeight="1"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row>
    <row r="416" spans="1:66" ht="15.75" customHeight="1"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row>
    <row r="417" spans="1:66" ht="15.75" customHeight="1"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row>
    <row r="418" spans="1:66" ht="15.75" customHeight="1"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row>
    <row r="419" spans="1:66" ht="15.75" customHeight="1"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row>
    <row r="420" spans="1:66" ht="15.75" customHeight="1"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row>
    <row r="421" spans="1:66" ht="15.75" customHeight="1"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row>
    <row r="422" spans="1:66" ht="15.75" customHeight="1"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row>
    <row r="423" spans="1:66" ht="15.75" customHeight="1"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row>
    <row r="424" spans="1:66" ht="15.75" customHeight="1"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row>
    <row r="425" spans="1:66" ht="15.75" customHeight="1"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row>
    <row r="426" spans="1:66" ht="15.75" customHeight="1"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row>
    <row r="427" spans="1:66" ht="15.75" customHeight="1"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row>
    <row r="428" spans="1:66" ht="15.75" customHeight="1"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row>
    <row r="429" spans="1:66" ht="15.75" customHeight="1"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row>
    <row r="430" spans="1:66" ht="15.75" customHeight="1"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row>
    <row r="431" spans="1:66" ht="15.75" customHeight="1"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row>
    <row r="432" spans="1:66" ht="15.75" customHeight="1"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row>
    <row r="433" spans="1:66" ht="15.75" customHeight="1"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row>
    <row r="434" spans="1:66" ht="15.75" customHeight="1"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row>
    <row r="435" spans="1:66" ht="15.75" customHeight="1"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row>
    <row r="436" spans="1:66" ht="15.75" customHeight="1"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row>
    <row r="437" spans="1:66" ht="15.75" customHeight="1"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row>
    <row r="438" spans="1:66" ht="15.75" customHeight="1"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row>
    <row r="439" spans="1:66" ht="15.75" customHeight="1"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row>
    <row r="440" spans="1:66" ht="15.75" customHeight="1"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row>
    <row r="441" spans="1:66" ht="15.75" customHeight="1"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row>
    <row r="442" spans="1:66" ht="15.75" customHeight="1"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row>
    <row r="443" spans="1:66" ht="15.75" customHeight="1"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row>
    <row r="444" spans="1:66" ht="15.75" customHeight="1"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row>
    <row r="445" spans="1:66" ht="15.75" customHeight="1"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row>
    <row r="446" spans="1:66" ht="15.75" customHeight="1"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row>
    <row r="447" spans="1:66" ht="15.75" customHeight="1"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row>
    <row r="448" spans="1:66" ht="15.75" customHeight="1"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row>
    <row r="449" spans="1:66" ht="15.75" customHeight="1"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row>
    <row r="450" spans="1:66" ht="15.75" customHeight="1"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row>
    <row r="451" spans="1:66" ht="15.75" customHeight="1"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row>
    <row r="452" spans="1:66" ht="15.75" customHeight="1"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row>
    <row r="453" spans="1:66" ht="15.75" customHeight="1"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row>
    <row r="454" spans="1:66" ht="15.75" customHeight="1"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row>
    <row r="455" spans="1:66" ht="15.75" customHeight="1"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row>
    <row r="456" spans="1:66" ht="15.75" customHeight="1"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row>
    <row r="457" spans="1:66" ht="15.75" customHeight="1"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row>
    <row r="458" spans="1:66" ht="15.75" customHeight="1"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row>
    <row r="459" spans="1:66" ht="15.75" customHeight="1"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row>
    <row r="460" spans="1:66" ht="15.75" customHeight="1"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row>
    <row r="461" spans="1:66" ht="15.75" customHeight="1"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row>
    <row r="462" spans="1:66" ht="15.75" customHeight="1"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row>
    <row r="463" spans="1:66" ht="15.75" customHeight="1"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row>
    <row r="464" spans="1:66" ht="15.75" customHeight="1"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row>
    <row r="465" spans="1:66" ht="15.75" customHeight="1"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row>
    <row r="466" spans="1:66" ht="15.75" customHeight="1"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row>
    <row r="467" spans="1:66" ht="15.75" customHeight="1"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row>
    <row r="468" spans="1:66" ht="15.75" customHeight="1"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row>
    <row r="469" spans="1:66" ht="15.75" customHeight="1"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row>
    <row r="470" spans="1:66" ht="15.75" customHeight="1"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row>
    <row r="471" spans="1:66" ht="15.75" customHeight="1"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row>
    <row r="472" spans="1:66" ht="15.75" customHeight="1"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row>
    <row r="473" spans="1:66" ht="15.75" customHeight="1"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row>
    <row r="474" spans="1:66" ht="15.75" customHeight="1"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row>
    <row r="475" spans="1:66" ht="15.75" customHeight="1"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row>
    <row r="476" spans="1:66" ht="15.75" customHeight="1"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row>
    <row r="477" spans="1:66" ht="15.75" customHeight="1"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row>
    <row r="478" spans="1:66" ht="15.75" customHeight="1"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row>
    <row r="479" spans="1:66" ht="15.75" customHeight="1"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row>
    <row r="480" spans="1:66" ht="15.75" customHeight="1"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row>
    <row r="481" spans="1:66" ht="15.75" customHeight="1"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row>
    <row r="482" spans="1:66" ht="15.75" customHeight="1"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row>
    <row r="483" spans="1:66" ht="15.75" customHeight="1"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row>
    <row r="484" spans="1:66" ht="15.75" customHeight="1"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row>
    <row r="485" spans="1:66" ht="15.75" customHeight="1"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row>
    <row r="486" spans="1:66" ht="15.75" customHeight="1"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row>
    <row r="487" spans="1:66" ht="15.75" customHeight="1"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row>
    <row r="488" spans="1:66" ht="15.75" customHeight="1"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row>
    <row r="489" spans="1:66" ht="15.75" customHeight="1"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row>
    <row r="490" spans="1:66" ht="15.75" customHeight="1"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row>
    <row r="491" spans="1:66" ht="15.75" customHeight="1"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row>
    <row r="492" spans="1:66" ht="15.75" customHeight="1"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row>
    <row r="493" spans="1:66" ht="15.75" customHeight="1"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row>
    <row r="494" spans="1:66" ht="15.75" customHeight="1"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row>
    <row r="495" spans="1:66" ht="15.75" customHeight="1"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row>
    <row r="496" spans="1:66" ht="15.75" customHeight="1"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row>
    <row r="497" spans="1:66" ht="15.75" customHeight="1"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row>
    <row r="498" spans="1:66" ht="15.75" customHeight="1"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row>
    <row r="499" spans="1:66" ht="15.75" customHeight="1"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row>
    <row r="500" spans="1:66" ht="15.75" customHeight="1"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row>
    <row r="501" spans="1:66" ht="15.75" customHeight="1"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row>
    <row r="502" spans="1:66" ht="15.75" customHeight="1"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row>
    <row r="503" spans="1:66" ht="15.75" customHeight="1"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row>
    <row r="504" spans="1:66" ht="15.75" customHeight="1"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row>
    <row r="505" spans="1:66" ht="15.75" customHeight="1"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row>
    <row r="506" spans="1:66" ht="15.75" customHeight="1"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row>
    <row r="507" spans="1:66" ht="15.75" customHeight="1"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row>
    <row r="508" spans="1:66" ht="15.75" customHeight="1"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row>
    <row r="509" spans="1:66" ht="15.75" customHeight="1"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row>
    <row r="510" spans="1:66" ht="15.75" customHeight="1"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row>
    <row r="511" spans="1:66" ht="15.75" customHeight="1"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row>
    <row r="512" spans="1:66" ht="15.75" customHeight="1"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row>
    <row r="513" spans="1:66" ht="15.75" customHeight="1"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row>
    <row r="514" spans="1:66" ht="15.75" customHeight="1"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row>
    <row r="515" spans="1:66" ht="15.75" customHeight="1"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row>
    <row r="516" spans="1:66" ht="15.75" customHeight="1"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row>
    <row r="517" spans="1:66" ht="15.75" customHeight="1"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row>
    <row r="518" spans="1:66" ht="15.75" customHeight="1"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row>
    <row r="519" spans="1:66" ht="15.75" customHeight="1"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row>
    <row r="520" spans="1:66" ht="15.75" customHeight="1"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row>
    <row r="521" spans="1:66" ht="15.75" customHeight="1"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row>
    <row r="522" spans="1:66" ht="15.75" customHeight="1"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row>
    <row r="523" spans="1:66" ht="15.75" customHeight="1"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row>
    <row r="524" spans="1:66" ht="15.75" customHeight="1"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row>
    <row r="525" spans="1:66" ht="15.75" customHeight="1"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row>
    <row r="526" spans="1:66" ht="15.75" customHeight="1"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row>
    <row r="527" spans="1:66" ht="15.75" customHeight="1"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row>
    <row r="528" spans="1:66" ht="15.75" customHeight="1"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row>
    <row r="529" spans="1:66" ht="15.75" customHeight="1"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row>
    <row r="530" spans="1:66" ht="15.75" customHeight="1"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row>
    <row r="531" spans="1:66" ht="15.75" customHeight="1"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row>
    <row r="532" spans="1:66" ht="15.75" customHeight="1"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row>
    <row r="533" spans="1:66" ht="15.75" customHeight="1"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row>
    <row r="534" spans="1:66" ht="15.75" customHeight="1"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row>
    <row r="535" spans="1:66" ht="15.75" customHeight="1"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row>
    <row r="536" spans="1:66" ht="15.75" customHeight="1"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row>
    <row r="537" spans="1:66" ht="15.75" customHeight="1"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row>
    <row r="538" spans="1:66" ht="15.75" customHeight="1"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row>
    <row r="539" spans="1:66" ht="15.75" customHeight="1"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row>
    <row r="540" spans="1:66" ht="15.75" customHeight="1"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row>
    <row r="541" spans="1:66" ht="15.75" customHeight="1"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row>
    <row r="542" spans="1:66" ht="15.75" customHeight="1"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row>
    <row r="543" spans="1:66" ht="15.75" customHeight="1"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row>
    <row r="544" spans="1:66" ht="15.75" customHeight="1"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row>
    <row r="545" spans="1:66" ht="15.75" customHeight="1"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row>
    <row r="546" spans="1:66" ht="15.75" customHeight="1"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row>
    <row r="547" spans="1:66" ht="15.75" customHeight="1"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row>
    <row r="548" spans="1:66" ht="15.75" customHeight="1"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row>
    <row r="549" spans="1:66" ht="15.75" customHeight="1"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row>
    <row r="550" spans="1:66" ht="15.75" customHeight="1"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row>
    <row r="551" spans="1:66" ht="15.75" customHeight="1"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row>
    <row r="552" spans="1:66" ht="15.75" customHeight="1"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row>
    <row r="553" spans="1:66" ht="15.75" customHeight="1"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row>
    <row r="554" spans="1:66" ht="15.75" customHeight="1"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row>
    <row r="555" spans="1:66" ht="15.75" customHeight="1"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row>
    <row r="556" spans="1:66" ht="15.75" customHeight="1"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row>
    <row r="557" spans="1:66" ht="15.75" customHeight="1"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row>
    <row r="558" spans="1:66" ht="15.75" customHeight="1"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row>
    <row r="559" spans="1:66" ht="15.75" customHeight="1"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row>
    <row r="560" spans="1:66" ht="15.75" customHeight="1"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row>
    <row r="561" spans="1:66" ht="15.75" customHeight="1"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row>
    <row r="562" spans="1:66" ht="15.75" customHeight="1"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row>
    <row r="563" spans="1:66" ht="15.75" customHeight="1"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row>
    <row r="564" spans="1:66" ht="15.75" customHeight="1"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row>
    <row r="565" spans="1:66" ht="15.75" customHeight="1"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row>
    <row r="566" spans="1:66" ht="15.75" customHeight="1"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row>
    <row r="567" spans="1:66" ht="15.75" customHeight="1"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row>
    <row r="568" spans="1:66" ht="15.75" customHeight="1"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row>
    <row r="569" spans="1:66" ht="15.75" customHeight="1"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row>
    <row r="570" spans="1:66" ht="15.75" customHeight="1"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row>
    <row r="571" spans="1:66" ht="15.75" customHeight="1"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row>
    <row r="572" spans="1:66" ht="15.75" customHeight="1"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row>
    <row r="573" spans="1:66" ht="15.75" customHeight="1"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row>
    <row r="574" spans="1:66" ht="15.75" customHeight="1"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row>
    <row r="575" spans="1:66" ht="15.75" customHeight="1"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row>
    <row r="576" spans="1:66" ht="15.75" customHeight="1"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row>
    <row r="577" spans="1:66" ht="15.75" customHeight="1"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row>
    <row r="578" spans="1:66" ht="15.75" customHeight="1"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row>
    <row r="579" spans="1:66" ht="15.75" customHeight="1"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row>
    <row r="580" spans="1:66" ht="15.75" customHeight="1"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row>
    <row r="581" spans="1:66" ht="15.75" customHeight="1"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row>
    <row r="582" spans="1:66" ht="15.75" customHeight="1"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row>
    <row r="583" spans="1:66" ht="15.75" customHeight="1"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row>
    <row r="584" spans="1:66" ht="15.75" customHeight="1"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row>
    <row r="585" spans="1:66" ht="15.75" customHeight="1"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row>
    <row r="586" spans="1:66" ht="15.75" customHeight="1"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row>
    <row r="587" spans="1:66" ht="15.75" customHeight="1"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row>
    <row r="588" spans="1:66" ht="15.75" customHeight="1"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row>
    <row r="589" spans="1:66" ht="15.75" customHeight="1"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row>
    <row r="590" spans="1:66" ht="15.75" customHeight="1"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row>
    <row r="591" spans="1:66" ht="15.75" customHeight="1"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row>
    <row r="592" spans="1:66" ht="15.75" customHeight="1"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row>
    <row r="593" spans="1:66" ht="15.75" customHeight="1"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row>
    <row r="594" spans="1:66" ht="15.75" customHeight="1"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row>
    <row r="595" spans="1:66" ht="15.75" customHeight="1"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row>
    <row r="596" spans="1:66" ht="15.75" customHeight="1"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row>
    <row r="597" spans="1:66" ht="15.75" customHeight="1"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row>
    <row r="598" spans="1:66" ht="15.75" customHeight="1"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row>
    <row r="599" spans="1:66" ht="15.75" customHeight="1"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row>
    <row r="600" spans="1:66" ht="15.75" customHeight="1"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row>
    <row r="601" spans="1:66" ht="15.75" customHeight="1"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row>
    <row r="602" spans="1:66" ht="15.75" customHeight="1"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row>
    <row r="603" spans="1:66" ht="15.75" customHeight="1"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row>
    <row r="604" spans="1:66" ht="15.75" customHeight="1"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row>
    <row r="605" spans="1:66" ht="15.75" customHeight="1"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row>
    <row r="606" spans="1:66" ht="15.75" customHeight="1"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row>
    <row r="607" spans="1:66" ht="15.75" customHeight="1"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row>
    <row r="608" spans="1:66" ht="15.75" customHeight="1"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row>
    <row r="609" spans="1:66" ht="15.75" customHeight="1"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row>
    <row r="610" spans="1:66" ht="15.75" customHeight="1"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row>
    <row r="611" spans="1:66" ht="15.75" customHeight="1"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row>
    <row r="612" spans="1:66" ht="15.75" customHeight="1"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row>
    <row r="613" spans="1:66" ht="15.75" customHeight="1"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row>
    <row r="614" spans="1:66" ht="15.75" customHeight="1"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row>
    <row r="615" spans="1:66" ht="15.75" customHeight="1"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row>
    <row r="616" spans="1:66" ht="15.75" customHeight="1"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row>
    <row r="617" spans="1:66" ht="15.75" customHeight="1"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row>
    <row r="618" spans="1:66" ht="15.75" customHeight="1"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row>
    <row r="619" spans="1:66" ht="15.75" customHeight="1"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row>
    <row r="620" spans="1:66" ht="15.75" customHeight="1"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row>
    <row r="621" spans="1:66" ht="15.75" customHeight="1"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row>
    <row r="622" spans="1:66" ht="15.75" customHeight="1"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row>
    <row r="623" spans="1:66" ht="15.75" customHeight="1"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row>
    <row r="624" spans="1:66" ht="15.75" customHeight="1"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row>
    <row r="625" spans="1:66" ht="15.75" customHeight="1"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row>
    <row r="626" spans="1:66" ht="15.75" customHeight="1"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row>
    <row r="627" spans="1:66" ht="15.75" customHeight="1"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row>
    <row r="628" spans="1:66" ht="15.75" customHeight="1"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row>
    <row r="629" spans="1:66" ht="15.75" customHeight="1"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row>
    <row r="630" spans="1:66" ht="15.75" customHeight="1"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row>
    <row r="631" spans="1:66" ht="15.75" customHeight="1"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row>
    <row r="632" spans="1:66" ht="15.75" customHeight="1"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row>
    <row r="633" spans="1:66" ht="15.75" customHeight="1"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row>
    <row r="634" spans="1:66" ht="15.75" customHeight="1"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row>
    <row r="635" spans="1:66" ht="15.75" customHeight="1"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row>
    <row r="636" spans="1:66" ht="15.75" customHeight="1"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row>
    <row r="637" spans="1:66" ht="15.75" customHeight="1"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row>
    <row r="638" spans="1:66" ht="15.75" customHeight="1"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row>
    <row r="639" spans="1:66" ht="15.75" customHeight="1"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row>
    <row r="640" spans="1:66" ht="15.75" customHeight="1"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row>
    <row r="641" spans="1:66" ht="15.75" customHeight="1"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row>
    <row r="642" spans="1:66" ht="15.75" customHeight="1"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row>
    <row r="643" spans="1:66" ht="15.75" customHeight="1"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row>
    <row r="644" spans="1:66" ht="15.75" customHeight="1"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row>
    <row r="645" spans="1:66" ht="15.75" customHeight="1"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row>
    <row r="646" spans="1:66" ht="15.75" customHeight="1"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row>
    <row r="647" spans="1:66" ht="15.75" customHeight="1"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row>
    <row r="648" spans="1:66" ht="15.75" customHeight="1"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row>
    <row r="649" spans="1:66" ht="15.75" customHeight="1"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row>
    <row r="650" spans="1:66" ht="15.75" customHeight="1"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row>
    <row r="651" spans="1:66" ht="15.75" customHeight="1"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row>
    <row r="652" spans="1:66" ht="15.75" customHeight="1"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row>
    <row r="653" spans="1:66" ht="15.75" customHeight="1"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row>
    <row r="654" spans="1:66" ht="15.75" customHeight="1"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row>
    <row r="655" spans="1:66" ht="15.75" customHeight="1"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row>
    <row r="656" spans="1:66" ht="15.75" customHeight="1"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row>
    <row r="657" spans="1:66" ht="15.75" customHeight="1"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row>
    <row r="658" spans="1:66" ht="15.75" customHeight="1"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row>
    <row r="659" spans="1:66" ht="15.75" customHeight="1"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row>
    <row r="660" spans="1:66" ht="15.75" customHeight="1"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row>
    <row r="661" spans="1:66" ht="15.75" customHeight="1"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row>
    <row r="662" spans="1:66" ht="15.75" customHeight="1"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row>
    <row r="663" spans="1:66" ht="15.75" customHeight="1"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row>
    <row r="664" spans="1:66" ht="15.75" customHeight="1"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row>
    <row r="665" spans="1:66" ht="15.75" customHeight="1"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row>
    <row r="666" spans="1:66" ht="15.75" customHeight="1"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row>
    <row r="667" spans="1:66" ht="15.75" customHeight="1"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row>
    <row r="668" spans="1:66" ht="15.75" customHeight="1"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row>
    <row r="669" spans="1:66" ht="15.75" customHeight="1"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row>
    <row r="670" spans="1:66" ht="15.75" customHeight="1"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row>
    <row r="671" spans="1:66" ht="15.75" customHeight="1"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row>
    <row r="672" spans="1:66" ht="15.75" customHeight="1"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row>
    <row r="673" spans="1:66" ht="15.75" customHeight="1"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row>
    <row r="674" spans="1:66" ht="15.75" customHeight="1"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row>
    <row r="675" spans="1:66" ht="15.75" customHeight="1"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row>
    <row r="676" spans="1:66" ht="15.75" customHeight="1"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row>
    <row r="677" spans="1:66" ht="15.75" customHeight="1"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row>
    <row r="678" spans="1:66" ht="15.75" customHeight="1"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row>
    <row r="679" spans="1:66" ht="15.75" customHeight="1"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row>
    <row r="680" spans="1:66" ht="15.75" customHeight="1"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row>
    <row r="681" spans="1:66" ht="15.75" customHeight="1"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row>
    <row r="682" spans="1:66" ht="15.75" customHeight="1"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row>
    <row r="683" spans="1:66" ht="15.75" customHeight="1"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row>
    <row r="684" spans="1:66" ht="15.75" customHeight="1"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row>
    <row r="685" spans="1:66" ht="15.75" customHeight="1"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row>
    <row r="686" spans="1:66" ht="15.75" customHeight="1"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row>
    <row r="687" spans="1:66" ht="15.75" customHeight="1"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row>
    <row r="688" spans="1:66" ht="15.75" customHeight="1"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row>
    <row r="689" spans="1:66" ht="15.75" customHeight="1"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row>
    <row r="690" spans="1:66" ht="15.75" customHeight="1"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row>
    <row r="691" spans="1:66" ht="15.75" customHeight="1"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row>
    <row r="692" spans="1:66" ht="15.75" customHeight="1"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row>
    <row r="693" spans="1:66" ht="15.75" customHeight="1"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row>
    <row r="694" spans="1:66" ht="15.75" customHeight="1"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row>
    <row r="695" spans="1:66" ht="15.75" customHeight="1"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row>
    <row r="696" spans="1:66" ht="15.75" customHeight="1"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row>
    <row r="697" spans="1:66" ht="15.75" customHeight="1"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row>
    <row r="698" spans="1:66" ht="15.75" customHeight="1"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row>
    <row r="699" spans="1:66" ht="15.75" customHeight="1"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row>
    <row r="700" spans="1:66" ht="15.75" customHeight="1"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row>
    <row r="701" spans="1:66" ht="15.75" customHeight="1"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row>
    <row r="702" spans="1:66" ht="15.75" customHeight="1"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row>
    <row r="703" spans="1:66" ht="15.75" customHeight="1"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row>
    <row r="704" spans="1:66" ht="15.75" customHeight="1"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row>
    <row r="705" spans="1:66" ht="15.75" customHeight="1"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row>
    <row r="706" spans="1:66" ht="15.75" customHeight="1"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row>
    <row r="707" spans="1:66" ht="15.75" customHeight="1"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row>
    <row r="708" spans="1:66" ht="15.75" customHeight="1"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row>
    <row r="709" spans="1:66" ht="15.75" customHeight="1"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row>
    <row r="710" spans="1:66" ht="15.75" customHeight="1"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row>
    <row r="711" spans="1:66" ht="15.75" customHeight="1"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row>
    <row r="712" spans="1:66" ht="15.75" customHeight="1"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row>
    <row r="713" spans="1:66" ht="15.75" customHeight="1"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row>
    <row r="714" spans="1:66" ht="15.75" customHeight="1"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row>
    <row r="715" spans="1:66" ht="15.75" customHeight="1"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row>
    <row r="716" spans="1:66" ht="15.75" customHeight="1"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row>
    <row r="717" spans="1:66" ht="15.75" customHeight="1"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row>
    <row r="718" spans="1:66" ht="15.75" customHeight="1"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row>
    <row r="719" spans="1:66" ht="15.75" customHeight="1"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row>
    <row r="720" spans="1:66" ht="15.75" customHeight="1"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row>
    <row r="721" spans="1:66" ht="15.75" customHeight="1"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row>
    <row r="722" spans="1:66" ht="15.75" customHeight="1"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row>
    <row r="723" spans="1:66" ht="15.75" customHeight="1"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row>
    <row r="724" spans="1:66" ht="15.75" customHeight="1"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row>
    <row r="725" spans="1:66" ht="15.75" customHeight="1"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row>
    <row r="726" spans="1:66" ht="15.75" customHeight="1"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row>
    <row r="727" spans="1:66" ht="15.75" customHeight="1"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row>
    <row r="728" spans="1:66" ht="15.75" customHeight="1"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row>
    <row r="729" spans="1:66" ht="15.75" customHeight="1"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row>
    <row r="730" spans="1:66" ht="15.75" customHeight="1"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row>
    <row r="731" spans="1:66" ht="15.75" customHeight="1"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row>
    <row r="732" spans="1:66" ht="15.75" customHeight="1"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row>
    <row r="733" spans="1:66" ht="15.75" customHeight="1"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row>
    <row r="734" spans="1:66" ht="15.75" customHeight="1"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row>
    <row r="735" spans="1:66" ht="15.75" customHeight="1"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row>
    <row r="736" spans="1:66" ht="15.75" customHeight="1"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row>
    <row r="737" spans="1:66" ht="15.75" customHeight="1"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row>
    <row r="738" spans="1:66" ht="15.75" customHeight="1"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row>
    <row r="739" spans="1:66" ht="15.75" customHeight="1"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row>
    <row r="740" spans="1:66" ht="15.75" customHeight="1"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row>
    <row r="741" spans="1:66" ht="15.75" customHeight="1"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row>
    <row r="742" spans="1:66" ht="15.75" customHeight="1"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row>
    <row r="743" spans="1:66" ht="15.75" customHeight="1"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row>
    <row r="744" spans="1:66" ht="15.75" customHeight="1"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row>
    <row r="745" spans="1:66" ht="15.75" customHeight="1"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row>
    <row r="746" spans="1:66" ht="15.75" customHeight="1"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row>
    <row r="747" spans="1:66" ht="15.75" customHeight="1"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row>
    <row r="748" spans="1:66" ht="15.75" customHeight="1"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row>
    <row r="749" spans="1:66" ht="15.75" customHeight="1"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row>
    <row r="750" spans="1:66" ht="15.75" customHeight="1"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row>
    <row r="751" spans="1:66" ht="15.75" customHeight="1"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row>
    <row r="752" spans="1:66" ht="15.75" customHeight="1"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row>
    <row r="753" spans="1:66" ht="15.75" customHeight="1"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row>
    <row r="754" spans="1:66" ht="15.75" customHeight="1"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row>
    <row r="755" spans="1:66" ht="15.75" customHeight="1"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row>
    <row r="756" spans="1:66" ht="15.75" customHeight="1"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row>
    <row r="757" spans="1:66" ht="15.75" customHeight="1"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row>
    <row r="758" spans="1:66" ht="15.75" customHeight="1"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row>
    <row r="759" spans="1:66" ht="15.75" customHeight="1"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row>
    <row r="760" spans="1:66" ht="15.75" customHeight="1"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row>
    <row r="761" spans="1:66" ht="15.75" customHeight="1"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row>
    <row r="762" spans="1:66" ht="15.75" customHeight="1"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row>
    <row r="763" spans="1:66" ht="15.75" customHeight="1"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row>
    <row r="764" spans="1:66" ht="15.75" customHeight="1"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row>
    <row r="765" spans="1:66" ht="15.75" customHeight="1"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row>
    <row r="766" spans="1:66" ht="15.75" customHeight="1"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row>
    <row r="767" spans="1:66" ht="15.75" customHeight="1"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row>
    <row r="768" spans="1:66" ht="15.75" customHeight="1"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row>
    <row r="769" spans="1:66" ht="15.75" customHeight="1"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row>
    <row r="770" spans="1:66" ht="15.75" customHeight="1"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row>
    <row r="771" spans="1:66" ht="15.75" customHeight="1"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row>
    <row r="772" spans="1:66" ht="15.75" customHeight="1"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row>
    <row r="773" spans="1:66" ht="15.75" customHeight="1"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row>
    <row r="774" spans="1:66" ht="15.75" customHeight="1"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row>
    <row r="775" spans="1:66" ht="15.75" customHeight="1"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row>
    <row r="776" spans="1:66" ht="15.75" customHeight="1"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row>
    <row r="777" spans="1:66" ht="15.75" customHeight="1"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row>
    <row r="778" spans="1:66" ht="15.75" customHeight="1"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row>
    <row r="779" spans="1:66" ht="15.75" customHeight="1"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row>
    <row r="780" spans="1:66" ht="15.75" customHeight="1"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row>
    <row r="781" spans="1:66" ht="15.75" customHeight="1"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row>
    <row r="782" spans="1:66" ht="15.75" customHeight="1"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row>
    <row r="783" spans="1:66" ht="15.75" customHeight="1"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row>
    <row r="784" spans="1:66" ht="15.75" customHeight="1"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row>
    <row r="785" spans="1:66" ht="15.75" customHeight="1"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row>
    <row r="786" spans="1:66" ht="15.75" customHeight="1"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row>
    <row r="787" spans="1:66" ht="15.75" customHeight="1"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row>
    <row r="788" spans="1:66" ht="15.75" customHeight="1"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row>
    <row r="789" spans="1:66" ht="15.75" customHeight="1"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row>
    <row r="790" spans="1:66" ht="15.75" customHeight="1"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row>
    <row r="791" spans="1:66" ht="15.75" customHeight="1"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row>
    <row r="792" spans="1:66" ht="15.75" customHeight="1"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row>
    <row r="793" spans="1:66" ht="15.75" customHeight="1"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row>
    <row r="794" spans="1:66" ht="15.75" customHeight="1"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row>
    <row r="795" spans="1:66" ht="15.75" customHeight="1"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row>
    <row r="796" spans="1:66" ht="15.75" customHeight="1"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row>
    <row r="797" spans="1:66" ht="15.75" customHeight="1"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row>
    <row r="798" spans="1:66" ht="15.75" customHeight="1"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row>
    <row r="799" spans="1:66" ht="15.75" customHeight="1"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row>
    <row r="800" spans="1:66" ht="15.75" customHeight="1"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row>
    <row r="801" spans="1:66" ht="15.75" customHeight="1"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row>
    <row r="802" spans="1:66" ht="15.75" customHeight="1"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row>
    <row r="803" spans="1:66" ht="15.75" customHeight="1"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row>
    <row r="804" spans="1:66" ht="15.75" customHeight="1"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row>
    <row r="805" spans="1:66" ht="15.75" customHeight="1"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row>
    <row r="806" spans="1:66" ht="15.75" customHeight="1"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row>
    <row r="807" spans="1:66" ht="15.75" customHeight="1"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row>
    <row r="808" spans="1:66" ht="15.75" customHeight="1"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row>
    <row r="809" spans="1:66" ht="15.75" customHeight="1"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row>
    <row r="810" spans="1:66" ht="15.75" customHeight="1"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row>
    <row r="811" spans="1:66" ht="15.75" customHeight="1"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row>
    <row r="812" spans="1:66" ht="15.75" customHeight="1"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row>
    <row r="813" spans="1:66" ht="15.75" customHeight="1"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row>
    <row r="814" spans="1:66" ht="15.75" customHeight="1"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row>
    <row r="815" spans="1:66" ht="15.75" customHeight="1"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row>
    <row r="816" spans="1:66" ht="15.75" customHeight="1"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row>
    <row r="817" spans="1:66" ht="15.75" customHeight="1"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row>
    <row r="818" spans="1:66" ht="15.75" customHeight="1"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row>
    <row r="819" spans="1:66" ht="15.75" customHeight="1"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row>
    <row r="820" spans="1:66" ht="15.75" customHeight="1"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row>
    <row r="821" spans="1:66" ht="15.75" customHeight="1"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row>
    <row r="822" spans="1:66" ht="15.75" customHeight="1"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row>
    <row r="823" spans="1:66" ht="15.75" customHeight="1"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row>
    <row r="824" spans="1:66" ht="15.75" customHeight="1"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row>
    <row r="825" spans="1:66" ht="15.75" customHeight="1"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row>
    <row r="826" spans="1:66" ht="15.75" customHeight="1"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row>
    <row r="827" spans="1:66" ht="15.75" customHeight="1"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row>
    <row r="828" spans="1:66" ht="15.75" customHeight="1"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row>
    <row r="829" spans="1:66" ht="15.75" customHeight="1"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row>
    <row r="830" spans="1:66" ht="15.75" customHeight="1"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row>
    <row r="831" spans="1:66" ht="15.75" customHeight="1"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row>
    <row r="832" spans="1:66" ht="15.75" customHeight="1"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row>
    <row r="833" spans="1:66" ht="15.75" customHeight="1"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row>
    <row r="834" spans="1:66" ht="15.75" customHeight="1"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row>
    <row r="835" spans="1:66" ht="15.75" customHeight="1"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row>
    <row r="836" spans="1:66" ht="15.75" customHeight="1"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row>
    <row r="837" spans="1:66" ht="15.75" customHeight="1"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row>
    <row r="838" spans="1:66" ht="15.75" customHeight="1"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row>
    <row r="839" spans="1:66" ht="15.75" customHeight="1"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row>
    <row r="840" spans="1:66" ht="15.75" customHeight="1"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row>
    <row r="841" spans="1:66" ht="15.75" customHeight="1"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row>
    <row r="842" spans="1:66" ht="15.75" customHeight="1"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row>
    <row r="843" spans="1:66" ht="15.75" customHeight="1"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row>
    <row r="844" spans="1:66" ht="15.75" customHeight="1"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row>
    <row r="845" spans="1:66" ht="15.75" customHeight="1"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row>
    <row r="846" spans="1:66" ht="15.75" customHeight="1"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row>
    <row r="847" spans="1:66" ht="15.75" customHeight="1"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row>
    <row r="848" spans="1:66" ht="15.75" customHeight="1"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row>
    <row r="849" spans="1:66" ht="15.75" customHeight="1"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row>
    <row r="850" spans="1:66" ht="15.75" customHeight="1"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row>
    <row r="851" spans="1:66" ht="15.75" customHeight="1"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row>
    <row r="852" spans="1:66" ht="15.75" customHeight="1"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row>
    <row r="853" spans="1:66" ht="15.75" customHeight="1"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row>
    <row r="854" spans="1:66" ht="15.75" customHeight="1"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row>
    <row r="855" spans="1:66" ht="15.75" customHeight="1"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row>
    <row r="856" spans="1:66" ht="15.75" customHeight="1"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row>
    <row r="857" spans="1:66" ht="15.75" customHeight="1"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row>
    <row r="858" spans="1:66" ht="15.75" customHeight="1"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row>
    <row r="859" spans="1:66" ht="15.75" customHeight="1"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row>
    <row r="860" spans="1:66" ht="15.75" customHeight="1"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row>
    <row r="861" spans="1:66" ht="15.75" customHeight="1"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row>
    <row r="862" spans="1:66" ht="15.75" customHeight="1"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row>
    <row r="863" spans="1:66" ht="15.75" customHeight="1"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row>
    <row r="864" spans="1:66" ht="15.75" customHeight="1"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row>
    <row r="865" spans="1:66" ht="15.75" customHeight="1"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row>
    <row r="866" spans="1:66" ht="15.75" customHeight="1"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row>
    <row r="867" spans="1:66" ht="15.75" customHeight="1"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row>
    <row r="868" spans="1:66" ht="15.75" customHeight="1"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row>
    <row r="869" spans="1:66" ht="15.75" customHeight="1"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row>
    <row r="870" spans="1:66" ht="15.75" customHeight="1"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row>
    <row r="871" spans="1:66" ht="15.75" customHeight="1"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row>
    <row r="872" spans="1:66" ht="15.75" customHeight="1"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row>
    <row r="873" spans="1:66" ht="15.75" customHeight="1"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row>
    <row r="874" spans="1:66" ht="15.75" customHeight="1"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row>
    <row r="875" spans="1:66" ht="15.75" customHeight="1"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row>
    <row r="876" spans="1:66" ht="15.75" customHeight="1"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row>
    <row r="877" spans="1:66" ht="15.75" customHeight="1"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row>
    <row r="878" spans="1:66" ht="15.75" customHeight="1"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row>
    <row r="879" spans="1:66" ht="15.75" customHeight="1"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row>
    <row r="880" spans="1:66" ht="15.75" customHeight="1"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row>
    <row r="881" spans="1:66" ht="15.75" customHeight="1"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row>
    <row r="882" spans="1:66" ht="15.75" customHeight="1"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row>
    <row r="883" spans="1:66" ht="15.75" customHeight="1"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row>
    <row r="884" spans="1:66" ht="15.75" customHeight="1"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row>
    <row r="885" spans="1:66" ht="15.75" customHeight="1"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row>
    <row r="886" spans="1:66" ht="15.75" customHeight="1"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row>
    <row r="887" spans="1:66" ht="15.75" customHeight="1"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row>
    <row r="888" spans="1:66" ht="15.75" customHeight="1"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row>
    <row r="889" spans="1:66" ht="15.75" customHeight="1"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row>
    <row r="890" spans="1:66" ht="15.75" customHeight="1"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row>
    <row r="891" spans="1:66" ht="15.75" customHeight="1"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row>
    <row r="892" spans="1:66" ht="15.75" customHeight="1"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row>
    <row r="893" spans="1:66" ht="15.75" customHeight="1"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row>
    <row r="894" spans="1:66" ht="15.75" customHeight="1"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row>
    <row r="895" spans="1:66" ht="15.75" customHeight="1"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row>
    <row r="896" spans="1:66" ht="15.75" customHeight="1"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row>
    <row r="897" spans="1:66" ht="15.75" customHeight="1"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row>
    <row r="898" spans="1:66" ht="15.75" customHeight="1"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row>
    <row r="899" spans="1:66" ht="15.75" customHeight="1" x14ac:dyDescent="0.2">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row>
    <row r="900" spans="1:66" ht="15.75" customHeight="1" x14ac:dyDescent="0.2">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row>
    <row r="901" spans="1:66" ht="15.75" customHeight="1" x14ac:dyDescent="0.2">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row>
    <row r="902" spans="1:66" ht="15.75" customHeight="1" x14ac:dyDescent="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row>
    <row r="903" spans="1:66" ht="15.75" customHeight="1" x14ac:dyDescent="0.2">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row>
    <row r="904" spans="1:66" ht="15.75" customHeight="1" x14ac:dyDescent="0.2">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row>
    <row r="905" spans="1:66" ht="15.75" customHeight="1" x14ac:dyDescent="0.2">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row>
    <row r="906" spans="1:66" ht="15.75" customHeight="1" x14ac:dyDescent="0.2">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row>
    <row r="907" spans="1:66" ht="15.75" customHeight="1" x14ac:dyDescent="0.2">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row>
    <row r="908" spans="1:66" ht="15.75" customHeight="1" x14ac:dyDescent="0.2">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row>
    <row r="909" spans="1:66" ht="15.75" customHeight="1" x14ac:dyDescent="0.2">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row>
    <row r="910" spans="1:66" ht="15.75" customHeight="1" x14ac:dyDescent="0.2">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row>
    <row r="911" spans="1:66" ht="15.75" customHeight="1" x14ac:dyDescent="0.2">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row>
    <row r="912" spans="1:66" ht="15.75" customHeight="1" x14ac:dyDescent="0.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row>
    <row r="913" spans="1:66" ht="15.75" customHeight="1" x14ac:dyDescent="0.2">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row>
    <row r="914" spans="1:66" ht="15.75" customHeight="1" x14ac:dyDescent="0.2">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row>
    <row r="915" spans="1:66" ht="15.75" customHeight="1" x14ac:dyDescent="0.2">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row>
    <row r="916" spans="1:66" ht="15.75" customHeight="1" x14ac:dyDescent="0.2">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row>
    <row r="917" spans="1:66" ht="15.75" customHeight="1" x14ac:dyDescent="0.2">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row>
    <row r="918" spans="1:66" ht="15.75" customHeight="1" x14ac:dyDescent="0.2">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row>
    <row r="919" spans="1:66" ht="15.75" customHeight="1" x14ac:dyDescent="0.2">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row>
    <row r="920" spans="1:66" ht="15.75" customHeight="1" x14ac:dyDescent="0.2">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row>
    <row r="921" spans="1:66" ht="15.75" customHeight="1" x14ac:dyDescent="0.2">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row>
    <row r="922" spans="1:66" ht="15.75" customHeight="1" x14ac:dyDescent="0.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row>
    <row r="923" spans="1:66" ht="15.75" customHeight="1" x14ac:dyDescent="0.2">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row>
    <row r="924" spans="1:66" ht="15.75" customHeight="1" x14ac:dyDescent="0.2">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row>
    <row r="925" spans="1:66" ht="15.75" customHeight="1" x14ac:dyDescent="0.2">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row>
    <row r="926" spans="1:66" ht="15.75" customHeight="1" x14ac:dyDescent="0.2">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row>
    <row r="927" spans="1:66" ht="15.75" customHeight="1" x14ac:dyDescent="0.2">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row>
    <row r="928" spans="1:66" ht="15.75" customHeight="1" x14ac:dyDescent="0.2">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row>
    <row r="929" spans="1:66" ht="15.75" customHeight="1" x14ac:dyDescent="0.2">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row>
    <row r="930" spans="1:66" ht="15.75" customHeight="1" x14ac:dyDescent="0.2">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row>
    <row r="931" spans="1:66" ht="15.75" customHeight="1" x14ac:dyDescent="0.2">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row>
    <row r="932" spans="1:66" ht="15.75" customHeight="1" x14ac:dyDescent="0.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row>
    <row r="933" spans="1:66" ht="15.75" customHeight="1" x14ac:dyDescent="0.2">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row>
    <row r="934" spans="1:66" ht="15.75" customHeight="1" x14ac:dyDescent="0.2">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row>
    <row r="935" spans="1:66" ht="15.75" customHeight="1" x14ac:dyDescent="0.2">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row>
    <row r="936" spans="1:66" ht="15.75" customHeight="1" x14ac:dyDescent="0.2">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row>
    <row r="937" spans="1:66" ht="15.75" customHeight="1" x14ac:dyDescent="0.2">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row>
    <row r="938" spans="1:66" ht="15.75" customHeight="1" x14ac:dyDescent="0.2">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row>
    <row r="939" spans="1:66" ht="15.75" customHeight="1" x14ac:dyDescent="0.2">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row>
    <row r="940" spans="1:66" ht="15.75" customHeight="1" x14ac:dyDescent="0.2">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row>
    <row r="941" spans="1:66" ht="15.75" customHeight="1" x14ac:dyDescent="0.2">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row>
    <row r="942" spans="1:66" ht="15.75" customHeight="1" x14ac:dyDescent="0.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row>
    <row r="943" spans="1:66" ht="15.75" customHeight="1" x14ac:dyDescent="0.2">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row>
    <row r="944" spans="1:66" ht="15.75" customHeight="1" x14ac:dyDescent="0.2">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row>
    <row r="945" spans="1:66" ht="15.75" customHeight="1" x14ac:dyDescent="0.2">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row>
    <row r="946" spans="1:66" ht="15.75" customHeight="1" x14ac:dyDescent="0.2">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row>
    <row r="947" spans="1:66" ht="15.75" customHeight="1" x14ac:dyDescent="0.2">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row>
    <row r="948" spans="1:66" ht="15.75" customHeight="1" x14ac:dyDescent="0.2">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row>
    <row r="949" spans="1:66" ht="15.75" customHeight="1" x14ac:dyDescent="0.2">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row>
    <row r="950" spans="1:66" ht="15.75" customHeight="1" x14ac:dyDescent="0.2">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row>
    <row r="951" spans="1:66" ht="15.75" customHeight="1" x14ac:dyDescent="0.2">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row>
    <row r="952" spans="1:66" ht="15.75" customHeight="1" x14ac:dyDescent="0.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row>
    <row r="953" spans="1:66" ht="15.75" customHeight="1" x14ac:dyDescent="0.2">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row>
    <row r="954" spans="1:66" ht="15.75" customHeight="1" x14ac:dyDescent="0.2">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row>
    <row r="955" spans="1:66" ht="15.75" customHeight="1" x14ac:dyDescent="0.2">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row>
    <row r="956" spans="1:66" ht="15.75" customHeight="1" x14ac:dyDescent="0.2">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row>
    <row r="957" spans="1:66" ht="15.75" customHeight="1" x14ac:dyDescent="0.2">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row>
    <row r="958" spans="1:66" ht="15.75" customHeight="1" x14ac:dyDescent="0.2">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row>
    <row r="959" spans="1:66" ht="15.75" customHeight="1" x14ac:dyDescent="0.2">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row>
    <row r="960" spans="1:66" ht="15.75" customHeight="1" x14ac:dyDescent="0.2">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row>
    <row r="961" spans="1:66" ht="15.75" customHeight="1" x14ac:dyDescent="0.2">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row>
    <row r="962" spans="1:66" ht="15.75" customHeight="1" x14ac:dyDescent="0.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row>
    <row r="963" spans="1:66" ht="15.75" customHeight="1" x14ac:dyDescent="0.2">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row>
    <row r="964" spans="1:66" ht="15.75" customHeight="1" x14ac:dyDescent="0.2">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row>
    <row r="965" spans="1:66" ht="15.75" customHeight="1" x14ac:dyDescent="0.2">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row>
    <row r="966" spans="1:66" ht="15.75" customHeight="1" x14ac:dyDescent="0.2">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row>
    <row r="967" spans="1:66" ht="15.75" customHeight="1" x14ac:dyDescent="0.2">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row>
    <row r="968" spans="1:66" ht="15.75" customHeight="1" x14ac:dyDescent="0.2">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row>
    <row r="969" spans="1:66" ht="15.75" customHeight="1" x14ac:dyDescent="0.2">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row>
    <row r="970" spans="1:66" ht="15.75" customHeight="1" x14ac:dyDescent="0.2">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row>
    <row r="971" spans="1:66" ht="15.75" customHeight="1" x14ac:dyDescent="0.2">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row>
    <row r="972" spans="1:66" ht="15.75" customHeight="1" x14ac:dyDescent="0.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row>
    <row r="973" spans="1:66" ht="15.75" customHeight="1" x14ac:dyDescent="0.2">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row>
    <row r="974" spans="1:66" ht="15.75" customHeight="1" x14ac:dyDescent="0.2">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row>
    <row r="975" spans="1:66" ht="15.75" customHeight="1" x14ac:dyDescent="0.2">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row>
    <row r="976" spans="1:66" ht="15.75" customHeight="1" x14ac:dyDescent="0.2">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row>
    <row r="977" spans="1:66" ht="15.75" customHeight="1" x14ac:dyDescent="0.2">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row>
    <row r="978" spans="1:66" ht="15.75" customHeight="1" x14ac:dyDescent="0.2">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row>
    <row r="979" spans="1:66" ht="15.75" customHeight="1" x14ac:dyDescent="0.2">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row>
    <row r="980" spans="1:66" ht="15.75" customHeight="1" x14ac:dyDescent="0.2">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row>
    <row r="981" spans="1:66" ht="15.75" customHeight="1" x14ac:dyDescent="0.2">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row>
    <row r="982" spans="1:66" ht="15.75" customHeight="1" x14ac:dyDescent="0.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row>
    <row r="983" spans="1:66" ht="15.75" customHeight="1" x14ac:dyDescent="0.2">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row>
    <row r="984" spans="1:66" ht="15.75" customHeight="1" x14ac:dyDescent="0.2">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row>
    <row r="985" spans="1:66" ht="15.75" customHeight="1" x14ac:dyDescent="0.2">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row>
    <row r="986" spans="1:66" ht="15.75" customHeight="1" x14ac:dyDescent="0.2">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row>
    <row r="987" spans="1:66" ht="15.75" customHeight="1" x14ac:dyDescent="0.2">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row>
    <row r="988" spans="1:66" ht="15.75" customHeight="1" x14ac:dyDescent="0.2">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row>
    <row r="989" spans="1:66" ht="15.75" customHeight="1" x14ac:dyDescent="0.2">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row>
    <row r="990" spans="1:66" ht="15.75" customHeight="1" x14ac:dyDescent="0.2">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row>
    <row r="991" spans="1:66" ht="15.75" customHeight="1" x14ac:dyDescent="0.2">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row>
    <row r="992" spans="1:66" ht="15.75" customHeight="1" x14ac:dyDescent="0.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row>
    <row r="993" spans="1:66" ht="15.75" customHeight="1" x14ac:dyDescent="0.2">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row>
    <row r="994" spans="1:66" ht="15.75" customHeight="1" x14ac:dyDescent="0.2">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row>
    <row r="995" spans="1:66" ht="15.75" customHeight="1" x14ac:dyDescent="0.2">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row>
    <row r="996" spans="1:66" ht="15.75" customHeight="1" x14ac:dyDescent="0.2">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row>
    <row r="997" spans="1:66" ht="15.75" customHeight="1" x14ac:dyDescent="0.2">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row>
    <row r="998" spans="1:66" ht="15.75" customHeight="1" x14ac:dyDescent="0.2">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row>
    <row r="999" spans="1:66" ht="15.75" customHeight="1" x14ac:dyDescent="0.2">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row>
    <row r="1000" spans="1:66" ht="15.75" customHeight="1" x14ac:dyDescent="0.2">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row>
    <row r="1001" spans="1:66" ht="15.75" customHeight="1" x14ac:dyDescent="0.2">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row>
    <row r="1002" spans="1:66" ht="15.75" customHeight="1" x14ac:dyDescent="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row>
    <row r="1003" spans="1:66" ht="15.75" customHeight="1" x14ac:dyDescent="0.2">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row>
    <row r="1004" spans="1:66" ht="15.75" customHeight="1" x14ac:dyDescent="0.2">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row>
    <row r="1005" spans="1:66" ht="15.75" customHeight="1" x14ac:dyDescent="0.2">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row>
    <row r="1006" spans="1:66" ht="15.75" customHeight="1" x14ac:dyDescent="0.2">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row>
    <row r="1007" spans="1:66" ht="15.75" customHeight="1" x14ac:dyDescent="0.2">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row>
    <row r="1008" spans="1:66" ht="15.75" customHeight="1" x14ac:dyDescent="0.2">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row>
    <row r="1009" spans="1:66" ht="15.75" customHeight="1" x14ac:dyDescent="0.2">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row>
    <row r="1010" spans="1:66" ht="15.75" customHeight="1" x14ac:dyDescent="0.2">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row>
    <row r="1011" spans="1:66" ht="15.75" customHeight="1" x14ac:dyDescent="0.2">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row>
    <row r="1012" spans="1:66" ht="15.75" customHeight="1" x14ac:dyDescent="0.2">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row>
    <row r="1013" spans="1:66" ht="15.75" customHeight="1" x14ac:dyDescent="0.2">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row>
    <row r="1014" spans="1:66" ht="15.75" customHeight="1" x14ac:dyDescent="0.2">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row>
    <row r="1015" spans="1:66" ht="15.75" customHeight="1" x14ac:dyDescent="0.2">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row>
    <row r="1016" spans="1:66" ht="15.75" customHeight="1" x14ac:dyDescent="0.2">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row>
    <row r="1017" spans="1:66" ht="15.75" customHeight="1" x14ac:dyDescent="0.2">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row>
    <row r="1018" spans="1:66" ht="15.75" customHeight="1" x14ac:dyDescent="0.2">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row>
    <row r="1019" spans="1:66" ht="15.75" customHeight="1" x14ac:dyDescent="0.2">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row>
    <row r="1020" spans="1:66" ht="15.75" customHeight="1" x14ac:dyDescent="0.2">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row>
    <row r="1021" spans="1:66" ht="15.75" customHeight="1" x14ac:dyDescent="0.2">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row>
    <row r="1022" spans="1:66" ht="15.75" customHeight="1" x14ac:dyDescent="0.2">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row>
    <row r="1023" spans="1:66" ht="15.75" customHeight="1" x14ac:dyDescent="0.2">
      <c r="A1023" s="18"/>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row>
    <row r="1024" spans="1:66" ht="15.75" customHeight="1" x14ac:dyDescent="0.2">
      <c r="A1024" s="18"/>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row>
    <row r="1025" spans="1:66" ht="15.75" customHeight="1" x14ac:dyDescent="0.2">
      <c r="A1025" s="18"/>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row>
    <row r="1026" spans="1:66" ht="15.75" customHeight="1" x14ac:dyDescent="0.2">
      <c r="A1026" s="18"/>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row>
    <row r="1027" spans="1:66" ht="15.75" customHeight="1" x14ac:dyDescent="0.2">
      <c r="A1027" s="18"/>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row>
    <row r="1028" spans="1:66" ht="15.75" customHeight="1" x14ac:dyDescent="0.2">
      <c r="A1028" s="18"/>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row>
    <row r="1029" spans="1:66" ht="15.75" customHeight="1" x14ac:dyDescent="0.2">
      <c r="A1029" s="18"/>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row>
    <row r="1030" spans="1:66" ht="15.75" customHeight="1" x14ac:dyDescent="0.2">
      <c r="A1030" s="18"/>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row>
    <row r="1031" spans="1:66" ht="15.75" customHeight="1" x14ac:dyDescent="0.2">
      <c r="A1031" s="18"/>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row>
    <row r="1032" spans="1:66" ht="15.75" customHeight="1" x14ac:dyDescent="0.2">
      <c r="A1032" s="18"/>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row>
    <row r="1033" spans="1:66" ht="15.75" customHeight="1" x14ac:dyDescent="0.2">
      <c r="A1033" s="18"/>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row>
    <row r="1034" spans="1:66" ht="15.75" customHeight="1" x14ac:dyDescent="0.2">
      <c r="A1034" s="18"/>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row>
    <row r="1035" spans="1:66" ht="15.75" customHeight="1" x14ac:dyDescent="0.2">
      <c r="A1035" s="18"/>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row>
    <row r="1036" spans="1:66" ht="15.75" customHeight="1" x14ac:dyDescent="0.2">
      <c r="A1036" s="18"/>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row>
    <row r="1037" spans="1:66" ht="15.75" customHeight="1" x14ac:dyDescent="0.2">
      <c r="A1037" s="18"/>
      <c r="B1037" s="18"/>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row>
    <row r="1038" spans="1:66" ht="15.75" customHeight="1" x14ac:dyDescent="0.2">
      <c r="A1038" s="18"/>
      <c r="B1038" s="18"/>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row>
    <row r="1039" spans="1:66" ht="15.75" customHeight="1" x14ac:dyDescent="0.2">
      <c r="A1039" s="18"/>
      <c r="B1039" s="18"/>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row>
    <row r="1040" spans="1:66" ht="15.75" customHeight="1" x14ac:dyDescent="0.2">
      <c r="A1040" s="18"/>
      <c r="B1040" s="18"/>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row>
    <row r="1041" spans="1:66" ht="15.75" customHeight="1" x14ac:dyDescent="0.2">
      <c r="A1041" s="18"/>
      <c r="B1041" s="18"/>
      <c r="C1041" s="18"/>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row>
    <row r="1042" spans="1:66" ht="15.75" customHeight="1" x14ac:dyDescent="0.2">
      <c r="A1042" s="18"/>
      <c r="B1042" s="18"/>
      <c r="C1042" s="18"/>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row>
    <row r="1043" spans="1:66" ht="15.75" customHeight="1" x14ac:dyDescent="0.2">
      <c r="A1043" s="18"/>
      <c r="B1043" s="18"/>
      <c r="C1043" s="18"/>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row>
    <row r="1044" spans="1:66" ht="15.75" customHeight="1" x14ac:dyDescent="0.2">
      <c r="A1044" s="18"/>
      <c r="B1044" s="18"/>
      <c r="C1044" s="18"/>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row>
    <row r="1045" spans="1:66" ht="15.75" customHeight="1" x14ac:dyDescent="0.2">
      <c r="A1045" s="18"/>
      <c r="B1045" s="18"/>
      <c r="C1045" s="18"/>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row>
    <row r="1046" spans="1:66" ht="15.75" customHeight="1" x14ac:dyDescent="0.2">
      <c r="A1046" s="18"/>
      <c r="B1046" s="18"/>
      <c r="C1046" s="18"/>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row>
    <row r="1047" spans="1:66" ht="15.75" customHeight="1" x14ac:dyDescent="0.2">
      <c r="A1047" s="18"/>
      <c r="B1047" s="18"/>
      <c r="C1047" s="18"/>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row>
    <row r="1048" spans="1:66" ht="15.75" customHeight="1" x14ac:dyDescent="0.2">
      <c r="A1048" s="18"/>
      <c r="B1048" s="18"/>
      <c r="C1048" s="18"/>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row>
    <row r="1049" spans="1:66" ht="15.75" customHeight="1" x14ac:dyDescent="0.2">
      <c r="A1049" s="18"/>
      <c r="B1049" s="18"/>
      <c r="C1049" s="18"/>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row>
    <row r="1050" spans="1:66" ht="15.75" customHeight="1" x14ac:dyDescent="0.2">
      <c r="A1050" s="18"/>
      <c r="B1050" s="18"/>
      <c r="C1050" s="18"/>
      <c r="D1050" s="18"/>
      <c r="E1050" s="18"/>
      <c r="F1050" s="18"/>
      <c r="G1050" s="18"/>
      <c r="H1050" s="18"/>
      <c r="I1050" s="18"/>
      <c r="J1050" s="18"/>
      <c r="K1050" s="18"/>
      <c r="L1050" s="18"/>
      <c r="M1050" s="18"/>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row>
    <row r="1051" spans="1:66" ht="15.75" customHeight="1" x14ac:dyDescent="0.2">
      <c r="A1051" s="18"/>
      <c r="B1051" s="18"/>
      <c r="C1051" s="18"/>
      <c r="D1051" s="18"/>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row>
    <row r="1052" spans="1:66" ht="15.75" customHeight="1" x14ac:dyDescent="0.2">
      <c r="A1052" s="18"/>
      <c r="B1052" s="18"/>
      <c r="C1052" s="18"/>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row>
    <row r="1053" spans="1:66" ht="15.75" customHeight="1" x14ac:dyDescent="0.2">
      <c r="A1053" s="18"/>
      <c r="B1053" s="18"/>
      <c r="C1053" s="18"/>
      <c r="D1053" s="18"/>
      <c r="E1053" s="18"/>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row>
    <row r="1054" spans="1:66" ht="15.75" customHeight="1" x14ac:dyDescent="0.2">
      <c r="A1054" s="18"/>
      <c r="B1054" s="18"/>
      <c r="C1054" s="18"/>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row>
    <row r="1055" spans="1:66" ht="15.75" customHeight="1" x14ac:dyDescent="0.2">
      <c r="A1055" s="18"/>
      <c r="B1055" s="18"/>
      <c r="C1055" s="18"/>
      <c r="D1055" s="18"/>
      <c r="E1055" s="18"/>
      <c r="F1055" s="18"/>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row>
    <row r="1056" spans="1:66" ht="15.75" customHeight="1" x14ac:dyDescent="0.2">
      <c r="A1056" s="18"/>
      <c r="B1056" s="18"/>
      <c r="C1056" s="18"/>
      <c r="D1056" s="18"/>
      <c r="E1056" s="18"/>
      <c r="F1056" s="18"/>
      <c r="G1056" s="18"/>
      <c r="H1056" s="18"/>
      <c r="I1056" s="18"/>
      <c r="J1056" s="18"/>
      <c r="K1056" s="18"/>
      <c r="L1056" s="18"/>
      <c r="M1056" s="18"/>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row>
    <row r="1057" spans="1:66" ht="15.75" customHeight="1" x14ac:dyDescent="0.2">
      <c r="A1057" s="18"/>
      <c r="B1057" s="18"/>
      <c r="C1057" s="18"/>
      <c r="D1057" s="18"/>
      <c r="E1057" s="18"/>
      <c r="F1057" s="18"/>
      <c r="G1057" s="18"/>
      <c r="H1057" s="18"/>
      <c r="I1057" s="18"/>
      <c r="J1057" s="18"/>
      <c r="K1057" s="18"/>
      <c r="L1057" s="18"/>
      <c r="M1057" s="18"/>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row>
    <row r="1058" spans="1:66" ht="15.75" customHeight="1" x14ac:dyDescent="0.2">
      <c r="A1058" s="18"/>
      <c r="B1058" s="18"/>
      <c r="C1058" s="18"/>
      <c r="D1058" s="18"/>
      <c r="E1058" s="18"/>
      <c r="F1058" s="18"/>
      <c r="G1058" s="18"/>
      <c r="H1058" s="18"/>
      <c r="I1058" s="18"/>
      <c r="J1058" s="18"/>
      <c r="K1058" s="18"/>
      <c r="L1058" s="18"/>
      <c r="M1058" s="18"/>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row>
    <row r="1059" spans="1:66" ht="15.75" customHeight="1" x14ac:dyDescent="0.2">
      <c r="A1059" s="18"/>
      <c r="B1059" s="18"/>
      <c r="C1059" s="18"/>
      <c r="D1059" s="18"/>
      <c r="E1059" s="18"/>
      <c r="F1059" s="18"/>
      <c r="G1059" s="18"/>
      <c r="H1059" s="18"/>
      <c r="I1059" s="18"/>
      <c r="J1059" s="18"/>
      <c r="K1059" s="18"/>
      <c r="L1059" s="18"/>
      <c r="M1059" s="18"/>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row>
    <row r="1060" spans="1:66" ht="15.75" customHeight="1" x14ac:dyDescent="0.2">
      <c r="A1060" s="18"/>
      <c r="B1060" s="18"/>
      <c r="C1060" s="18"/>
      <c r="D1060" s="18"/>
      <c r="E1060" s="18"/>
      <c r="F1060" s="18"/>
      <c r="G1060" s="18"/>
      <c r="H1060" s="18"/>
      <c r="I1060" s="18"/>
      <c r="J1060" s="18"/>
      <c r="K1060" s="18"/>
      <c r="L1060" s="18"/>
      <c r="M1060" s="18"/>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row>
    <row r="1061" spans="1:66" ht="15.75" customHeight="1" x14ac:dyDescent="0.2">
      <c r="A1061" s="18"/>
      <c r="B1061" s="18"/>
      <c r="C1061" s="18"/>
      <c r="D1061" s="18"/>
      <c r="E1061" s="18"/>
      <c r="F1061" s="18"/>
      <c r="G1061" s="18"/>
      <c r="H1061" s="18"/>
      <c r="I1061" s="18"/>
      <c r="J1061" s="18"/>
      <c r="K1061" s="18"/>
      <c r="L1061" s="18"/>
      <c r="M1061" s="18"/>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row>
    <row r="1062" spans="1:66" ht="15.75" customHeight="1" x14ac:dyDescent="0.2">
      <c r="A1062" s="18"/>
      <c r="B1062" s="18"/>
      <c r="C1062" s="18"/>
      <c r="D1062" s="18"/>
      <c r="E1062" s="18"/>
      <c r="F1062" s="18"/>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row>
    <row r="1063" spans="1:66" ht="15.75" customHeight="1" x14ac:dyDescent="0.2">
      <c r="A1063" s="18"/>
      <c r="B1063" s="18"/>
      <c r="C1063" s="18"/>
      <c r="D1063" s="18"/>
      <c r="E1063" s="18"/>
      <c r="F1063" s="18"/>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row>
    <row r="1064" spans="1:66" ht="15.75" customHeight="1" x14ac:dyDescent="0.2">
      <c r="A1064" s="18"/>
      <c r="B1064" s="18"/>
      <c r="C1064" s="18"/>
      <c r="D1064" s="18"/>
      <c r="E1064" s="18"/>
      <c r="F1064" s="18"/>
      <c r="G1064" s="18"/>
      <c r="H1064" s="18"/>
      <c r="I1064" s="18"/>
      <c r="J1064" s="18"/>
      <c r="K1064" s="18"/>
      <c r="L1064" s="18"/>
      <c r="M1064" s="18"/>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row>
    <row r="1065" spans="1:66" ht="15.75" customHeight="1" x14ac:dyDescent="0.2">
      <c r="A1065" s="18"/>
      <c r="B1065" s="18"/>
      <c r="C1065" s="18"/>
      <c r="D1065" s="18"/>
      <c r="E1065" s="18"/>
      <c r="F1065" s="18"/>
      <c r="G1065" s="18"/>
      <c r="H1065" s="18"/>
      <c r="I1065" s="18"/>
      <c r="J1065" s="18"/>
      <c r="K1065" s="18"/>
      <c r="L1065" s="18"/>
      <c r="M1065" s="18"/>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row>
    <row r="1066" spans="1:66" ht="15.75" customHeight="1" x14ac:dyDescent="0.2">
      <c r="A1066" s="18"/>
      <c r="B1066" s="18"/>
      <c r="C1066" s="18"/>
      <c r="D1066" s="18"/>
      <c r="E1066" s="18"/>
      <c r="F1066" s="18"/>
      <c r="G1066" s="18"/>
      <c r="H1066" s="18"/>
      <c r="I1066" s="18"/>
      <c r="J1066" s="18"/>
      <c r="K1066" s="18"/>
      <c r="L1066" s="18"/>
      <c r="M1066" s="18"/>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row>
    <row r="1067" spans="1:66" ht="15.75" customHeight="1" x14ac:dyDescent="0.2">
      <c r="A1067" s="18"/>
      <c r="B1067" s="18"/>
      <c r="C1067" s="18"/>
      <c r="D1067" s="18"/>
      <c r="E1067" s="18"/>
      <c r="F1067" s="18"/>
      <c r="G1067" s="18"/>
      <c r="H1067" s="18"/>
      <c r="I1067" s="18"/>
      <c r="J1067" s="18"/>
      <c r="K1067" s="18"/>
      <c r="L1067" s="18"/>
      <c r="M1067" s="18"/>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row>
    <row r="1068" spans="1:66" ht="15.75" customHeight="1" x14ac:dyDescent="0.2">
      <c r="A1068" s="18"/>
      <c r="B1068" s="18"/>
      <c r="C1068" s="18"/>
      <c r="D1068" s="18"/>
      <c r="E1068" s="18"/>
      <c r="F1068" s="18"/>
      <c r="G1068" s="18"/>
      <c r="H1068" s="18"/>
      <c r="I1068" s="18"/>
      <c r="J1068" s="18"/>
      <c r="K1068" s="18"/>
      <c r="L1068" s="18"/>
      <c r="M1068" s="18"/>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row>
    <row r="1069" spans="1:66" ht="15.75" customHeight="1" x14ac:dyDescent="0.2">
      <c r="A1069" s="18"/>
      <c r="B1069" s="18"/>
      <c r="C1069" s="18"/>
      <c r="D1069" s="18"/>
      <c r="E1069" s="18"/>
      <c r="F1069" s="18"/>
      <c r="G1069" s="18"/>
      <c r="H1069" s="18"/>
      <c r="I1069" s="18"/>
      <c r="J1069" s="18"/>
      <c r="K1069" s="18"/>
      <c r="L1069" s="18"/>
      <c r="M1069" s="18"/>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row>
    <row r="1070" spans="1:66" ht="15.75" customHeight="1" x14ac:dyDescent="0.2">
      <c r="A1070" s="18"/>
      <c r="B1070" s="18"/>
      <c r="C1070" s="18"/>
      <c r="D1070" s="18"/>
      <c r="E1070" s="18"/>
      <c r="F1070" s="18"/>
      <c r="G1070" s="18"/>
      <c r="H1070" s="18"/>
      <c r="I1070" s="18"/>
      <c r="J1070" s="18"/>
      <c r="K1070" s="18"/>
      <c r="L1070" s="18"/>
      <c r="M1070" s="18"/>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row>
    <row r="1071" spans="1:66" ht="15.75" customHeight="1" x14ac:dyDescent="0.2">
      <c r="A1071" s="18"/>
      <c r="B1071" s="18"/>
      <c r="C1071" s="18"/>
      <c r="D1071" s="18"/>
      <c r="E1071" s="18"/>
      <c r="F1071" s="18"/>
      <c r="G1071" s="18"/>
      <c r="H1071" s="18"/>
      <c r="I1071" s="18"/>
      <c r="J1071" s="18"/>
      <c r="K1071" s="18"/>
      <c r="L1071" s="18"/>
      <c r="M1071" s="18"/>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row>
    <row r="1072" spans="1:66" ht="15.75" customHeight="1" x14ac:dyDescent="0.2">
      <c r="A1072" s="18"/>
      <c r="B1072" s="18"/>
      <c r="C1072" s="18"/>
      <c r="D1072" s="18"/>
      <c r="E1072" s="18"/>
      <c r="F1072" s="18"/>
      <c r="G1072" s="18"/>
      <c r="H1072" s="18"/>
      <c r="I1072" s="18"/>
      <c r="J1072" s="18"/>
      <c r="K1072" s="18"/>
      <c r="L1072" s="18"/>
      <c r="M1072" s="18"/>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row>
    <row r="1073" spans="1:66" ht="15.75" customHeight="1" x14ac:dyDescent="0.2">
      <c r="A1073" s="18"/>
      <c r="B1073" s="18"/>
      <c r="C1073" s="18"/>
      <c r="D1073" s="18"/>
      <c r="E1073" s="18"/>
      <c r="F1073" s="18"/>
      <c r="G1073" s="18"/>
      <c r="H1073" s="18"/>
      <c r="I1073" s="18"/>
      <c r="J1073" s="18"/>
      <c r="K1073" s="18"/>
      <c r="L1073" s="18"/>
      <c r="M1073" s="18"/>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row>
    <row r="1074" spans="1:66" ht="15.75" customHeight="1" x14ac:dyDescent="0.2">
      <c r="A1074" s="18"/>
      <c r="B1074" s="18"/>
      <c r="C1074" s="18"/>
      <c r="D1074" s="18"/>
      <c r="E1074" s="18"/>
      <c r="F1074" s="18"/>
      <c r="G1074" s="18"/>
      <c r="H1074" s="18"/>
      <c r="I1074" s="18"/>
      <c r="J1074" s="18"/>
      <c r="K1074" s="18"/>
      <c r="L1074" s="18"/>
      <c r="M1074" s="18"/>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row>
    <row r="1075" spans="1:66" ht="15.75" customHeight="1" x14ac:dyDescent="0.2">
      <c r="A1075" s="18"/>
      <c r="B1075" s="18"/>
      <c r="C1075" s="18"/>
      <c r="D1075" s="18"/>
      <c r="E1075" s="18"/>
      <c r="F1075" s="18"/>
      <c r="G1075" s="18"/>
      <c r="H1075" s="18"/>
      <c r="I1075" s="18"/>
      <c r="J1075" s="18"/>
      <c r="K1075" s="18"/>
      <c r="L1075" s="18"/>
      <c r="M1075" s="18"/>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row>
    <row r="1076" spans="1:66" ht="15.75" customHeight="1" x14ac:dyDescent="0.2">
      <c r="A1076" s="18"/>
      <c r="B1076" s="18"/>
      <c r="C1076" s="18"/>
      <c r="D1076" s="18"/>
      <c r="E1076" s="18"/>
      <c r="F1076" s="18"/>
      <c r="G1076" s="18"/>
      <c r="H1076" s="18"/>
      <c r="I1076" s="18"/>
      <c r="J1076" s="18"/>
      <c r="K1076" s="18"/>
      <c r="L1076" s="18"/>
      <c r="M1076" s="18"/>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row>
    <row r="1077" spans="1:66" ht="15.75" customHeight="1" x14ac:dyDescent="0.2">
      <c r="A1077" s="18"/>
      <c r="B1077" s="18"/>
      <c r="C1077" s="18"/>
      <c r="D1077" s="18"/>
      <c r="E1077" s="18"/>
      <c r="F1077" s="18"/>
      <c r="G1077" s="18"/>
      <c r="H1077" s="18"/>
      <c r="I1077" s="18"/>
      <c r="J1077" s="18"/>
      <c r="K1077" s="18"/>
      <c r="L1077" s="18"/>
      <c r="M1077" s="18"/>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row>
    <row r="1078" spans="1:66" ht="15.75" customHeight="1" x14ac:dyDescent="0.2">
      <c r="A1078" s="18"/>
      <c r="B1078" s="18"/>
      <c r="C1078" s="18"/>
      <c r="D1078" s="18"/>
      <c r="E1078" s="18"/>
      <c r="F1078" s="18"/>
      <c r="G1078" s="18"/>
      <c r="H1078" s="18"/>
      <c r="I1078" s="18"/>
      <c r="J1078" s="18"/>
      <c r="K1078" s="18"/>
      <c r="L1078" s="18"/>
      <c r="M1078" s="18"/>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row>
    <row r="1079" spans="1:66" ht="15.75" customHeight="1" x14ac:dyDescent="0.2">
      <c r="A1079" s="18"/>
      <c r="B1079" s="18"/>
      <c r="C1079" s="18"/>
      <c r="D1079" s="18"/>
      <c r="E1079" s="18"/>
      <c r="F1079" s="18"/>
      <c r="G1079" s="18"/>
      <c r="H1079" s="18"/>
      <c r="I1079" s="18"/>
      <c r="J1079" s="18"/>
      <c r="K1079" s="18"/>
      <c r="L1079" s="18"/>
      <c r="M1079" s="18"/>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row>
    <row r="1080" spans="1:66" ht="15.75" customHeight="1" x14ac:dyDescent="0.2">
      <c r="A1080" s="18"/>
      <c r="B1080" s="18"/>
      <c r="C1080" s="18"/>
      <c r="D1080" s="18"/>
      <c r="E1080" s="18"/>
      <c r="F1080" s="18"/>
      <c r="G1080" s="18"/>
      <c r="H1080" s="18"/>
      <c r="I1080" s="18"/>
      <c r="J1080" s="18"/>
      <c r="K1080" s="18"/>
      <c r="L1080" s="18"/>
      <c r="M1080" s="18"/>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row>
    <row r="1081" spans="1:66" ht="15.75" customHeight="1" x14ac:dyDescent="0.2">
      <c r="A1081" s="18"/>
      <c r="B1081" s="18"/>
      <c r="C1081" s="18"/>
      <c r="D1081" s="18"/>
      <c r="E1081" s="18"/>
      <c r="F1081" s="18"/>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row>
    <row r="1082" spans="1:66" ht="15.75" customHeight="1" x14ac:dyDescent="0.2">
      <c r="A1082" s="18"/>
      <c r="B1082" s="18"/>
      <c r="C1082" s="18"/>
      <c r="D1082" s="18"/>
      <c r="E1082" s="18"/>
      <c r="F1082" s="18"/>
      <c r="G1082" s="18"/>
      <c r="H1082" s="18"/>
      <c r="I1082" s="18"/>
      <c r="J1082" s="18"/>
      <c r="K1082" s="18"/>
      <c r="L1082" s="18"/>
      <c r="M1082" s="18"/>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row>
    <row r="1083" spans="1:66" ht="15.75" customHeight="1" x14ac:dyDescent="0.2">
      <c r="A1083" s="18"/>
      <c r="B1083" s="18"/>
      <c r="C1083" s="18"/>
      <c r="D1083" s="18"/>
      <c r="E1083" s="18"/>
      <c r="F1083" s="18"/>
      <c r="G1083" s="18"/>
      <c r="H1083" s="18"/>
      <c r="I1083" s="18"/>
      <c r="J1083" s="18"/>
      <c r="K1083" s="18"/>
      <c r="L1083" s="18"/>
      <c r="M1083" s="18"/>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row>
    <row r="1084" spans="1:66" ht="15.75" customHeight="1" x14ac:dyDescent="0.2">
      <c r="A1084" s="18"/>
      <c r="B1084" s="18"/>
      <c r="C1084" s="18"/>
      <c r="D1084" s="18"/>
      <c r="E1084" s="18"/>
      <c r="F1084" s="18"/>
      <c r="G1084" s="18"/>
      <c r="H1084" s="18"/>
      <c r="I1084" s="18"/>
      <c r="J1084" s="18"/>
      <c r="K1084" s="18"/>
      <c r="L1084" s="18"/>
      <c r="M1084" s="18"/>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row>
    <row r="1085" spans="1:66" ht="15.75" customHeight="1" x14ac:dyDescent="0.2">
      <c r="A1085" s="18"/>
      <c r="B1085" s="18"/>
      <c r="C1085" s="18"/>
      <c r="D1085" s="18"/>
      <c r="E1085" s="18"/>
      <c r="F1085" s="18"/>
      <c r="G1085" s="18"/>
      <c r="H1085" s="18"/>
      <c r="I1085" s="18"/>
      <c r="J1085" s="18"/>
      <c r="K1085" s="18"/>
      <c r="L1085" s="18"/>
      <c r="M1085" s="18"/>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row>
    <row r="1086" spans="1:66" ht="15.75" customHeight="1" x14ac:dyDescent="0.2">
      <c r="A1086" s="18"/>
      <c r="B1086" s="18"/>
      <c r="C1086" s="18"/>
      <c r="D1086" s="18"/>
      <c r="E1086" s="18"/>
      <c r="F1086" s="18"/>
      <c r="G1086" s="18"/>
      <c r="H1086" s="18"/>
      <c r="I1086" s="18"/>
      <c r="J1086" s="18"/>
      <c r="K1086" s="18"/>
      <c r="L1086" s="18"/>
      <c r="M1086" s="18"/>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row>
    <row r="1087" spans="1:66" ht="15.75" customHeight="1" x14ac:dyDescent="0.2">
      <c r="A1087" s="18"/>
      <c r="B1087" s="18"/>
      <c r="C1087" s="18"/>
      <c r="D1087" s="18"/>
      <c r="E1087" s="18"/>
      <c r="F1087" s="18"/>
      <c r="G1087" s="18"/>
      <c r="H1087" s="18"/>
      <c r="I1087" s="18"/>
      <c r="J1087" s="18"/>
      <c r="K1087" s="18"/>
      <c r="L1087" s="18"/>
      <c r="M1087" s="18"/>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row>
    <row r="1088" spans="1:66" ht="15.75" customHeight="1" x14ac:dyDescent="0.2">
      <c r="A1088" s="18"/>
      <c r="B1088" s="18"/>
      <c r="C1088" s="18"/>
      <c r="D1088" s="18"/>
      <c r="E1088" s="18"/>
      <c r="F1088" s="18"/>
      <c r="G1088" s="18"/>
      <c r="H1088" s="18"/>
      <c r="I1088" s="18"/>
      <c r="J1088" s="18"/>
      <c r="K1088" s="18"/>
      <c r="L1088" s="18"/>
      <c r="M1088" s="18"/>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row>
    <row r="1089" spans="1:66" ht="15.75" customHeight="1" x14ac:dyDescent="0.2">
      <c r="A1089" s="18"/>
      <c r="B1089" s="18"/>
      <c r="C1089" s="18"/>
      <c r="D1089" s="18"/>
      <c r="E1089" s="18"/>
      <c r="F1089" s="18"/>
      <c r="G1089" s="18"/>
      <c r="H1089" s="18"/>
      <c r="I1089" s="18"/>
      <c r="J1089" s="18"/>
      <c r="K1089" s="18"/>
      <c r="L1089" s="18"/>
      <c r="M1089" s="18"/>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row>
    <row r="1090" spans="1:66" ht="15.75" customHeight="1" x14ac:dyDescent="0.2">
      <c r="A1090" s="18"/>
      <c r="B1090" s="18"/>
      <c r="C1090" s="18"/>
      <c r="D1090" s="18"/>
      <c r="E1090" s="18"/>
      <c r="F1090" s="18"/>
      <c r="G1090" s="18"/>
      <c r="H1090" s="18"/>
      <c r="I1090" s="18"/>
      <c r="J1090" s="18"/>
      <c r="K1090" s="18"/>
      <c r="L1090" s="18"/>
      <c r="M1090" s="18"/>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row>
    <row r="1091" spans="1:66" ht="15.75" customHeight="1" x14ac:dyDescent="0.2">
      <c r="A1091" s="18"/>
      <c r="B1091" s="18"/>
      <c r="C1091" s="18"/>
      <c r="D1091" s="18"/>
      <c r="E1091" s="18"/>
      <c r="F1091" s="18"/>
      <c r="G1091" s="18"/>
      <c r="H1091" s="18"/>
      <c r="I1091" s="18"/>
      <c r="J1091" s="18"/>
      <c r="K1091" s="18"/>
      <c r="L1091" s="18"/>
      <c r="M1091" s="18"/>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row>
    <row r="1092" spans="1:66" ht="15.75" customHeight="1" x14ac:dyDescent="0.2">
      <c r="A1092" s="18"/>
      <c r="B1092" s="18"/>
      <c r="C1092" s="18"/>
      <c r="D1092" s="18"/>
      <c r="E1092" s="18"/>
      <c r="F1092" s="18"/>
      <c r="G1092" s="18"/>
      <c r="H1092" s="18"/>
      <c r="I1092" s="18"/>
      <c r="J1092" s="18"/>
      <c r="K1092" s="18"/>
      <c r="L1092" s="18"/>
      <c r="M1092" s="18"/>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row>
    <row r="1093" spans="1:66" ht="15.75" customHeight="1" x14ac:dyDescent="0.2">
      <c r="A1093" s="18"/>
      <c r="B1093" s="18"/>
      <c r="C1093" s="18"/>
      <c r="D1093" s="18"/>
      <c r="E1093" s="18"/>
      <c r="F1093" s="18"/>
      <c r="G1093" s="18"/>
      <c r="H1093" s="18"/>
      <c r="I1093" s="18"/>
      <c r="J1093" s="18"/>
      <c r="K1093" s="18"/>
      <c r="L1093" s="18"/>
      <c r="M1093" s="18"/>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row>
    <row r="1094" spans="1:66" ht="15.75" customHeight="1" x14ac:dyDescent="0.2">
      <c r="A1094" s="18"/>
      <c r="B1094" s="18"/>
      <c r="C1094" s="18"/>
      <c r="D1094" s="18"/>
      <c r="E1094" s="18"/>
      <c r="F1094" s="18"/>
      <c r="G1094" s="18"/>
      <c r="H1094" s="18"/>
      <c r="I1094" s="18"/>
      <c r="J1094" s="18"/>
      <c r="K1094" s="18"/>
      <c r="L1094" s="18"/>
      <c r="M1094" s="18"/>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row>
    <row r="1095" spans="1:66" ht="15.75" customHeight="1" x14ac:dyDescent="0.2">
      <c r="A1095" s="18"/>
      <c r="B1095" s="18"/>
      <c r="C1095" s="18"/>
      <c r="D1095" s="18"/>
      <c r="E1095" s="18"/>
      <c r="F1095" s="18"/>
      <c r="G1095" s="18"/>
      <c r="H1095" s="18"/>
      <c r="I1095" s="18"/>
      <c r="J1095" s="18"/>
      <c r="K1095" s="18"/>
      <c r="L1095" s="18"/>
      <c r="M1095" s="18"/>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row>
    <row r="1096" spans="1:66" ht="15.75" customHeight="1" x14ac:dyDescent="0.2">
      <c r="A1096" s="18"/>
      <c r="B1096" s="18"/>
      <c r="C1096" s="18"/>
      <c r="D1096" s="18"/>
      <c r="E1096" s="18"/>
      <c r="F1096" s="18"/>
      <c r="G1096" s="18"/>
      <c r="H1096" s="18"/>
      <c r="I1096" s="18"/>
      <c r="J1096" s="18"/>
      <c r="K1096" s="18"/>
      <c r="L1096" s="18"/>
      <c r="M1096" s="18"/>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row>
    <row r="1097" spans="1:66" ht="15.75" customHeight="1" x14ac:dyDescent="0.2">
      <c r="A1097" s="18"/>
      <c r="B1097" s="18"/>
      <c r="C1097" s="18"/>
      <c r="D1097" s="18"/>
      <c r="E1097" s="18"/>
      <c r="F1097" s="18"/>
      <c r="G1097" s="18"/>
      <c r="H1097" s="18"/>
      <c r="I1097" s="18"/>
      <c r="J1097" s="18"/>
      <c r="K1097" s="18"/>
      <c r="L1097" s="18"/>
      <c r="M1097" s="18"/>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row>
    <row r="1098" spans="1:66" ht="15.75" customHeight="1" x14ac:dyDescent="0.2">
      <c r="A1098" s="18"/>
      <c r="B1098" s="18"/>
      <c r="C1098" s="18"/>
      <c r="D1098" s="18"/>
      <c r="E1098" s="18"/>
      <c r="F1098" s="18"/>
      <c r="G1098" s="18"/>
      <c r="H1098" s="18"/>
      <c r="I1098" s="18"/>
      <c r="J1098" s="18"/>
      <c r="K1098" s="18"/>
      <c r="L1098" s="18"/>
      <c r="M1098" s="18"/>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row>
    <row r="1099" spans="1:66" ht="15.75" customHeight="1" x14ac:dyDescent="0.2">
      <c r="A1099" s="18"/>
      <c r="B1099" s="18"/>
      <c r="C1099" s="18"/>
      <c r="D1099" s="18"/>
      <c r="E1099" s="18"/>
      <c r="F1099" s="18"/>
      <c r="G1099" s="18"/>
      <c r="H1099" s="18"/>
      <c r="I1099" s="18"/>
      <c r="J1099" s="18"/>
      <c r="K1099" s="18"/>
      <c r="L1099" s="18"/>
      <c r="M1099" s="18"/>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row>
    <row r="1100" spans="1:66" ht="15.75" customHeight="1" x14ac:dyDescent="0.2">
      <c r="A1100" s="18"/>
      <c r="B1100" s="18"/>
      <c r="C1100" s="18"/>
      <c r="D1100" s="18"/>
      <c r="E1100" s="18"/>
      <c r="F1100" s="18"/>
      <c r="G1100" s="18"/>
      <c r="H1100" s="18"/>
      <c r="I1100" s="18"/>
      <c r="J1100" s="18"/>
      <c r="K1100" s="18"/>
      <c r="L1100" s="18"/>
      <c r="M1100" s="18"/>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row>
    <row r="1101" spans="1:66" ht="15.75" customHeight="1" x14ac:dyDescent="0.2">
      <c r="A1101" s="18"/>
      <c r="B1101" s="18"/>
      <c r="C1101" s="18"/>
      <c r="D1101" s="18"/>
      <c r="E1101" s="18"/>
      <c r="F1101" s="18"/>
      <c r="G1101" s="18"/>
      <c r="H1101" s="18"/>
      <c r="I1101" s="18"/>
      <c r="J1101" s="18"/>
      <c r="K1101" s="18"/>
      <c r="L1101" s="18"/>
      <c r="M1101" s="18"/>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row>
  </sheetData>
  <phoneticPr fontId="33" type="noConversion"/>
  <hyperlinks>
    <hyperlink ref="I5" r:id="rId1" xr:uid="{00000000-0004-0000-0200-000000000000}"/>
    <hyperlink ref="I12" r:id="rId2" xr:uid="{00000000-0004-0000-0200-000001000000}"/>
    <hyperlink ref="I15" r:id="rId3" xr:uid="{00000000-0004-0000-0200-000002000000}"/>
    <hyperlink ref="I20" r:id="rId4" xr:uid="{00000000-0004-0000-0200-000003000000}"/>
    <hyperlink ref="I23" r:id="rId5" xr:uid="{00000000-0004-0000-0200-000004000000}"/>
    <hyperlink ref="I27" r:id="rId6" xr:uid="{00000000-0004-0000-0200-000005000000}"/>
    <hyperlink ref="I37" r:id="rId7" xr:uid="{00000000-0004-0000-0200-000006000000}"/>
    <hyperlink ref="I44" r:id="rId8" xr:uid="{00000000-0004-0000-0200-000007000000}"/>
    <hyperlink ref="I45" r:id="rId9" xr:uid="{00000000-0004-0000-0200-000008000000}"/>
    <hyperlink ref="I46" r:id="rId10" xr:uid="{00000000-0004-0000-0200-000009000000}"/>
    <hyperlink ref="I75" r:id="rId11" xr:uid="{00000000-0004-0000-0200-00000A000000}"/>
    <hyperlink ref="I162" r:id="rId12" xr:uid="{00000000-0004-0000-0200-00000B000000}"/>
    <hyperlink ref="I164" r:id="rId13" xr:uid="{00000000-0004-0000-0200-00000C000000}"/>
    <hyperlink ref="I168" r:id="rId14" xr:uid="{00000000-0004-0000-0200-00000D000000}"/>
    <hyperlink ref="I213" r:id="rId15" xr:uid="{00000000-0004-0000-0200-00000E000000}"/>
    <hyperlink ref="I219" r:id="rId16" xr:uid="{00000000-0004-0000-0200-00000F000000}"/>
    <hyperlink ref="I224" r:id="rId17" xr:uid="{00000000-0004-0000-0200-000010000000}"/>
    <hyperlink ref="I32" r:id="rId18" xr:uid="{FAABDB0D-CE72-4C47-A309-8932DFF6A99F}"/>
    <hyperlink ref="I31" r:id="rId19" xr:uid="{C8790EAB-9DC0-46C6-A9A8-091DC11495B0}"/>
    <hyperlink ref="I74" r:id="rId20" xr:uid="{53BE618C-5783-4494-89AE-448B46C75960}"/>
  </hyperlinks>
  <pageMargins left="0.7" right="0.7" top="0.75" bottom="0.75" header="0" footer="0"/>
  <pageSetup orientation="landscape"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33"/>
  <sheetViews>
    <sheetView workbookViewId="0">
      <pane ySplit="1" topLeftCell="A2" activePane="bottomLeft" state="frozen"/>
      <selection pane="bottomLeft"/>
    </sheetView>
  </sheetViews>
  <sheetFormatPr baseColWidth="10" defaultColWidth="11.1640625" defaultRowHeight="15" customHeight="1" x14ac:dyDescent="0.15"/>
  <cols>
    <col min="1" max="3" width="14.5" style="19" customWidth="1"/>
    <col min="4" max="4" width="16.5" style="19" customWidth="1"/>
    <col min="5" max="27" width="14.5" style="19" customWidth="1"/>
    <col min="28" max="16384" width="11.1640625" style="19"/>
  </cols>
  <sheetData>
    <row r="1" spans="1:7" ht="15.75" customHeight="1" x14ac:dyDescent="0.15">
      <c r="A1" s="19" t="s">
        <v>3</v>
      </c>
      <c r="B1" s="19" t="s">
        <v>9</v>
      </c>
      <c r="C1" s="19" t="s">
        <v>411</v>
      </c>
      <c r="D1" s="19" t="s">
        <v>412</v>
      </c>
      <c r="E1" s="19" t="s">
        <v>413</v>
      </c>
      <c r="F1" s="19" t="s">
        <v>639</v>
      </c>
      <c r="G1" s="19" t="s">
        <v>640</v>
      </c>
    </row>
    <row r="2" spans="1:7" ht="15.75" customHeight="1" x14ac:dyDescent="0.15">
      <c r="A2" s="19" t="s">
        <v>50</v>
      </c>
      <c r="B2" s="19">
        <v>1975</v>
      </c>
      <c r="C2" s="19">
        <v>1</v>
      </c>
      <c r="G2" s="19">
        <v>1</v>
      </c>
    </row>
    <row r="3" spans="1:7" ht="15.75" customHeight="1" x14ac:dyDescent="0.15">
      <c r="A3" s="19" t="s">
        <v>50</v>
      </c>
      <c r="B3" s="19">
        <v>2010</v>
      </c>
      <c r="D3" s="19">
        <v>1</v>
      </c>
      <c r="G3" s="19">
        <v>1</v>
      </c>
    </row>
    <row r="4" spans="1:7" ht="15.75" customHeight="1" x14ac:dyDescent="0.15">
      <c r="A4" s="19" t="s">
        <v>50</v>
      </c>
      <c r="B4" s="19">
        <v>2015</v>
      </c>
      <c r="D4" s="19">
        <v>2</v>
      </c>
      <c r="G4" s="19">
        <v>2</v>
      </c>
    </row>
    <row r="5" spans="1:7" ht="15.75" customHeight="1" x14ac:dyDescent="0.15">
      <c r="A5" s="19" t="s">
        <v>50</v>
      </c>
      <c r="B5" s="19">
        <v>2017</v>
      </c>
      <c r="D5" s="19">
        <v>2</v>
      </c>
      <c r="G5" s="19">
        <v>2</v>
      </c>
    </row>
    <row r="6" spans="1:7" ht="15.75" customHeight="1" x14ac:dyDescent="0.15">
      <c r="A6" s="19" t="s">
        <v>50</v>
      </c>
      <c r="B6" s="19">
        <v>2019</v>
      </c>
      <c r="D6" s="19">
        <v>1</v>
      </c>
      <c r="G6" s="19">
        <v>1</v>
      </c>
    </row>
    <row r="7" spans="1:7" ht="15.75" customHeight="1" x14ac:dyDescent="0.15">
      <c r="A7" s="19" t="s">
        <v>50</v>
      </c>
      <c r="B7" s="19">
        <v>2020</v>
      </c>
      <c r="D7" s="19">
        <v>1</v>
      </c>
      <c r="G7" s="19">
        <v>1</v>
      </c>
    </row>
    <row r="8" spans="1:7" ht="15.75" customHeight="1" x14ac:dyDescent="0.15">
      <c r="A8" s="19" t="s">
        <v>50</v>
      </c>
      <c r="B8" s="19">
        <v>2022</v>
      </c>
      <c r="D8" s="19">
        <v>1</v>
      </c>
      <c r="G8" s="19">
        <v>1</v>
      </c>
    </row>
    <row r="9" spans="1:7" ht="15.75" customHeight="1" x14ac:dyDescent="0.15">
      <c r="A9" s="19" t="s">
        <v>62</v>
      </c>
      <c r="B9" s="19">
        <v>2011</v>
      </c>
      <c r="C9" s="19">
        <v>1</v>
      </c>
      <c r="G9" s="19">
        <v>1</v>
      </c>
    </row>
    <row r="10" spans="1:7" ht="15.75" customHeight="1" x14ac:dyDescent="0.15">
      <c r="A10" s="19" t="s">
        <v>62</v>
      </c>
      <c r="B10" s="19">
        <v>2013</v>
      </c>
      <c r="D10" s="19">
        <v>1</v>
      </c>
      <c r="G10" s="19">
        <v>1</v>
      </c>
    </row>
    <row r="11" spans="1:7" ht="15.75" customHeight="1" x14ac:dyDescent="0.15">
      <c r="A11" s="19" t="s">
        <v>62</v>
      </c>
      <c r="B11" s="19">
        <v>2020</v>
      </c>
      <c r="D11" s="19">
        <v>1</v>
      </c>
      <c r="G11" s="19">
        <v>1</v>
      </c>
    </row>
    <row r="12" spans="1:7" ht="15.75" customHeight="1" x14ac:dyDescent="0.15">
      <c r="A12" s="19" t="s">
        <v>69</v>
      </c>
      <c r="B12" s="19">
        <v>2022</v>
      </c>
      <c r="C12" s="19">
        <v>1</v>
      </c>
      <c r="G12" s="19">
        <v>1</v>
      </c>
    </row>
    <row r="13" spans="1:7" s="20" customFormat="1" ht="15.75" customHeight="1" x14ac:dyDescent="0.15">
      <c r="A13" s="20" t="s">
        <v>69</v>
      </c>
      <c r="B13" s="20">
        <v>2023</v>
      </c>
      <c r="F13" s="20">
        <v>1</v>
      </c>
      <c r="G13" s="20">
        <v>1</v>
      </c>
    </row>
    <row r="14" spans="1:7" ht="15.75" customHeight="1" x14ac:dyDescent="0.15">
      <c r="A14" s="19" t="s">
        <v>85</v>
      </c>
      <c r="B14" s="19">
        <v>1985</v>
      </c>
      <c r="C14" s="19">
        <v>1</v>
      </c>
      <c r="G14" s="19">
        <v>1</v>
      </c>
    </row>
    <row r="15" spans="1:7" ht="15.75" customHeight="1" x14ac:dyDescent="0.15">
      <c r="A15" s="19" t="s">
        <v>85</v>
      </c>
      <c r="B15" s="39">
        <v>2009</v>
      </c>
      <c r="D15" s="39">
        <v>1</v>
      </c>
      <c r="G15" s="19">
        <v>1</v>
      </c>
    </row>
    <row r="16" spans="1:7" ht="15.75" customHeight="1" x14ac:dyDescent="0.15">
      <c r="A16" s="19" t="s">
        <v>450</v>
      </c>
      <c r="B16" s="19">
        <v>2015</v>
      </c>
      <c r="D16" s="19">
        <v>1</v>
      </c>
      <c r="G16" s="19">
        <v>1</v>
      </c>
    </row>
    <row r="17" spans="1:7" ht="15.75" customHeight="1" x14ac:dyDescent="0.15">
      <c r="A17" s="19" t="s">
        <v>450</v>
      </c>
      <c r="B17" s="19">
        <v>2020</v>
      </c>
      <c r="D17" s="19">
        <v>1</v>
      </c>
      <c r="G17" s="19">
        <v>1</v>
      </c>
    </row>
    <row r="18" spans="1:7" ht="15.75" customHeight="1" x14ac:dyDescent="0.15">
      <c r="A18" s="19" t="s">
        <v>450</v>
      </c>
      <c r="B18" s="19">
        <v>2022</v>
      </c>
      <c r="D18" s="19">
        <v>1</v>
      </c>
      <c r="G18" s="19">
        <v>1</v>
      </c>
    </row>
    <row r="19" spans="1:7" ht="15.75" customHeight="1" x14ac:dyDescent="0.15">
      <c r="A19" s="20" t="s">
        <v>450</v>
      </c>
      <c r="B19" s="20">
        <v>2023</v>
      </c>
      <c r="C19" s="20">
        <v>1</v>
      </c>
      <c r="D19" s="20"/>
      <c r="E19" s="20"/>
      <c r="F19" s="20"/>
      <c r="G19" s="20">
        <v>1</v>
      </c>
    </row>
    <row r="20" spans="1:7" ht="15.75" customHeight="1" x14ac:dyDescent="0.15">
      <c r="A20" s="19" t="s">
        <v>100</v>
      </c>
      <c r="B20" s="19">
        <v>2021</v>
      </c>
      <c r="C20" s="19">
        <v>1</v>
      </c>
      <c r="G20" s="19">
        <v>1</v>
      </c>
    </row>
    <row r="21" spans="1:7" ht="15.75" customHeight="1" x14ac:dyDescent="0.15">
      <c r="A21" s="19" t="s">
        <v>103</v>
      </c>
      <c r="B21" s="19">
        <v>1990</v>
      </c>
      <c r="C21" s="19">
        <v>1</v>
      </c>
      <c r="G21" s="19">
        <v>1</v>
      </c>
    </row>
    <row r="22" spans="1:7" ht="15.75" customHeight="1" x14ac:dyDescent="0.15">
      <c r="A22" s="19" t="s">
        <v>103</v>
      </c>
      <c r="B22" s="19">
        <v>2012</v>
      </c>
      <c r="C22" s="19">
        <v>1</v>
      </c>
      <c r="G22" s="19">
        <v>1</v>
      </c>
    </row>
    <row r="23" spans="1:7" s="20" customFormat="1" ht="15.75" customHeight="1" x14ac:dyDescent="0.15">
      <c r="A23" s="20" t="s">
        <v>103</v>
      </c>
      <c r="B23" s="20">
        <v>2023</v>
      </c>
      <c r="D23" s="20">
        <v>1</v>
      </c>
      <c r="G23" s="20">
        <v>1</v>
      </c>
    </row>
    <row r="24" spans="1:7" ht="15.75" customHeight="1" x14ac:dyDescent="0.15">
      <c r="A24" s="19" t="s">
        <v>107</v>
      </c>
      <c r="B24" s="19">
        <v>2012</v>
      </c>
      <c r="C24" s="19">
        <v>1</v>
      </c>
      <c r="G24" s="19">
        <v>1</v>
      </c>
    </row>
    <row r="25" spans="1:7" ht="15.75" customHeight="1" x14ac:dyDescent="0.15">
      <c r="A25" s="19" t="s">
        <v>107</v>
      </c>
      <c r="B25" s="19">
        <v>2022</v>
      </c>
      <c r="C25" s="19">
        <v>1</v>
      </c>
      <c r="G25" s="19">
        <v>1</v>
      </c>
    </row>
    <row r="26" spans="1:7" s="20" customFormat="1" ht="15.75" customHeight="1" x14ac:dyDescent="0.15">
      <c r="A26" s="20" t="s">
        <v>107</v>
      </c>
      <c r="B26" s="20">
        <v>2023</v>
      </c>
      <c r="F26" s="20">
        <v>1</v>
      </c>
      <c r="G26" s="20">
        <v>1</v>
      </c>
    </row>
    <row r="27" spans="1:7" ht="15.75" customHeight="1" x14ac:dyDescent="0.15">
      <c r="A27" s="19" t="s">
        <v>111</v>
      </c>
      <c r="B27" s="19">
        <v>1992</v>
      </c>
      <c r="C27" s="19">
        <v>1</v>
      </c>
      <c r="D27" s="19">
        <v>1</v>
      </c>
      <c r="G27" s="19">
        <v>2</v>
      </c>
    </row>
    <row r="28" spans="1:7" ht="15.75" customHeight="1" x14ac:dyDescent="0.15">
      <c r="A28" s="19" t="s">
        <v>471</v>
      </c>
      <c r="B28" s="19">
        <v>2012</v>
      </c>
      <c r="C28" s="19">
        <v>1</v>
      </c>
      <c r="G28" s="19">
        <v>1</v>
      </c>
    </row>
    <row r="29" spans="1:7" ht="15.75" customHeight="1" x14ac:dyDescent="0.15">
      <c r="A29" s="19" t="s">
        <v>111</v>
      </c>
      <c r="B29" s="19">
        <v>2019</v>
      </c>
      <c r="C29" s="19">
        <v>1</v>
      </c>
      <c r="G29" s="19">
        <v>1</v>
      </c>
    </row>
    <row r="30" spans="1:7" ht="15.75" customHeight="1" x14ac:dyDescent="0.15">
      <c r="A30" s="19" t="s">
        <v>115</v>
      </c>
      <c r="B30" s="19">
        <v>2004</v>
      </c>
      <c r="D30" s="19">
        <v>1</v>
      </c>
      <c r="G30" s="19">
        <v>1</v>
      </c>
    </row>
    <row r="31" spans="1:7" ht="15.75" customHeight="1" x14ac:dyDescent="0.15">
      <c r="A31" s="19" t="s">
        <v>115</v>
      </c>
      <c r="B31" s="19">
        <v>2014</v>
      </c>
      <c r="D31" s="19">
        <v>1</v>
      </c>
      <c r="G31" s="19">
        <v>1</v>
      </c>
    </row>
    <row r="32" spans="1:7" ht="15.75" customHeight="1" x14ac:dyDescent="0.15">
      <c r="A32" s="19" t="s">
        <v>115</v>
      </c>
      <c r="B32" s="19">
        <v>2019</v>
      </c>
      <c r="D32" s="19">
        <v>1</v>
      </c>
      <c r="G32" s="19">
        <v>1</v>
      </c>
    </row>
    <row r="33" spans="1:7" ht="15.75" customHeight="1" x14ac:dyDescent="0.15">
      <c r="A33" s="19" t="s">
        <v>115</v>
      </c>
      <c r="B33" s="19">
        <v>2020</v>
      </c>
      <c r="C33" s="19">
        <v>1</v>
      </c>
      <c r="D33" s="19">
        <v>1</v>
      </c>
      <c r="G33" s="19">
        <v>2</v>
      </c>
    </row>
    <row r="34" spans="1:7" ht="15.75" customHeight="1" x14ac:dyDescent="0.15">
      <c r="A34" s="19" t="s">
        <v>115</v>
      </c>
      <c r="B34" s="19">
        <v>2022</v>
      </c>
      <c r="D34" s="19">
        <v>1</v>
      </c>
      <c r="G34" s="19">
        <v>1</v>
      </c>
    </row>
    <row r="35" spans="1:7" s="20" customFormat="1" ht="15.75" customHeight="1" x14ac:dyDescent="0.15">
      <c r="A35" s="20" t="s">
        <v>115</v>
      </c>
      <c r="B35" s="20">
        <v>2023</v>
      </c>
      <c r="D35" s="20">
        <v>2</v>
      </c>
      <c r="F35" s="20">
        <v>1</v>
      </c>
      <c r="G35" s="20">
        <v>3</v>
      </c>
    </row>
    <row r="36" spans="1:7" ht="15.75" customHeight="1" x14ac:dyDescent="0.15">
      <c r="A36" s="19" t="s">
        <v>122</v>
      </c>
      <c r="B36" s="19">
        <v>2013</v>
      </c>
      <c r="C36" s="19">
        <v>2</v>
      </c>
      <c r="G36" s="19">
        <v>2</v>
      </c>
    </row>
    <row r="37" spans="1:7" ht="15.75" customHeight="1" x14ac:dyDescent="0.15">
      <c r="A37" s="19" t="s">
        <v>122</v>
      </c>
      <c r="B37" s="19">
        <v>2017</v>
      </c>
      <c r="C37" s="19">
        <v>0</v>
      </c>
      <c r="D37" s="19">
        <v>1</v>
      </c>
      <c r="G37" s="19">
        <v>1</v>
      </c>
    </row>
    <row r="38" spans="1:7" ht="15.75" customHeight="1" x14ac:dyDescent="0.15">
      <c r="A38" s="19" t="s">
        <v>122</v>
      </c>
      <c r="B38" s="19">
        <v>2020</v>
      </c>
      <c r="C38" s="19" t="s">
        <v>489</v>
      </c>
      <c r="D38" s="19">
        <v>1</v>
      </c>
      <c r="G38" s="19">
        <v>1</v>
      </c>
    </row>
    <row r="39" spans="1:7" ht="15.75" customHeight="1" x14ac:dyDescent="0.15">
      <c r="A39" s="19" t="s">
        <v>126</v>
      </c>
      <c r="B39" s="19">
        <v>1990</v>
      </c>
      <c r="C39" s="19">
        <v>1</v>
      </c>
      <c r="G39" s="19">
        <v>1</v>
      </c>
    </row>
    <row r="40" spans="1:7" ht="15.75" customHeight="1" x14ac:dyDescent="0.15">
      <c r="A40" s="19" t="s">
        <v>500</v>
      </c>
      <c r="B40" s="19">
        <v>2018</v>
      </c>
      <c r="C40" s="19">
        <v>1</v>
      </c>
      <c r="D40" s="19">
        <v>1</v>
      </c>
      <c r="G40" s="19">
        <v>2</v>
      </c>
    </row>
    <row r="41" spans="1:7" ht="15.75" customHeight="1" x14ac:dyDescent="0.15">
      <c r="A41" s="19" t="s">
        <v>500</v>
      </c>
      <c r="B41" s="19">
        <v>2020</v>
      </c>
      <c r="D41" s="19">
        <v>1</v>
      </c>
      <c r="G41" s="19">
        <v>1</v>
      </c>
    </row>
    <row r="42" spans="1:7" s="20" customFormat="1" ht="15.75" customHeight="1" x14ac:dyDescent="0.15">
      <c r="A42" s="20" t="s">
        <v>500</v>
      </c>
      <c r="B42" s="20">
        <v>2023</v>
      </c>
      <c r="D42" s="20">
        <v>1</v>
      </c>
      <c r="G42" s="20">
        <v>1</v>
      </c>
    </row>
    <row r="43" spans="1:7" ht="15.75" customHeight="1" x14ac:dyDescent="0.15">
      <c r="A43" s="20" t="s">
        <v>132</v>
      </c>
      <c r="B43" s="20">
        <v>2023</v>
      </c>
      <c r="C43" s="20">
        <v>1</v>
      </c>
      <c r="D43" s="20"/>
      <c r="E43" s="20"/>
      <c r="F43" s="20"/>
      <c r="G43" s="20">
        <v>1</v>
      </c>
    </row>
    <row r="44" spans="1:7" ht="15.75" customHeight="1" x14ac:dyDescent="0.15">
      <c r="A44" s="19" t="s">
        <v>136</v>
      </c>
      <c r="B44" s="19">
        <v>2019</v>
      </c>
      <c r="C44" s="19">
        <v>1</v>
      </c>
      <c r="E44" s="19">
        <v>1</v>
      </c>
      <c r="G44" s="19">
        <v>2</v>
      </c>
    </row>
    <row r="45" spans="1:7" ht="15.75" customHeight="1" x14ac:dyDescent="0.15">
      <c r="A45" s="19" t="s">
        <v>136</v>
      </c>
      <c r="B45" s="19">
        <v>2022</v>
      </c>
      <c r="C45" s="19">
        <v>1</v>
      </c>
      <c r="G45" s="19">
        <v>1</v>
      </c>
    </row>
    <row r="46" spans="1:7" ht="15.75" customHeight="1" x14ac:dyDescent="0.15">
      <c r="A46" s="19" t="s">
        <v>140</v>
      </c>
      <c r="B46" s="19">
        <v>2012</v>
      </c>
      <c r="C46" s="19">
        <v>1</v>
      </c>
      <c r="G46" s="19">
        <v>1</v>
      </c>
    </row>
    <row r="47" spans="1:7" ht="15.75" customHeight="1" x14ac:dyDescent="0.15">
      <c r="A47" s="19" t="s">
        <v>140</v>
      </c>
      <c r="B47" s="19">
        <v>2014</v>
      </c>
      <c r="E47" s="19">
        <v>4</v>
      </c>
      <c r="G47" s="19">
        <v>4</v>
      </c>
    </row>
    <row r="48" spans="1:7" ht="15.75" customHeight="1" x14ac:dyDescent="0.15">
      <c r="A48" s="19" t="s">
        <v>140</v>
      </c>
      <c r="B48" s="19">
        <v>2015</v>
      </c>
      <c r="E48" s="19">
        <v>1</v>
      </c>
      <c r="G48" s="19">
        <v>1</v>
      </c>
    </row>
    <row r="49" spans="1:7" ht="15.75" customHeight="1" x14ac:dyDescent="0.15">
      <c r="A49" s="19" t="s">
        <v>521</v>
      </c>
      <c r="B49" s="19">
        <v>2017</v>
      </c>
      <c r="D49" s="19">
        <v>1</v>
      </c>
      <c r="G49" s="19">
        <v>1</v>
      </c>
    </row>
    <row r="50" spans="1:7" ht="15.75" customHeight="1" x14ac:dyDescent="0.15">
      <c r="A50" s="19" t="s">
        <v>140</v>
      </c>
      <c r="B50" s="19">
        <v>2019</v>
      </c>
      <c r="D50" s="19">
        <v>3</v>
      </c>
      <c r="G50" s="19">
        <v>3</v>
      </c>
    </row>
    <row r="51" spans="1:7" ht="15.75" customHeight="1" x14ac:dyDescent="0.15">
      <c r="A51" s="19" t="s">
        <v>140</v>
      </c>
      <c r="B51" s="19">
        <v>2019</v>
      </c>
      <c r="D51" s="19">
        <v>1</v>
      </c>
      <c r="G51" s="19">
        <v>1</v>
      </c>
    </row>
    <row r="52" spans="1:7" ht="15.75" customHeight="1" x14ac:dyDescent="0.15">
      <c r="A52" s="19" t="s">
        <v>140</v>
      </c>
      <c r="B52" s="19">
        <v>2020</v>
      </c>
      <c r="D52" s="19">
        <v>1</v>
      </c>
      <c r="G52" s="19">
        <v>1</v>
      </c>
    </row>
    <row r="53" spans="1:7" ht="15.75" customHeight="1" x14ac:dyDescent="0.15">
      <c r="A53" s="19" t="s">
        <v>140</v>
      </c>
      <c r="B53" s="19">
        <v>2021</v>
      </c>
      <c r="D53" s="19">
        <v>1</v>
      </c>
      <c r="G53" s="19">
        <v>1</v>
      </c>
    </row>
    <row r="54" spans="1:7" ht="15.75" customHeight="1" x14ac:dyDescent="0.15">
      <c r="A54" s="19" t="s">
        <v>140</v>
      </c>
      <c r="B54" s="19">
        <v>2022</v>
      </c>
      <c r="C54" s="19">
        <v>1</v>
      </c>
      <c r="D54" s="19">
        <v>2</v>
      </c>
      <c r="G54" s="19">
        <v>3</v>
      </c>
    </row>
    <row r="55" spans="1:7" ht="15.75" customHeight="1" x14ac:dyDescent="0.15">
      <c r="A55" s="19" t="s">
        <v>148</v>
      </c>
      <c r="B55" s="19">
        <v>1960</v>
      </c>
      <c r="C55" s="19">
        <v>1</v>
      </c>
      <c r="G55" s="19">
        <v>1</v>
      </c>
    </row>
    <row r="56" spans="1:7" ht="15.75" customHeight="1" x14ac:dyDescent="0.15">
      <c r="A56" s="19" t="s">
        <v>148</v>
      </c>
      <c r="B56" s="19">
        <v>1980</v>
      </c>
      <c r="D56" s="19">
        <v>2</v>
      </c>
      <c r="G56" s="19">
        <v>2</v>
      </c>
    </row>
    <row r="57" spans="1:7" ht="15.75" customHeight="1" x14ac:dyDescent="0.15">
      <c r="A57" s="19" t="s">
        <v>148</v>
      </c>
      <c r="B57" s="19">
        <v>2017</v>
      </c>
      <c r="G57" s="19">
        <v>0</v>
      </c>
    </row>
    <row r="58" spans="1:7" ht="15.75" customHeight="1" x14ac:dyDescent="0.15">
      <c r="A58" s="19" t="s">
        <v>148</v>
      </c>
      <c r="B58" s="19">
        <v>2019</v>
      </c>
      <c r="D58" s="19">
        <v>1</v>
      </c>
      <c r="G58" s="19">
        <v>1</v>
      </c>
    </row>
    <row r="59" spans="1:7" ht="15.75" customHeight="1" x14ac:dyDescent="0.15">
      <c r="A59" s="19" t="s">
        <v>148</v>
      </c>
      <c r="B59" s="19">
        <v>2022</v>
      </c>
      <c r="C59" s="19">
        <v>1</v>
      </c>
      <c r="G59" s="19">
        <v>1</v>
      </c>
    </row>
    <row r="60" spans="1:7" ht="15.75" customHeight="1" x14ac:dyDescent="0.15">
      <c r="A60" s="19" t="s">
        <v>152</v>
      </c>
      <c r="B60" s="19">
        <v>2000</v>
      </c>
      <c r="C60" s="19">
        <v>1</v>
      </c>
      <c r="G60" s="19">
        <v>1</v>
      </c>
    </row>
    <row r="61" spans="1:7" ht="15.75" customHeight="1" x14ac:dyDescent="0.15">
      <c r="A61" s="19" t="s">
        <v>152</v>
      </c>
      <c r="B61" s="19">
        <v>2002</v>
      </c>
      <c r="D61" s="19">
        <v>1</v>
      </c>
      <c r="G61" s="19">
        <v>1</v>
      </c>
    </row>
    <row r="62" spans="1:7" ht="15.75" customHeight="1" x14ac:dyDescent="0.15">
      <c r="A62" s="19" t="s">
        <v>152</v>
      </c>
      <c r="B62" s="19">
        <v>2003</v>
      </c>
      <c r="C62" s="19" t="s">
        <v>489</v>
      </c>
      <c r="D62" s="19">
        <v>2</v>
      </c>
      <c r="G62" s="19">
        <v>2</v>
      </c>
    </row>
    <row r="63" spans="1:7" ht="15.75" customHeight="1" x14ac:dyDescent="0.15">
      <c r="A63" s="19" t="s">
        <v>152</v>
      </c>
      <c r="B63" s="19">
        <v>2004</v>
      </c>
      <c r="D63" s="19">
        <v>2</v>
      </c>
      <c r="G63" s="19">
        <v>2</v>
      </c>
    </row>
    <row r="64" spans="1:7" ht="15.75" customHeight="1" x14ac:dyDescent="0.15">
      <c r="A64" s="19" t="s">
        <v>152</v>
      </c>
      <c r="B64" s="19">
        <v>2005</v>
      </c>
      <c r="D64" s="19">
        <v>3</v>
      </c>
      <c r="G64" s="19">
        <v>3</v>
      </c>
    </row>
    <row r="65" spans="1:7" ht="15.75" customHeight="1" x14ac:dyDescent="0.15">
      <c r="A65" s="19" t="s">
        <v>152</v>
      </c>
      <c r="B65" s="19">
        <v>2006</v>
      </c>
      <c r="D65" s="19">
        <v>3</v>
      </c>
      <c r="G65" s="19">
        <v>3</v>
      </c>
    </row>
    <row r="66" spans="1:7" ht="15.75" customHeight="1" x14ac:dyDescent="0.15">
      <c r="A66" s="19" t="s">
        <v>152</v>
      </c>
      <c r="B66" s="19">
        <v>2007</v>
      </c>
      <c r="D66" s="19">
        <v>2</v>
      </c>
      <c r="G66" s="19">
        <v>2</v>
      </c>
    </row>
    <row r="67" spans="1:7" ht="15.75" customHeight="1" x14ac:dyDescent="0.15">
      <c r="A67" s="19" t="s">
        <v>152</v>
      </c>
      <c r="B67" s="19">
        <v>2008</v>
      </c>
      <c r="D67" s="19">
        <v>2</v>
      </c>
      <c r="G67" s="19">
        <v>2</v>
      </c>
    </row>
    <row r="68" spans="1:7" ht="15.75" customHeight="1" x14ac:dyDescent="0.15">
      <c r="A68" s="19" t="s">
        <v>152</v>
      </c>
      <c r="B68" s="19">
        <v>2009</v>
      </c>
      <c r="D68" s="19">
        <v>1</v>
      </c>
      <c r="G68" s="19">
        <v>1</v>
      </c>
    </row>
    <row r="69" spans="1:7" ht="15.75" customHeight="1" x14ac:dyDescent="0.15">
      <c r="A69" s="19" t="s">
        <v>152</v>
      </c>
      <c r="B69" s="19">
        <v>2010</v>
      </c>
      <c r="D69" s="19">
        <v>1</v>
      </c>
      <c r="G69" s="19">
        <v>1</v>
      </c>
    </row>
    <row r="70" spans="1:7" ht="15.75" customHeight="1" x14ac:dyDescent="0.15">
      <c r="A70" s="19" t="s">
        <v>152</v>
      </c>
      <c r="B70" s="19">
        <v>2013</v>
      </c>
      <c r="D70" s="19">
        <v>1</v>
      </c>
      <c r="G70" s="19">
        <v>1</v>
      </c>
    </row>
    <row r="71" spans="1:7" ht="15.75" customHeight="1" x14ac:dyDescent="0.15">
      <c r="A71" s="19" t="s">
        <v>152</v>
      </c>
      <c r="B71" s="19">
        <v>2014</v>
      </c>
      <c r="D71" s="19">
        <v>2</v>
      </c>
      <c r="G71" s="19">
        <v>2</v>
      </c>
    </row>
    <row r="72" spans="1:7" ht="15.75" customHeight="1" x14ac:dyDescent="0.15">
      <c r="A72" s="19" t="s">
        <v>152</v>
      </c>
      <c r="B72" s="19">
        <v>2016</v>
      </c>
      <c r="D72" s="19">
        <v>2</v>
      </c>
      <c r="G72" s="19">
        <v>2</v>
      </c>
    </row>
    <row r="73" spans="1:7" ht="15.75" customHeight="1" x14ac:dyDescent="0.15">
      <c r="A73" s="19" t="s">
        <v>152</v>
      </c>
      <c r="B73" s="19">
        <v>2017</v>
      </c>
      <c r="D73" s="19">
        <v>4</v>
      </c>
      <c r="G73" s="19">
        <v>4</v>
      </c>
    </row>
    <row r="74" spans="1:7" ht="15.75" customHeight="1" x14ac:dyDescent="0.15">
      <c r="A74" s="19" t="s">
        <v>152</v>
      </c>
      <c r="B74" s="19">
        <v>2018</v>
      </c>
      <c r="D74" s="19">
        <v>1</v>
      </c>
      <c r="G74" s="19">
        <v>1</v>
      </c>
    </row>
    <row r="75" spans="1:7" ht="15.75" customHeight="1" x14ac:dyDescent="0.15">
      <c r="A75" s="19" t="s">
        <v>152</v>
      </c>
      <c r="B75" s="19">
        <v>2020</v>
      </c>
      <c r="D75" s="19">
        <v>1</v>
      </c>
      <c r="G75" s="19">
        <v>1</v>
      </c>
    </row>
    <row r="76" spans="1:7" ht="15.75" customHeight="1" x14ac:dyDescent="0.15">
      <c r="A76" s="19" t="s">
        <v>154</v>
      </c>
      <c r="B76" s="19">
        <v>2002</v>
      </c>
      <c r="C76" s="19">
        <v>1</v>
      </c>
      <c r="G76" s="19">
        <v>1</v>
      </c>
    </row>
    <row r="77" spans="1:7" ht="15.75" customHeight="1" x14ac:dyDescent="0.15">
      <c r="A77" s="19" t="s">
        <v>154</v>
      </c>
      <c r="B77" s="19">
        <v>2018</v>
      </c>
      <c r="D77" s="19">
        <v>1</v>
      </c>
      <c r="G77" s="19">
        <v>1</v>
      </c>
    </row>
    <row r="78" spans="1:7" s="20" customFormat="1" ht="15.75" customHeight="1" x14ac:dyDescent="0.15">
      <c r="A78" s="20" t="s">
        <v>156</v>
      </c>
      <c r="B78" s="20">
        <v>2023</v>
      </c>
      <c r="C78" s="20">
        <v>1</v>
      </c>
      <c r="G78" s="20">
        <v>1</v>
      </c>
    </row>
    <row r="79" spans="1:7" ht="15.75" customHeight="1" x14ac:dyDescent="0.15">
      <c r="A79" s="19" t="s">
        <v>158</v>
      </c>
      <c r="B79" s="19">
        <v>2006</v>
      </c>
      <c r="D79" s="19">
        <v>1</v>
      </c>
      <c r="G79" s="19">
        <v>1</v>
      </c>
    </row>
    <row r="80" spans="1:7" ht="15.75" customHeight="1" x14ac:dyDescent="0.15">
      <c r="A80" s="19" t="s">
        <v>158</v>
      </c>
      <c r="B80" s="19">
        <v>2008</v>
      </c>
      <c r="D80" s="19">
        <v>1</v>
      </c>
      <c r="G80" s="19">
        <v>1</v>
      </c>
    </row>
    <row r="81" spans="1:7" ht="15.75" customHeight="1" x14ac:dyDescent="0.15">
      <c r="A81" s="19" t="s">
        <v>158</v>
      </c>
      <c r="B81" s="19">
        <v>1993</v>
      </c>
      <c r="C81" s="19">
        <v>1</v>
      </c>
      <c r="D81" s="19">
        <v>1</v>
      </c>
      <c r="G81" s="19">
        <v>2</v>
      </c>
    </row>
    <row r="82" spans="1:7" ht="15.75" customHeight="1" x14ac:dyDescent="0.15">
      <c r="A82" s="19" t="s">
        <v>158</v>
      </c>
      <c r="B82" s="19">
        <v>1995</v>
      </c>
      <c r="D82" s="19">
        <v>2</v>
      </c>
      <c r="G82" s="19">
        <v>2</v>
      </c>
    </row>
    <row r="83" spans="1:7" ht="15.75" customHeight="1" x14ac:dyDescent="0.15">
      <c r="A83" s="19" t="s">
        <v>158</v>
      </c>
      <c r="B83" s="19">
        <v>1996</v>
      </c>
      <c r="D83" s="19">
        <v>1</v>
      </c>
      <c r="G83" s="19">
        <v>1</v>
      </c>
    </row>
    <row r="84" spans="1:7" ht="15.75" customHeight="1" x14ac:dyDescent="0.15">
      <c r="A84" s="19" t="s">
        <v>158</v>
      </c>
      <c r="B84" s="19">
        <v>1998</v>
      </c>
      <c r="D84" s="19">
        <v>1</v>
      </c>
      <c r="G84" s="19">
        <v>1</v>
      </c>
    </row>
    <row r="85" spans="1:7" ht="15.75" customHeight="1" x14ac:dyDescent="0.15">
      <c r="A85" s="19" t="s">
        <v>158</v>
      </c>
      <c r="B85" s="19">
        <v>1999</v>
      </c>
      <c r="D85" s="19">
        <v>1</v>
      </c>
      <c r="G85" s="19">
        <v>1</v>
      </c>
    </row>
    <row r="86" spans="1:7" ht="15.75" customHeight="1" x14ac:dyDescent="0.15">
      <c r="A86" s="19" t="s">
        <v>158</v>
      </c>
      <c r="B86" s="19">
        <v>2020</v>
      </c>
      <c r="D86" s="19">
        <v>1</v>
      </c>
      <c r="G86" s="19">
        <v>1</v>
      </c>
    </row>
    <row r="87" spans="1:7" ht="15.75" customHeight="1" x14ac:dyDescent="0.15">
      <c r="A87" s="19" t="s">
        <v>555</v>
      </c>
      <c r="B87" s="19">
        <v>2001</v>
      </c>
      <c r="D87" s="19">
        <v>1</v>
      </c>
      <c r="G87" s="19">
        <v>1</v>
      </c>
    </row>
    <row r="88" spans="1:7" ht="15.75" customHeight="1" x14ac:dyDescent="0.15">
      <c r="A88" s="19" t="s">
        <v>555</v>
      </c>
      <c r="B88" s="19">
        <v>2011</v>
      </c>
      <c r="D88" s="19">
        <v>2</v>
      </c>
      <c r="G88" s="19">
        <v>2</v>
      </c>
    </row>
    <row r="89" spans="1:7" ht="15.75" customHeight="1" x14ac:dyDescent="0.15">
      <c r="A89" s="19" t="s">
        <v>555</v>
      </c>
      <c r="B89" s="19">
        <v>2012</v>
      </c>
      <c r="D89" s="19">
        <v>1</v>
      </c>
      <c r="G89" s="19">
        <v>1</v>
      </c>
    </row>
    <row r="90" spans="1:7" ht="15.75" customHeight="1" x14ac:dyDescent="0.15">
      <c r="A90" s="19" t="s">
        <v>555</v>
      </c>
      <c r="B90" s="19">
        <v>2014</v>
      </c>
      <c r="D90" s="19">
        <v>3</v>
      </c>
      <c r="G90" s="19">
        <v>3</v>
      </c>
    </row>
    <row r="91" spans="1:7" ht="15.75" customHeight="1" x14ac:dyDescent="0.15">
      <c r="A91" s="19" t="s">
        <v>161</v>
      </c>
      <c r="B91" s="19">
        <v>1998</v>
      </c>
      <c r="C91" s="19">
        <v>1</v>
      </c>
      <c r="G91" s="19">
        <v>1</v>
      </c>
    </row>
    <row r="92" spans="1:7" ht="15.75" customHeight="1" x14ac:dyDescent="0.15">
      <c r="A92" s="19" t="s">
        <v>161</v>
      </c>
      <c r="B92" s="19">
        <v>2000</v>
      </c>
      <c r="C92" s="19">
        <v>1</v>
      </c>
      <c r="G92" s="19">
        <v>1</v>
      </c>
    </row>
    <row r="93" spans="1:7" s="20" customFormat="1" ht="15.75" customHeight="1" x14ac:dyDescent="0.15">
      <c r="A93" s="20" t="s">
        <v>161</v>
      </c>
      <c r="B93" s="20">
        <v>2023</v>
      </c>
      <c r="C93" s="20">
        <v>1</v>
      </c>
      <c r="F93" s="20">
        <v>1</v>
      </c>
      <c r="G93" s="20">
        <v>2</v>
      </c>
    </row>
    <row r="94" spans="1:7" ht="15.75" customHeight="1" x14ac:dyDescent="0.15">
      <c r="A94" s="19" t="s">
        <v>164</v>
      </c>
      <c r="B94" s="19">
        <v>1964</v>
      </c>
      <c r="C94" s="19">
        <v>1</v>
      </c>
      <c r="G94" s="19">
        <v>1</v>
      </c>
    </row>
    <row r="95" spans="1:7" ht="15.75" customHeight="1" x14ac:dyDescent="0.15">
      <c r="A95" s="19" t="s">
        <v>164</v>
      </c>
      <c r="B95" s="19">
        <v>1973</v>
      </c>
      <c r="C95" s="19">
        <v>1</v>
      </c>
      <c r="G95" s="19">
        <v>1</v>
      </c>
    </row>
    <row r="96" spans="1:7" ht="15.75" customHeight="1" x14ac:dyDescent="0.15">
      <c r="A96" s="19" t="s">
        <v>164</v>
      </c>
      <c r="B96" s="19">
        <v>1995</v>
      </c>
      <c r="C96" s="19">
        <v>1</v>
      </c>
      <c r="G96" s="19">
        <v>1</v>
      </c>
    </row>
    <row r="97" spans="1:7" ht="15.75" customHeight="1" x14ac:dyDescent="0.15">
      <c r="A97" s="19" t="s">
        <v>164</v>
      </c>
      <c r="B97" s="19">
        <v>2005</v>
      </c>
      <c r="C97" s="19">
        <v>2</v>
      </c>
      <c r="G97" s="19">
        <v>2</v>
      </c>
    </row>
    <row r="98" spans="1:7" ht="15.75" customHeight="1" x14ac:dyDescent="0.15">
      <c r="A98" s="19" t="s">
        <v>164</v>
      </c>
      <c r="B98" s="19">
        <v>2018</v>
      </c>
      <c r="D98" s="19">
        <v>1</v>
      </c>
      <c r="G98" s="19">
        <v>1</v>
      </c>
    </row>
    <row r="99" spans="1:7" ht="15.75" customHeight="1" x14ac:dyDescent="0.15">
      <c r="A99" s="19" t="s">
        <v>164</v>
      </c>
      <c r="B99" s="19">
        <v>2020</v>
      </c>
      <c r="D99" s="19">
        <v>1</v>
      </c>
      <c r="G99" s="19">
        <v>1</v>
      </c>
    </row>
    <row r="100" spans="1:7" ht="15.75" customHeight="1" x14ac:dyDescent="0.15">
      <c r="A100" s="19" t="s">
        <v>164</v>
      </c>
      <c r="B100" s="19">
        <v>2021</v>
      </c>
      <c r="D100" s="19">
        <v>6</v>
      </c>
      <c r="G100" s="19">
        <v>6</v>
      </c>
    </row>
    <row r="101" spans="1:7" ht="15.75" customHeight="1" x14ac:dyDescent="0.15">
      <c r="A101" s="19" t="s">
        <v>164</v>
      </c>
      <c r="B101" s="19">
        <v>2022</v>
      </c>
      <c r="D101" s="19">
        <v>1</v>
      </c>
      <c r="G101" s="19">
        <v>1</v>
      </c>
    </row>
    <row r="102" spans="1:7" ht="15.75" customHeight="1" x14ac:dyDescent="0.15">
      <c r="A102" s="19" t="s">
        <v>169</v>
      </c>
      <c r="B102" s="19">
        <v>2018</v>
      </c>
      <c r="C102" s="19">
        <v>1</v>
      </c>
      <c r="G102" s="19">
        <v>1</v>
      </c>
    </row>
    <row r="103" spans="1:7" ht="15.75" customHeight="1" x14ac:dyDescent="0.15">
      <c r="A103" s="19" t="s">
        <v>171</v>
      </c>
      <c r="B103" s="19">
        <v>1920</v>
      </c>
      <c r="C103" s="19">
        <v>1</v>
      </c>
      <c r="G103" s="19">
        <v>1</v>
      </c>
    </row>
    <row r="104" spans="1:7" ht="15.75" customHeight="1" x14ac:dyDescent="0.15">
      <c r="A104" s="19" t="s">
        <v>171</v>
      </c>
      <c r="B104" s="19">
        <v>2015</v>
      </c>
      <c r="C104" s="19">
        <v>1</v>
      </c>
      <c r="D104" s="19">
        <v>1</v>
      </c>
      <c r="G104" s="19">
        <v>2</v>
      </c>
    </row>
    <row r="105" spans="1:7" ht="15.75" customHeight="1" x14ac:dyDescent="0.15">
      <c r="A105" s="19" t="s">
        <v>171</v>
      </c>
      <c r="B105" s="19">
        <v>2016</v>
      </c>
      <c r="D105" s="19">
        <v>2</v>
      </c>
      <c r="G105" s="19">
        <v>2</v>
      </c>
    </row>
    <row r="106" spans="1:7" ht="15.75" customHeight="1" x14ac:dyDescent="0.15">
      <c r="A106" s="19" t="s">
        <v>171</v>
      </c>
      <c r="B106" s="19">
        <v>2020</v>
      </c>
      <c r="E106" s="19">
        <v>1</v>
      </c>
      <c r="G106" s="19">
        <v>1</v>
      </c>
    </row>
    <row r="107" spans="1:7" ht="15.75" customHeight="1" x14ac:dyDescent="0.15">
      <c r="A107" s="19" t="s">
        <v>171</v>
      </c>
      <c r="B107" s="19">
        <v>2022</v>
      </c>
      <c r="C107" s="19">
        <v>1</v>
      </c>
      <c r="G107" s="19">
        <v>1</v>
      </c>
    </row>
    <row r="108" spans="1:7" ht="15.75" customHeight="1" x14ac:dyDescent="0.15">
      <c r="A108" s="19" t="s">
        <v>173</v>
      </c>
      <c r="B108" s="19">
        <v>2014</v>
      </c>
      <c r="C108" s="19">
        <v>1</v>
      </c>
      <c r="G108" s="19">
        <v>1</v>
      </c>
    </row>
    <row r="109" spans="1:7" ht="15.75" customHeight="1" x14ac:dyDescent="0.15">
      <c r="A109" s="19" t="s">
        <v>173</v>
      </c>
      <c r="B109" s="19">
        <v>2020</v>
      </c>
      <c r="C109" s="19" t="s">
        <v>489</v>
      </c>
      <c r="D109" s="19">
        <v>1</v>
      </c>
      <c r="G109" s="19">
        <v>1</v>
      </c>
    </row>
    <row r="110" spans="1:7" ht="15.75" customHeight="1" x14ac:dyDescent="0.15">
      <c r="A110" s="19" t="s">
        <v>176</v>
      </c>
      <c r="B110" s="19">
        <v>2022</v>
      </c>
      <c r="C110" s="19">
        <v>1</v>
      </c>
      <c r="G110" s="19">
        <v>1</v>
      </c>
    </row>
    <row r="111" spans="1:7" ht="15.75" customHeight="1" x14ac:dyDescent="0.15">
      <c r="A111" s="20" t="s">
        <v>176</v>
      </c>
      <c r="B111" s="20">
        <v>2023</v>
      </c>
      <c r="C111" s="20"/>
      <c r="D111" s="20"/>
      <c r="E111" s="20"/>
      <c r="F111" s="20">
        <v>1</v>
      </c>
      <c r="G111" s="20">
        <v>1</v>
      </c>
    </row>
    <row r="112" spans="1:7" ht="15.75" customHeight="1" x14ac:dyDescent="0.15">
      <c r="A112" s="19" t="s">
        <v>177</v>
      </c>
      <c r="B112" s="19">
        <v>2020</v>
      </c>
      <c r="C112" s="19">
        <v>1</v>
      </c>
      <c r="G112" s="19">
        <v>1</v>
      </c>
    </row>
    <row r="113" spans="1:7" s="40" customFormat="1" ht="15.75" customHeight="1" x14ac:dyDescent="0.15">
      <c r="A113" s="40" t="s">
        <v>181</v>
      </c>
      <c r="B113" s="40">
        <v>2022</v>
      </c>
      <c r="C113" s="40">
        <v>1</v>
      </c>
      <c r="G113" s="40">
        <v>1</v>
      </c>
    </row>
    <row r="114" spans="1:7" ht="15.75" customHeight="1" x14ac:dyDescent="0.15">
      <c r="A114" s="19" t="s">
        <v>606</v>
      </c>
      <c r="B114" s="19">
        <v>1998</v>
      </c>
      <c r="C114" s="19">
        <v>2</v>
      </c>
      <c r="G114" s="19">
        <v>2</v>
      </c>
    </row>
    <row r="115" spans="1:7" ht="15.75" customHeight="1" x14ac:dyDescent="0.15">
      <c r="A115" s="19" t="s">
        <v>606</v>
      </c>
      <c r="B115" s="19">
        <v>2008</v>
      </c>
      <c r="D115" s="19">
        <v>1</v>
      </c>
      <c r="G115" s="19">
        <v>1</v>
      </c>
    </row>
    <row r="116" spans="1:7" ht="15.75" customHeight="1" x14ac:dyDescent="0.15">
      <c r="A116" s="19" t="s">
        <v>606</v>
      </c>
      <c r="B116" s="19">
        <v>2011</v>
      </c>
      <c r="C116" s="19">
        <v>1</v>
      </c>
      <c r="G116" s="19">
        <v>1</v>
      </c>
    </row>
    <row r="117" spans="1:7" ht="15.75" customHeight="1" x14ac:dyDescent="0.15">
      <c r="A117" s="19" t="s">
        <v>606</v>
      </c>
      <c r="B117" s="19">
        <v>2012</v>
      </c>
      <c r="G117" s="19">
        <v>0</v>
      </c>
    </row>
    <row r="118" spans="1:7" ht="15.75" customHeight="1" x14ac:dyDescent="0.15">
      <c r="A118" s="19" t="s">
        <v>606</v>
      </c>
      <c r="B118" s="19">
        <v>2019</v>
      </c>
      <c r="D118" s="19">
        <v>1</v>
      </c>
      <c r="G118" s="19">
        <v>1</v>
      </c>
    </row>
    <row r="119" spans="1:7" ht="15.75" customHeight="1" x14ac:dyDescent="0.15">
      <c r="A119" s="19" t="s">
        <v>606</v>
      </c>
      <c r="B119" s="19">
        <v>2020</v>
      </c>
      <c r="D119" s="19">
        <v>1</v>
      </c>
      <c r="G119" s="19">
        <v>1</v>
      </c>
    </row>
    <row r="120" spans="1:7" ht="15.75" customHeight="1" x14ac:dyDescent="0.15">
      <c r="A120" s="19" t="s">
        <v>606</v>
      </c>
      <c r="B120" s="19">
        <v>2022</v>
      </c>
      <c r="C120" s="19">
        <v>1</v>
      </c>
      <c r="G120" s="19">
        <v>1</v>
      </c>
    </row>
    <row r="121" spans="1:7" s="20" customFormat="1" ht="15.75" customHeight="1" x14ac:dyDescent="0.15">
      <c r="A121" s="20" t="s">
        <v>185</v>
      </c>
      <c r="B121" s="20">
        <v>2023</v>
      </c>
      <c r="C121" s="20">
        <v>1</v>
      </c>
      <c r="F121" s="20">
        <v>1</v>
      </c>
      <c r="G121" s="20">
        <v>2</v>
      </c>
    </row>
    <row r="122" spans="1:7" ht="15.75" customHeight="1" x14ac:dyDescent="0.15">
      <c r="A122" s="19" t="s">
        <v>189</v>
      </c>
      <c r="B122" s="19">
        <v>1982</v>
      </c>
      <c r="C122" s="19">
        <v>1</v>
      </c>
      <c r="G122" s="19">
        <v>1</v>
      </c>
    </row>
    <row r="123" spans="1:7" ht="15.75" customHeight="1" x14ac:dyDescent="0.15">
      <c r="A123" s="19" t="s">
        <v>191</v>
      </c>
      <c r="B123" s="19">
        <v>2002</v>
      </c>
      <c r="C123" s="19">
        <v>1</v>
      </c>
      <c r="G123" s="19">
        <v>1</v>
      </c>
    </row>
    <row r="124" spans="1:7" ht="15.75" customHeight="1" x14ac:dyDescent="0.15">
      <c r="A124" s="19" t="s">
        <v>191</v>
      </c>
      <c r="B124" s="19">
        <v>2018</v>
      </c>
      <c r="D124" s="19">
        <v>1</v>
      </c>
      <c r="G124" s="19">
        <v>1</v>
      </c>
    </row>
    <row r="125" spans="1:7" ht="15.75" customHeight="1" x14ac:dyDescent="0.15">
      <c r="A125" s="19" t="s">
        <v>191</v>
      </c>
      <c r="B125" s="19">
        <v>2020</v>
      </c>
      <c r="D125" s="19">
        <v>2</v>
      </c>
      <c r="G125" s="19">
        <v>2</v>
      </c>
    </row>
    <row r="126" spans="1:7" ht="15.75" customHeight="1" x14ac:dyDescent="0.15">
      <c r="A126" s="19" t="s">
        <v>191</v>
      </c>
      <c r="B126" s="19">
        <v>2020</v>
      </c>
      <c r="D126" s="19">
        <v>1</v>
      </c>
      <c r="G126" s="19">
        <v>1</v>
      </c>
    </row>
    <row r="127" spans="1:7" ht="15.75" customHeight="1" x14ac:dyDescent="0.15">
      <c r="A127" s="19" t="s">
        <v>627</v>
      </c>
      <c r="B127" s="19">
        <v>2007</v>
      </c>
      <c r="C127" s="19">
        <v>1</v>
      </c>
      <c r="G127" s="19">
        <v>1</v>
      </c>
    </row>
    <row r="128" spans="1:7" ht="15.75" customHeight="1" x14ac:dyDescent="0.15">
      <c r="A128" s="19" t="s">
        <v>627</v>
      </c>
      <c r="B128" s="19">
        <v>2018</v>
      </c>
      <c r="C128" s="19">
        <v>1</v>
      </c>
      <c r="G128" s="19">
        <v>1</v>
      </c>
    </row>
    <row r="129" spans="1:7" ht="15.75" customHeight="1" x14ac:dyDescent="0.15">
      <c r="A129" s="19" t="s">
        <v>627</v>
      </c>
      <c r="B129" s="19">
        <v>2020</v>
      </c>
      <c r="F129" s="19">
        <v>2</v>
      </c>
      <c r="G129" s="19">
        <v>2</v>
      </c>
    </row>
    <row r="130" spans="1:7" ht="15.75" customHeight="1" x14ac:dyDescent="0.15">
      <c r="A130" s="19" t="s">
        <v>627</v>
      </c>
      <c r="B130" s="19">
        <v>2022</v>
      </c>
      <c r="E130" s="19">
        <v>1</v>
      </c>
      <c r="G130" s="19">
        <v>1</v>
      </c>
    </row>
    <row r="131" spans="1:7" ht="15.75" customHeight="1" x14ac:dyDescent="0.15"/>
    <row r="132" spans="1:7" ht="15.75" customHeight="1" x14ac:dyDescent="0.15"/>
    <row r="133" spans="1:7" ht="15.75" customHeight="1" x14ac:dyDescent="0.15"/>
    <row r="134" spans="1:7" ht="15.75" customHeight="1" x14ac:dyDescent="0.15"/>
    <row r="135" spans="1:7" ht="15.75" customHeight="1" x14ac:dyDescent="0.15"/>
    <row r="136" spans="1:7" ht="15.75" customHeight="1" x14ac:dyDescent="0.15"/>
    <row r="137" spans="1:7" ht="15.75" customHeight="1" x14ac:dyDescent="0.15"/>
    <row r="138" spans="1:7" ht="15.75" customHeight="1" x14ac:dyDescent="0.15"/>
    <row r="139" spans="1:7" ht="15.75" customHeight="1" x14ac:dyDescent="0.15"/>
    <row r="140" spans="1:7" ht="15.75" customHeight="1" x14ac:dyDescent="0.15"/>
    <row r="141" spans="1:7" ht="15.75" customHeight="1" x14ac:dyDescent="0.15"/>
    <row r="142" spans="1:7" ht="15.75" customHeight="1" x14ac:dyDescent="0.15"/>
    <row r="143" spans="1:7" ht="15.75" customHeight="1" x14ac:dyDescent="0.15"/>
    <row r="144" spans="1:7"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row r="1002" ht="15.75" customHeight="1" x14ac:dyDescent="0.15"/>
    <row r="1003" ht="15.75" customHeight="1" x14ac:dyDescent="0.15"/>
    <row r="1004" ht="15.75" customHeight="1" x14ac:dyDescent="0.15"/>
    <row r="1005" ht="15.75" customHeight="1" x14ac:dyDescent="0.15"/>
    <row r="1006" ht="15.75" customHeight="1" x14ac:dyDescent="0.15"/>
    <row r="1007" ht="15.75" customHeight="1" x14ac:dyDescent="0.15"/>
    <row r="1008" ht="15.75" customHeight="1" x14ac:dyDescent="0.15"/>
    <row r="1009" ht="15.75" customHeight="1" x14ac:dyDescent="0.15"/>
    <row r="1010" ht="15.75" customHeight="1" x14ac:dyDescent="0.15"/>
    <row r="1011" ht="15.75" customHeight="1" x14ac:dyDescent="0.15"/>
    <row r="1012" ht="15.75" customHeight="1" x14ac:dyDescent="0.15"/>
    <row r="1013" ht="15.75" customHeight="1" x14ac:dyDescent="0.15"/>
    <row r="1014" ht="15.75" customHeight="1" x14ac:dyDescent="0.15"/>
    <row r="1015" ht="15.75" customHeight="1" x14ac:dyDescent="0.15"/>
    <row r="1016" ht="15.75" customHeight="1" x14ac:dyDescent="0.15"/>
    <row r="1017" ht="15.75" customHeight="1" x14ac:dyDescent="0.15"/>
    <row r="1018" ht="15.75" customHeight="1" x14ac:dyDescent="0.15"/>
    <row r="1019" ht="15.75" customHeight="1" x14ac:dyDescent="0.15"/>
    <row r="1020" ht="15.75" customHeight="1" x14ac:dyDescent="0.15"/>
    <row r="1021" ht="15.75" customHeight="1" x14ac:dyDescent="0.15"/>
    <row r="1022" ht="15.75" customHeight="1" x14ac:dyDescent="0.15"/>
    <row r="1023" ht="15.75" customHeight="1" x14ac:dyDescent="0.15"/>
    <row r="1024" ht="15.75" customHeight="1" x14ac:dyDescent="0.15"/>
    <row r="1025" ht="15.75" customHeight="1" x14ac:dyDescent="0.15"/>
    <row r="1026" ht="15.75" customHeight="1" x14ac:dyDescent="0.15"/>
    <row r="1027" ht="15.75" customHeight="1" x14ac:dyDescent="0.15"/>
    <row r="1028" ht="15.75" customHeight="1" x14ac:dyDescent="0.15"/>
    <row r="1029" ht="15.75" customHeight="1" x14ac:dyDescent="0.15"/>
    <row r="1030" ht="15.75" customHeight="1" x14ac:dyDescent="0.15"/>
    <row r="1031" ht="15.75" customHeight="1" x14ac:dyDescent="0.15"/>
    <row r="1032" ht="15.75" customHeight="1" x14ac:dyDescent="0.15"/>
    <row r="1033" ht="15.75" customHeight="1" x14ac:dyDescent="0.15"/>
  </sheetData>
  <phoneticPr fontId="33" type="noConversion"/>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644f7d7-3fcd-44fe-b87b-6e9cca34c0fa" xsi:nil="true"/>
    <lcf76f155ced4ddcb4097134ff3c332f xmlns="f8e9687a-cb9a-4c44-946b-56b3dfbde22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1438DEC1CD07A4EAB2FD52DC78FB587" ma:contentTypeVersion="12" ma:contentTypeDescription="Create a new document." ma:contentTypeScope="" ma:versionID="33a117a470f3cc98755e3dc27868c9d8">
  <xsd:schema xmlns:xsd="http://www.w3.org/2001/XMLSchema" xmlns:xs="http://www.w3.org/2001/XMLSchema" xmlns:p="http://schemas.microsoft.com/office/2006/metadata/properties" xmlns:ns2="f8e9687a-cb9a-4c44-946b-56b3dfbde225" xmlns:ns3="b644f7d7-3fcd-44fe-b87b-6e9cca34c0fa" targetNamespace="http://schemas.microsoft.com/office/2006/metadata/properties" ma:root="true" ma:fieldsID="80d35d7658ba8da18406d2f1befee979" ns2:_="" ns3:_="">
    <xsd:import namespace="f8e9687a-cb9a-4c44-946b-56b3dfbde225"/>
    <xsd:import namespace="b644f7d7-3fcd-44fe-b87b-6e9cca34c0f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e9687a-cb9a-4c44-946b-56b3dfbde2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eec0a79-46cb-4568-9b1b-2d720bd320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44f7d7-3fcd-44fe-b87b-6e9cca34c0f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bef2452-7e74-4d01-b87a-6f10de27a4f6}" ma:internalName="TaxCatchAll" ma:showField="CatchAllData" ma:web="b644f7d7-3fcd-44fe-b87b-6e9cca34c0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FF08B0-E357-4C04-82F5-516D544D4B04}">
  <ds:schemaRefs>
    <ds:schemaRef ds:uri="http://schemas.microsoft.com/sharepoint/v3/contenttype/forms"/>
  </ds:schemaRefs>
</ds:datastoreItem>
</file>

<file path=customXml/itemProps2.xml><?xml version="1.0" encoding="utf-8"?>
<ds:datastoreItem xmlns:ds="http://schemas.openxmlformats.org/officeDocument/2006/customXml" ds:itemID="{AC803917-4B34-425B-B8B5-F4BE7BD62001}">
  <ds:schemaRefs>
    <ds:schemaRef ds:uri="http://schemas.microsoft.com/office/2006/documentManagement/types"/>
    <ds:schemaRef ds:uri="http://purl.org/dc/elements/1.1/"/>
    <ds:schemaRef ds:uri="http://purl.org/dc/dcmitype/"/>
    <ds:schemaRef ds:uri="http://www.w3.org/XML/1998/namespace"/>
    <ds:schemaRef ds:uri="http://purl.org/dc/terms/"/>
    <ds:schemaRef ds:uri="f8e9687a-cb9a-4c44-946b-56b3dfbde225"/>
    <ds:schemaRef ds:uri="http://schemas.microsoft.com/office/infopath/2007/PartnerControls"/>
    <ds:schemaRef ds:uri="http://schemas.openxmlformats.org/package/2006/metadata/core-properties"/>
    <ds:schemaRef ds:uri="b644f7d7-3fcd-44fe-b87b-6e9cca34c0fa"/>
    <ds:schemaRef ds:uri="http://schemas.microsoft.com/office/2006/metadata/properties"/>
  </ds:schemaRefs>
</ds:datastoreItem>
</file>

<file path=customXml/itemProps3.xml><?xml version="1.0" encoding="utf-8"?>
<ds:datastoreItem xmlns:ds="http://schemas.openxmlformats.org/officeDocument/2006/customXml" ds:itemID="{E387295F-12EA-420D-8645-61B0B617B2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e9687a-cb9a-4c44-946b-56b3dfbde225"/>
    <ds:schemaRef ds:uri="b644f7d7-3fcd-44fe-b87b-6e9cca34c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Copyright information</vt:lpstr>
      <vt:lpstr>Time Series Data</vt:lpstr>
      <vt:lpstr>Event Data</vt:lpstr>
      <vt:lpstr>List of all Changes</vt:lpstr>
      <vt:lpstr>yrly_new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Songpo Yang</cp:lastModifiedBy>
  <cp:revision/>
  <dcterms:created xsi:type="dcterms:W3CDTF">2021-08-04T13:15:39Z</dcterms:created>
  <dcterms:modified xsi:type="dcterms:W3CDTF">2026-03-30T08:07:01Z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0x01010011438DEC1CD07A4EAB2FD52DC78FB587</vt:lpwstr>
  </property>
  <property fmtid="{D5CDD505-2E9C-101B-9397-08002B2CF9AE}" pid="3" name="MediaServiceImageTags">
    <vt:lpwstr/>
  </property>
</Properties>
</file>